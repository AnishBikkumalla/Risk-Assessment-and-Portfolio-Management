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c/"/>
    </mc:Choice>
  </mc:AlternateContent>
  <xr:revisionPtr revIDLastSave="0" documentId="8_{7D9841B5-E0FD-394C-8385-A72E204EE916}" xr6:coauthVersionLast="47" xr6:coauthVersionMax="47" xr10:uidLastSave="{00000000-0000-0000-0000-000000000000}"/>
  <bookViews>
    <workbookView xWindow="0" yWindow="0" windowWidth="35840" windowHeight="22400" tabRatio="500" xr2:uid="{00000000-000D-0000-FFFF-FFFF00000000}"/>
  </bookViews>
  <sheets>
    <sheet name="Price Data" sheetId="2" r:id="rId1"/>
    <sheet name="Returns  Stats" sheetId="3" r:id="rId2"/>
    <sheet name="MPT Optimisation" sheetId="4" r:id="rId3"/>
    <sheet name="Portfolio Returns" sheetId="5" r:id="rId4"/>
    <sheet name="Normal VaR" sheetId="6" r:id="rId5"/>
    <sheet name="Historical VaR" sheetId="7" r:id="rId6"/>
    <sheet name="Monte Carlo VaR" sheetId="8" r:id="rId7"/>
    <sheet name="VaR Comparison" sheetId="9" r:id="rId8"/>
    <sheet name="Bond Analysis" sheetId="10" r:id="rId9"/>
  </sheets>
  <definedNames>
    <definedName name="_xlchart.v1.0" hidden="1">'MPT Optimisation'!$A$46</definedName>
    <definedName name="_xlchart.v1.1" hidden="1">'MPT Optimisation'!$A$47:$A$69</definedName>
    <definedName name="_xlchart.v1.2" hidden="1">'MPT Optimisation'!$B$46</definedName>
    <definedName name="_xlchart.v1.3" hidden="1">'MPT Optimisation'!$B$47:$B$69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0" l="1"/>
  <c r="B13" i="10"/>
  <c r="B41" i="10" s="1"/>
  <c r="C41" i="10" s="1"/>
  <c r="B12" i="10"/>
  <c r="C10" i="8"/>
  <c r="D10" i="8" s="1"/>
  <c r="C6" i="9" s="1"/>
  <c r="C12" i="9" s="1"/>
  <c r="C9" i="8"/>
  <c r="D9" i="8" s="1"/>
  <c r="B6" i="9" s="1"/>
  <c r="B12" i="9" s="1"/>
  <c r="B3" i="8"/>
  <c r="B3" i="7"/>
  <c r="C9" i="6"/>
  <c r="C8" i="6"/>
  <c r="B3" i="6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31" i="4"/>
  <c r="B30" i="4"/>
  <c r="B29" i="4"/>
  <c r="B28" i="4"/>
  <c r="B20" i="4"/>
  <c r="E1378" i="3"/>
  <c r="D1378" i="3"/>
  <c r="C1378" i="3"/>
  <c r="B1378" i="3"/>
  <c r="B1378" i="5" s="1"/>
  <c r="E1377" i="3"/>
  <c r="D1377" i="3"/>
  <c r="C1377" i="3"/>
  <c r="B1377" i="3"/>
  <c r="E1376" i="3"/>
  <c r="D1376" i="3"/>
  <c r="C1376" i="3"/>
  <c r="B1376" i="3"/>
  <c r="B1376" i="5" s="1"/>
  <c r="E1375" i="3"/>
  <c r="D1375" i="3"/>
  <c r="C1375" i="3"/>
  <c r="B1375" i="3"/>
  <c r="B1375" i="5" s="1"/>
  <c r="E1374" i="3"/>
  <c r="D1374" i="3"/>
  <c r="C1374" i="3"/>
  <c r="B1374" i="3"/>
  <c r="E1373" i="3"/>
  <c r="D1373" i="3"/>
  <c r="C1373" i="3"/>
  <c r="B1373" i="3"/>
  <c r="B1373" i="5" s="1"/>
  <c r="E1372" i="3"/>
  <c r="D1372" i="3"/>
  <c r="C1372" i="3"/>
  <c r="B1372" i="3"/>
  <c r="B1372" i="5" s="1"/>
  <c r="E1371" i="3"/>
  <c r="D1371" i="3"/>
  <c r="C1371" i="3"/>
  <c r="B1371" i="3"/>
  <c r="E1370" i="3"/>
  <c r="D1370" i="3"/>
  <c r="C1370" i="3"/>
  <c r="B1370" i="3"/>
  <c r="B1370" i="5" s="1"/>
  <c r="E1369" i="3"/>
  <c r="D1369" i="3"/>
  <c r="C1369" i="3"/>
  <c r="B1369" i="3"/>
  <c r="B1369" i="5" s="1"/>
  <c r="E1368" i="3"/>
  <c r="D1368" i="3"/>
  <c r="C1368" i="3"/>
  <c r="B1368" i="3"/>
  <c r="E1367" i="3"/>
  <c r="D1367" i="3"/>
  <c r="C1367" i="3"/>
  <c r="B1367" i="3"/>
  <c r="B1367" i="5" s="1"/>
  <c r="E1366" i="3"/>
  <c r="D1366" i="3"/>
  <c r="C1366" i="3"/>
  <c r="B1366" i="3"/>
  <c r="B1366" i="5" s="1"/>
  <c r="E1365" i="3"/>
  <c r="D1365" i="3"/>
  <c r="C1365" i="3"/>
  <c r="B1365" i="3"/>
  <c r="E1364" i="3"/>
  <c r="D1364" i="3"/>
  <c r="C1364" i="3"/>
  <c r="B1364" i="3"/>
  <c r="B1364" i="5" s="1"/>
  <c r="E1363" i="3"/>
  <c r="D1363" i="3"/>
  <c r="C1363" i="3"/>
  <c r="B1363" i="3"/>
  <c r="B1363" i="5" s="1"/>
  <c r="E1362" i="3"/>
  <c r="D1362" i="3"/>
  <c r="C1362" i="3"/>
  <c r="B1362" i="3"/>
  <c r="E1361" i="3"/>
  <c r="D1361" i="3"/>
  <c r="C1361" i="3"/>
  <c r="B1361" i="3"/>
  <c r="B1361" i="5" s="1"/>
  <c r="E1360" i="3"/>
  <c r="D1360" i="3"/>
  <c r="C1360" i="3"/>
  <c r="B1360" i="3"/>
  <c r="B1360" i="5" s="1"/>
  <c r="E1359" i="3"/>
  <c r="D1359" i="3"/>
  <c r="C1359" i="3"/>
  <c r="B1359" i="3"/>
  <c r="E1358" i="3"/>
  <c r="D1358" i="3"/>
  <c r="C1358" i="3"/>
  <c r="B1358" i="3"/>
  <c r="B1358" i="5" s="1"/>
  <c r="E1357" i="3"/>
  <c r="D1357" i="3"/>
  <c r="C1357" i="3"/>
  <c r="B1357" i="3"/>
  <c r="B1357" i="5" s="1"/>
  <c r="E1356" i="3"/>
  <c r="D1356" i="3"/>
  <c r="C1356" i="3"/>
  <c r="B1356" i="3"/>
  <c r="E1355" i="3"/>
  <c r="D1355" i="3"/>
  <c r="C1355" i="3"/>
  <c r="B1355" i="3"/>
  <c r="B1355" i="5" s="1"/>
  <c r="E1354" i="3"/>
  <c r="D1354" i="3"/>
  <c r="C1354" i="3"/>
  <c r="B1354" i="3"/>
  <c r="B1354" i="5" s="1"/>
  <c r="E1353" i="3"/>
  <c r="D1353" i="3"/>
  <c r="C1353" i="3"/>
  <c r="B1353" i="3"/>
  <c r="E1352" i="3"/>
  <c r="D1352" i="3"/>
  <c r="C1352" i="3"/>
  <c r="B1352" i="3"/>
  <c r="B1352" i="5" s="1"/>
  <c r="E1351" i="3"/>
  <c r="D1351" i="3"/>
  <c r="C1351" i="3"/>
  <c r="B1351" i="3"/>
  <c r="B1351" i="5" s="1"/>
  <c r="E1350" i="3"/>
  <c r="D1350" i="3"/>
  <c r="C1350" i="3"/>
  <c r="B1350" i="3"/>
  <c r="E1349" i="3"/>
  <c r="D1349" i="3"/>
  <c r="C1349" i="3"/>
  <c r="B1349" i="3"/>
  <c r="B1349" i="5" s="1"/>
  <c r="E1348" i="3"/>
  <c r="D1348" i="3"/>
  <c r="C1348" i="3"/>
  <c r="B1348" i="3"/>
  <c r="B1348" i="5" s="1"/>
  <c r="E1347" i="3"/>
  <c r="D1347" i="3"/>
  <c r="C1347" i="3"/>
  <c r="B1347" i="3"/>
  <c r="E1346" i="3"/>
  <c r="D1346" i="3"/>
  <c r="C1346" i="3"/>
  <c r="B1346" i="3"/>
  <c r="B1346" i="5" s="1"/>
  <c r="E1345" i="3"/>
  <c r="D1345" i="3"/>
  <c r="C1345" i="3"/>
  <c r="B1345" i="3"/>
  <c r="B1345" i="5" s="1"/>
  <c r="E1344" i="3"/>
  <c r="D1344" i="3"/>
  <c r="C1344" i="3"/>
  <c r="B1344" i="3"/>
  <c r="E1343" i="3"/>
  <c r="D1343" i="3"/>
  <c r="C1343" i="3"/>
  <c r="B1343" i="3"/>
  <c r="B1343" i="5" s="1"/>
  <c r="E1342" i="3"/>
  <c r="D1342" i="3"/>
  <c r="C1342" i="3"/>
  <c r="B1342" i="3"/>
  <c r="B1342" i="5" s="1"/>
  <c r="E1341" i="3"/>
  <c r="D1341" i="3"/>
  <c r="C1341" i="3"/>
  <c r="B1341" i="3"/>
  <c r="E1340" i="3"/>
  <c r="D1340" i="3"/>
  <c r="C1340" i="3"/>
  <c r="B1340" i="3"/>
  <c r="B1340" i="5" s="1"/>
  <c r="E1339" i="3"/>
  <c r="D1339" i="3"/>
  <c r="C1339" i="3"/>
  <c r="B1339" i="3"/>
  <c r="B1339" i="5" s="1"/>
  <c r="E1338" i="3"/>
  <c r="D1338" i="3"/>
  <c r="C1338" i="3"/>
  <c r="B1338" i="3"/>
  <c r="E1337" i="3"/>
  <c r="D1337" i="3"/>
  <c r="C1337" i="3"/>
  <c r="B1337" i="3"/>
  <c r="B1337" i="5" s="1"/>
  <c r="E1336" i="3"/>
  <c r="D1336" i="3"/>
  <c r="C1336" i="3"/>
  <c r="B1336" i="3"/>
  <c r="B1336" i="5" s="1"/>
  <c r="E1335" i="3"/>
  <c r="D1335" i="3"/>
  <c r="C1335" i="3"/>
  <c r="B1335" i="3"/>
  <c r="E1334" i="3"/>
  <c r="D1334" i="3"/>
  <c r="C1334" i="3"/>
  <c r="B1334" i="3"/>
  <c r="B1334" i="5" s="1"/>
  <c r="E1333" i="3"/>
  <c r="D1333" i="3"/>
  <c r="C1333" i="3"/>
  <c r="B1333" i="3"/>
  <c r="B1333" i="5" s="1"/>
  <c r="E1332" i="3"/>
  <c r="D1332" i="3"/>
  <c r="C1332" i="3"/>
  <c r="B1332" i="3"/>
  <c r="E1331" i="3"/>
  <c r="D1331" i="3"/>
  <c r="C1331" i="3"/>
  <c r="B1331" i="3"/>
  <c r="B1331" i="5" s="1"/>
  <c r="E1330" i="3"/>
  <c r="D1330" i="3"/>
  <c r="C1330" i="3"/>
  <c r="B1330" i="3"/>
  <c r="B1330" i="5" s="1"/>
  <c r="E1329" i="3"/>
  <c r="D1329" i="3"/>
  <c r="C1329" i="3"/>
  <c r="B1329" i="3"/>
  <c r="E1328" i="3"/>
  <c r="D1328" i="3"/>
  <c r="C1328" i="3"/>
  <c r="B1328" i="3"/>
  <c r="B1328" i="5" s="1"/>
  <c r="E1327" i="3"/>
  <c r="D1327" i="3"/>
  <c r="C1327" i="3"/>
  <c r="B1327" i="3"/>
  <c r="B1327" i="5" s="1"/>
  <c r="E1326" i="3"/>
  <c r="D1326" i="3"/>
  <c r="C1326" i="3"/>
  <c r="B1326" i="3"/>
  <c r="E1325" i="3"/>
  <c r="D1325" i="3"/>
  <c r="C1325" i="3"/>
  <c r="B1325" i="3"/>
  <c r="B1325" i="5" s="1"/>
  <c r="E1324" i="3"/>
  <c r="D1324" i="3"/>
  <c r="C1324" i="3"/>
  <c r="B1324" i="3"/>
  <c r="B1324" i="5" s="1"/>
  <c r="E1323" i="3"/>
  <c r="D1323" i="3"/>
  <c r="C1323" i="3"/>
  <c r="B1323" i="3"/>
  <c r="E1322" i="3"/>
  <c r="D1322" i="3"/>
  <c r="C1322" i="3"/>
  <c r="B1322" i="3"/>
  <c r="B1322" i="5" s="1"/>
  <c r="E1321" i="3"/>
  <c r="D1321" i="3"/>
  <c r="C1321" i="3"/>
  <c r="B1321" i="3"/>
  <c r="B1321" i="5" s="1"/>
  <c r="E1320" i="3"/>
  <c r="D1320" i="3"/>
  <c r="C1320" i="3"/>
  <c r="B1320" i="3"/>
  <c r="E1319" i="3"/>
  <c r="D1319" i="3"/>
  <c r="C1319" i="3"/>
  <c r="B1319" i="3"/>
  <c r="B1319" i="5" s="1"/>
  <c r="E1318" i="3"/>
  <c r="D1318" i="3"/>
  <c r="C1318" i="3"/>
  <c r="B1318" i="3"/>
  <c r="B1318" i="5" s="1"/>
  <c r="E1317" i="3"/>
  <c r="D1317" i="3"/>
  <c r="C1317" i="3"/>
  <c r="B1317" i="3"/>
  <c r="E1316" i="3"/>
  <c r="D1316" i="3"/>
  <c r="C1316" i="3"/>
  <c r="B1316" i="3"/>
  <c r="B1316" i="5" s="1"/>
  <c r="E1315" i="3"/>
  <c r="D1315" i="3"/>
  <c r="C1315" i="3"/>
  <c r="B1315" i="3"/>
  <c r="B1315" i="5" s="1"/>
  <c r="E1314" i="3"/>
  <c r="D1314" i="3"/>
  <c r="C1314" i="3"/>
  <c r="B1314" i="3"/>
  <c r="E1313" i="3"/>
  <c r="D1313" i="3"/>
  <c r="C1313" i="3"/>
  <c r="B1313" i="3"/>
  <c r="B1313" i="5" s="1"/>
  <c r="E1312" i="3"/>
  <c r="D1312" i="3"/>
  <c r="C1312" i="3"/>
  <c r="B1312" i="3"/>
  <c r="B1312" i="5" s="1"/>
  <c r="E1311" i="3"/>
  <c r="D1311" i="3"/>
  <c r="C1311" i="3"/>
  <c r="B1311" i="3"/>
  <c r="E1310" i="3"/>
  <c r="D1310" i="3"/>
  <c r="C1310" i="3"/>
  <c r="B1310" i="3"/>
  <c r="B1310" i="5" s="1"/>
  <c r="E1309" i="3"/>
  <c r="D1309" i="3"/>
  <c r="C1309" i="3"/>
  <c r="B1309" i="3"/>
  <c r="B1309" i="5" s="1"/>
  <c r="E1308" i="3"/>
  <c r="D1308" i="3"/>
  <c r="C1308" i="3"/>
  <c r="B1308" i="3"/>
  <c r="E1307" i="3"/>
  <c r="D1307" i="3"/>
  <c r="C1307" i="3"/>
  <c r="B1307" i="3"/>
  <c r="B1307" i="5" s="1"/>
  <c r="E1306" i="3"/>
  <c r="D1306" i="3"/>
  <c r="C1306" i="3"/>
  <c r="B1306" i="3"/>
  <c r="B1306" i="5" s="1"/>
  <c r="E1305" i="3"/>
  <c r="D1305" i="3"/>
  <c r="C1305" i="3"/>
  <c r="B1305" i="3"/>
  <c r="E1304" i="3"/>
  <c r="D1304" i="3"/>
  <c r="C1304" i="3"/>
  <c r="B1304" i="3"/>
  <c r="B1304" i="5" s="1"/>
  <c r="E1303" i="3"/>
  <c r="D1303" i="3"/>
  <c r="C1303" i="3"/>
  <c r="B1303" i="3"/>
  <c r="B1303" i="5" s="1"/>
  <c r="E1302" i="3"/>
  <c r="D1302" i="3"/>
  <c r="C1302" i="3"/>
  <c r="B1302" i="3"/>
  <c r="E1301" i="3"/>
  <c r="D1301" i="3"/>
  <c r="C1301" i="3"/>
  <c r="B1301" i="3"/>
  <c r="B1301" i="5" s="1"/>
  <c r="E1300" i="3"/>
  <c r="D1300" i="3"/>
  <c r="C1300" i="3"/>
  <c r="B1300" i="3"/>
  <c r="B1300" i="5" s="1"/>
  <c r="E1299" i="3"/>
  <c r="D1299" i="3"/>
  <c r="C1299" i="3"/>
  <c r="B1299" i="3"/>
  <c r="E1298" i="3"/>
  <c r="D1298" i="3"/>
  <c r="C1298" i="3"/>
  <c r="B1298" i="3"/>
  <c r="B1298" i="5" s="1"/>
  <c r="E1297" i="3"/>
  <c r="D1297" i="3"/>
  <c r="C1297" i="3"/>
  <c r="B1297" i="3"/>
  <c r="B1297" i="5" s="1"/>
  <c r="E1296" i="3"/>
  <c r="D1296" i="3"/>
  <c r="C1296" i="3"/>
  <c r="B1296" i="3"/>
  <c r="E1295" i="3"/>
  <c r="D1295" i="3"/>
  <c r="C1295" i="3"/>
  <c r="B1295" i="3"/>
  <c r="B1295" i="5" s="1"/>
  <c r="E1294" i="3"/>
  <c r="D1294" i="3"/>
  <c r="C1294" i="3"/>
  <c r="B1294" i="3"/>
  <c r="B1294" i="5" s="1"/>
  <c r="E1293" i="3"/>
  <c r="D1293" i="3"/>
  <c r="C1293" i="3"/>
  <c r="B1293" i="3"/>
  <c r="E1292" i="3"/>
  <c r="D1292" i="3"/>
  <c r="C1292" i="3"/>
  <c r="B1292" i="3"/>
  <c r="B1292" i="5" s="1"/>
  <c r="E1291" i="3"/>
  <c r="D1291" i="3"/>
  <c r="C1291" i="3"/>
  <c r="B1291" i="3"/>
  <c r="B1291" i="5" s="1"/>
  <c r="E1290" i="3"/>
  <c r="D1290" i="3"/>
  <c r="C1290" i="3"/>
  <c r="B1290" i="3"/>
  <c r="E1289" i="3"/>
  <c r="D1289" i="3"/>
  <c r="C1289" i="3"/>
  <c r="B1289" i="3"/>
  <c r="B1289" i="5" s="1"/>
  <c r="E1288" i="3"/>
  <c r="D1288" i="3"/>
  <c r="C1288" i="3"/>
  <c r="B1288" i="3"/>
  <c r="B1288" i="5" s="1"/>
  <c r="E1287" i="3"/>
  <c r="D1287" i="3"/>
  <c r="C1287" i="3"/>
  <c r="B1287" i="3"/>
  <c r="E1286" i="3"/>
  <c r="D1286" i="3"/>
  <c r="C1286" i="3"/>
  <c r="B1286" i="3"/>
  <c r="B1286" i="5" s="1"/>
  <c r="E1285" i="3"/>
  <c r="D1285" i="3"/>
  <c r="C1285" i="3"/>
  <c r="B1285" i="3"/>
  <c r="B1285" i="5" s="1"/>
  <c r="E1284" i="3"/>
  <c r="D1284" i="3"/>
  <c r="C1284" i="3"/>
  <c r="B1284" i="3"/>
  <c r="E1283" i="3"/>
  <c r="D1283" i="3"/>
  <c r="C1283" i="3"/>
  <c r="B1283" i="3"/>
  <c r="B1283" i="5" s="1"/>
  <c r="E1282" i="3"/>
  <c r="D1282" i="3"/>
  <c r="C1282" i="3"/>
  <c r="B1282" i="3"/>
  <c r="B1282" i="5" s="1"/>
  <c r="E1281" i="3"/>
  <c r="D1281" i="3"/>
  <c r="C1281" i="3"/>
  <c r="B1281" i="3"/>
  <c r="E1280" i="3"/>
  <c r="D1280" i="3"/>
  <c r="C1280" i="3"/>
  <c r="B1280" i="3"/>
  <c r="B1280" i="5" s="1"/>
  <c r="E1279" i="3"/>
  <c r="D1279" i="3"/>
  <c r="C1279" i="3"/>
  <c r="B1279" i="3"/>
  <c r="B1279" i="5" s="1"/>
  <c r="E1278" i="3"/>
  <c r="D1278" i="3"/>
  <c r="C1278" i="3"/>
  <c r="B1278" i="3"/>
  <c r="E1277" i="3"/>
  <c r="D1277" i="3"/>
  <c r="C1277" i="3"/>
  <c r="B1277" i="3"/>
  <c r="B1277" i="5" s="1"/>
  <c r="E1276" i="3"/>
  <c r="D1276" i="3"/>
  <c r="C1276" i="3"/>
  <c r="B1276" i="3"/>
  <c r="B1276" i="5" s="1"/>
  <c r="E1275" i="3"/>
  <c r="D1275" i="3"/>
  <c r="C1275" i="3"/>
  <c r="B1275" i="3"/>
  <c r="E1274" i="3"/>
  <c r="D1274" i="3"/>
  <c r="C1274" i="3"/>
  <c r="B1274" i="3"/>
  <c r="B1274" i="5" s="1"/>
  <c r="E1273" i="3"/>
  <c r="D1273" i="3"/>
  <c r="C1273" i="3"/>
  <c r="B1273" i="3"/>
  <c r="B1273" i="5" s="1"/>
  <c r="E1272" i="3"/>
  <c r="D1272" i="3"/>
  <c r="C1272" i="3"/>
  <c r="B1272" i="3"/>
  <c r="E1271" i="3"/>
  <c r="D1271" i="3"/>
  <c r="C1271" i="3"/>
  <c r="B1271" i="3"/>
  <c r="B1271" i="5" s="1"/>
  <c r="E1270" i="3"/>
  <c r="D1270" i="3"/>
  <c r="C1270" i="3"/>
  <c r="B1270" i="3"/>
  <c r="B1270" i="5" s="1"/>
  <c r="E1269" i="3"/>
  <c r="D1269" i="3"/>
  <c r="C1269" i="3"/>
  <c r="B1269" i="3"/>
  <c r="E1268" i="3"/>
  <c r="D1268" i="3"/>
  <c r="C1268" i="3"/>
  <c r="B1268" i="3"/>
  <c r="B1268" i="5" s="1"/>
  <c r="E1267" i="3"/>
  <c r="D1267" i="3"/>
  <c r="C1267" i="3"/>
  <c r="B1267" i="3"/>
  <c r="B1267" i="5" s="1"/>
  <c r="E1266" i="3"/>
  <c r="D1266" i="3"/>
  <c r="C1266" i="3"/>
  <c r="B1266" i="3"/>
  <c r="E1265" i="3"/>
  <c r="D1265" i="3"/>
  <c r="C1265" i="3"/>
  <c r="B1265" i="3"/>
  <c r="B1265" i="5" s="1"/>
  <c r="E1264" i="3"/>
  <c r="D1264" i="3"/>
  <c r="C1264" i="3"/>
  <c r="B1264" i="3"/>
  <c r="B1264" i="5" s="1"/>
  <c r="E1263" i="3"/>
  <c r="D1263" i="3"/>
  <c r="C1263" i="3"/>
  <c r="B1263" i="3"/>
  <c r="E1262" i="3"/>
  <c r="D1262" i="3"/>
  <c r="C1262" i="3"/>
  <c r="B1262" i="3"/>
  <c r="B1262" i="5" s="1"/>
  <c r="E1261" i="3"/>
  <c r="D1261" i="3"/>
  <c r="C1261" i="3"/>
  <c r="B1261" i="3"/>
  <c r="B1261" i="5" s="1"/>
  <c r="E1260" i="3"/>
  <c r="D1260" i="3"/>
  <c r="C1260" i="3"/>
  <c r="B1260" i="3"/>
  <c r="E1259" i="3"/>
  <c r="D1259" i="3"/>
  <c r="C1259" i="3"/>
  <c r="B1259" i="3"/>
  <c r="B1259" i="5" s="1"/>
  <c r="E1258" i="3"/>
  <c r="D1258" i="3"/>
  <c r="C1258" i="3"/>
  <c r="B1258" i="3"/>
  <c r="B1258" i="5" s="1"/>
  <c r="E1257" i="3"/>
  <c r="D1257" i="3"/>
  <c r="C1257" i="3"/>
  <c r="B1257" i="3"/>
  <c r="E1256" i="3"/>
  <c r="D1256" i="3"/>
  <c r="C1256" i="3"/>
  <c r="B1256" i="3"/>
  <c r="B1256" i="5" s="1"/>
  <c r="E1255" i="3"/>
  <c r="D1255" i="3"/>
  <c r="C1255" i="3"/>
  <c r="B1255" i="3"/>
  <c r="B1255" i="5" s="1"/>
  <c r="E1254" i="3"/>
  <c r="D1254" i="3"/>
  <c r="C1254" i="3"/>
  <c r="B1254" i="3"/>
  <c r="E1253" i="3"/>
  <c r="D1253" i="3"/>
  <c r="C1253" i="3"/>
  <c r="B1253" i="3"/>
  <c r="B1253" i="5" s="1"/>
  <c r="E1252" i="3"/>
  <c r="D1252" i="3"/>
  <c r="C1252" i="3"/>
  <c r="B1252" i="3"/>
  <c r="B1252" i="5" s="1"/>
  <c r="E1251" i="3"/>
  <c r="D1251" i="3"/>
  <c r="C1251" i="3"/>
  <c r="B1251" i="3"/>
  <c r="E1250" i="3"/>
  <c r="D1250" i="3"/>
  <c r="C1250" i="3"/>
  <c r="B1250" i="3"/>
  <c r="B1250" i="5" s="1"/>
  <c r="E1249" i="3"/>
  <c r="D1249" i="3"/>
  <c r="C1249" i="3"/>
  <c r="B1249" i="3"/>
  <c r="B1249" i="5" s="1"/>
  <c r="E1248" i="3"/>
  <c r="D1248" i="3"/>
  <c r="C1248" i="3"/>
  <c r="B1248" i="3"/>
  <c r="E1247" i="3"/>
  <c r="D1247" i="3"/>
  <c r="C1247" i="3"/>
  <c r="B1247" i="3"/>
  <c r="B1247" i="5" s="1"/>
  <c r="E1246" i="3"/>
  <c r="D1246" i="3"/>
  <c r="C1246" i="3"/>
  <c r="B1246" i="3"/>
  <c r="B1246" i="5" s="1"/>
  <c r="E1245" i="3"/>
  <c r="D1245" i="3"/>
  <c r="C1245" i="3"/>
  <c r="B1245" i="3"/>
  <c r="E1244" i="3"/>
  <c r="D1244" i="3"/>
  <c r="C1244" i="3"/>
  <c r="B1244" i="3"/>
  <c r="B1244" i="5" s="1"/>
  <c r="E1243" i="3"/>
  <c r="D1243" i="3"/>
  <c r="C1243" i="3"/>
  <c r="B1243" i="3"/>
  <c r="B1243" i="5" s="1"/>
  <c r="E1242" i="3"/>
  <c r="D1242" i="3"/>
  <c r="C1242" i="3"/>
  <c r="B1242" i="3"/>
  <c r="E1241" i="3"/>
  <c r="D1241" i="3"/>
  <c r="C1241" i="3"/>
  <c r="B1241" i="3"/>
  <c r="B1241" i="5" s="1"/>
  <c r="E1240" i="3"/>
  <c r="D1240" i="3"/>
  <c r="C1240" i="3"/>
  <c r="B1240" i="3"/>
  <c r="B1240" i="5" s="1"/>
  <c r="E1239" i="3"/>
  <c r="D1239" i="3"/>
  <c r="C1239" i="3"/>
  <c r="B1239" i="3"/>
  <c r="E1238" i="3"/>
  <c r="D1238" i="3"/>
  <c r="C1238" i="3"/>
  <c r="B1238" i="3"/>
  <c r="B1238" i="5" s="1"/>
  <c r="E1237" i="3"/>
  <c r="D1237" i="3"/>
  <c r="C1237" i="3"/>
  <c r="B1237" i="3"/>
  <c r="B1237" i="5" s="1"/>
  <c r="E1236" i="3"/>
  <c r="D1236" i="3"/>
  <c r="C1236" i="3"/>
  <c r="B1236" i="3"/>
  <c r="E1235" i="3"/>
  <c r="D1235" i="3"/>
  <c r="C1235" i="3"/>
  <c r="B1235" i="3"/>
  <c r="B1235" i="5" s="1"/>
  <c r="E1234" i="3"/>
  <c r="D1234" i="3"/>
  <c r="C1234" i="3"/>
  <c r="B1234" i="3"/>
  <c r="B1234" i="5" s="1"/>
  <c r="E1233" i="3"/>
  <c r="D1233" i="3"/>
  <c r="C1233" i="3"/>
  <c r="B1233" i="3"/>
  <c r="E1232" i="3"/>
  <c r="D1232" i="3"/>
  <c r="C1232" i="3"/>
  <c r="B1232" i="3"/>
  <c r="B1232" i="5" s="1"/>
  <c r="E1231" i="3"/>
  <c r="D1231" i="3"/>
  <c r="C1231" i="3"/>
  <c r="B1231" i="3"/>
  <c r="B1231" i="5" s="1"/>
  <c r="E1230" i="3"/>
  <c r="D1230" i="3"/>
  <c r="C1230" i="3"/>
  <c r="B1230" i="3"/>
  <c r="E1229" i="3"/>
  <c r="D1229" i="3"/>
  <c r="C1229" i="3"/>
  <c r="B1229" i="3"/>
  <c r="B1229" i="5" s="1"/>
  <c r="E1228" i="3"/>
  <c r="D1228" i="3"/>
  <c r="C1228" i="3"/>
  <c r="B1228" i="3"/>
  <c r="B1228" i="5" s="1"/>
  <c r="E1227" i="3"/>
  <c r="D1227" i="3"/>
  <c r="C1227" i="3"/>
  <c r="B1227" i="3"/>
  <c r="E1226" i="3"/>
  <c r="D1226" i="3"/>
  <c r="C1226" i="3"/>
  <c r="B1226" i="3"/>
  <c r="B1226" i="5" s="1"/>
  <c r="E1225" i="3"/>
  <c r="D1225" i="3"/>
  <c r="C1225" i="3"/>
  <c r="B1225" i="3"/>
  <c r="B1225" i="5" s="1"/>
  <c r="E1224" i="3"/>
  <c r="D1224" i="3"/>
  <c r="C1224" i="3"/>
  <c r="B1224" i="3"/>
  <c r="E1223" i="3"/>
  <c r="D1223" i="3"/>
  <c r="C1223" i="3"/>
  <c r="B1223" i="3"/>
  <c r="B1223" i="5" s="1"/>
  <c r="E1222" i="3"/>
  <c r="D1222" i="3"/>
  <c r="C1222" i="3"/>
  <c r="B1222" i="3"/>
  <c r="B1222" i="5" s="1"/>
  <c r="E1221" i="3"/>
  <c r="D1221" i="3"/>
  <c r="C1221" i="3"/>
  <c r="B1221" i="3"/>
  <c r="E1220" i="3"/>
  <c r="D1220" i="3"/>
  <c r="C1220" i="3"/>
  <c r="B1220" i="3"/>
  <c r="B1220" i="5" s="1"/>
  <c r="E1219" i="3"/>
  <c r="D1219" i="3"/>
  <c r="C1219" i="3"/>
  <c r="B1219" i="3"/>
  <c r="B1219" i="5" s="1"/>
  <c r="E1218" i="3"/>
  <c r="D1218" i="3"/>
  <c r="C1218" i="3"/>
  <c r="B1218" i="3"/>
  <c r="E1217" i="3"/>
  <c r="D1217" i="3"/>
  <c r="C1217" i="3"/>
  <c r="B1217" i="3"/>
  <c r="B1217" i="5" s="1"/>
  <c r="E1216" i="3"/>
  <c r="D1216" i="3"/>
  <c r="C1216" i="3"/>
  <c r="B1216" i="3"/>
  <c r="B1216" i="5" s="1"/>
  <c r="E1215" i="3"/>
  <c r="D1215" i="3"/>
  <c r="C1215" i="3"/>
  <c r="B1215" i="3"/>
  <c r="E1214" i="3"/>
  <c r="D1214" i="3"/>
  <c r="C1214" i="3"/>
  <c r="B1214" i="3"/>
  <c r="B1214" i="5" s="1"/>
  <c r="E1213" i="3"/>
  <c r="D1213" i="3"/>
  <c r="C1213" i="3"/>
  <c r="B1213" i="3"/>
  <c r="B1213" i="5" s="1"/>
  <c r="E1212" i="3"/>
  <c r="D1212" i="3"/>
  <c r="C1212" i="3"/>
  <c r="B1212" i="3"/>
  <c r="E1211" i="3"/>
  <c r="D1211" i="3"/>
  <c r="C1211" i="3"/>
  <c r="B1211" i="3"/>
  <c r="B1211" i="5" s="1"/>
  <c r="E1210" i="3"/>
  <c r="D1210" i="3"/>
  <c r="C1210" i="3"/>
  <c r="B1210" i="3"/>
  <c r="B1210" i="5" s="1"/>
  <c r="E1209" i="3"/>
  <c r="D1209" i="3"/>
  <c r="C1209" i="3"/>
  <c r="B1209" i="3"/>
  <c r="E1208" i="3"/>
  <c r="D1208" i="3"/>
  <c r="C1208" i="3"/>
  <c r="B1208" i="3"/>
  <c r="B1208" i="5" s="1"/>
  <c r="E1207" i="3"/>
  <c r="D1207" i="3"/>
  <c r="C1207" i="3"/>
  <c r="B1207" i="3"/>
  <c r="B1207" i="5" s="1"/>
  <c r="E1206" i="3"/>
  <c r="D1206" i="3"/>
  <c r="C1206" i="3"/>
  <c r="B1206" i="3"/>
  <c r="E1205" i="3"/>
  <c r="D1205" i="3"/>
  <c r="C1205" i="3"/>
  <c r="B1205" i="3"/>
  <c r="B1205" i="5" s="1"/>
  <c r="E1204" i="3"/>
  <c r="D1204" i="3"/>
  <c r="C1204" i="3"/>
  <c r="B1204" i="3"/>
  <c r="B1204" i="5" s="1"/>
  <c r="E1203" i="3"/>
  <c r="D1203" i="3"/>
  <c r="C1203" i="3"/>
  <c r="B1203" i="3"/>
  <c r="E1202" i="3"/>
  <c r="D1202" i="3"/>
  <c r="C1202" i="3"/>
  <c r="B1202" i="3"/>
  <c r="B1202" i="5" s="1"/>
  <c r="E1201" i="3"/>
  <c r="D1201" i="3"/>
  <c r="C1201" i="3"/>
  <c r="B1201" i="3"/>
  <c r="B1201" i="5" s="1"/>
  <c r="E1200" i="3"/>
  <c r="D1200" i="3"/>
  <c r="C1200" i="3"/>
  <c r="B1200" i="3"/>
  <c r="E1199" i="3"/>
  <c r="D1199" i="3"/>
  <c r="C1199" i="3"/>
  <c r="B1199" i="3"/>
  <c r="B1199" i="5" s="1"/>
  <c r="E1198" i="3"/>
  <c r="D1198" i="3"/>
  <c r="C1198" i="3"/>
  <c r="B1198" i="3"/>
  <c r="B1198" i="5" s="1"/>
  <c r="E1197" i="3"/>
  <c r="D1197" i="3"/>
  <c r="C1197" i="3"/>
  <c r="B1197" i="3"/>
  <c r="E1196" i="3"/>
  <c r="D1196" i="3"/>
  <c r="C1196" i="3"/>
  <c r="B1196" i="3"/>
  <c r="B1196" i="5" s="1"/>
  <c r="E1195" i="3"/>
  <c r="D1195" i="3"/>
  <c r="C1195" i="3"/>
  <c r="B1195" i="3"/>
  <c r="B1195" i="5" s="1"/>
  <c r="E1194" i="3"/>
  <c r="D1194" i="3"/>
  <c r="C1194" i="3"/>
  <c r="B1194" i="3"/>
  <c r="E1193" i="3"/>
  <c r="D1193" i="3"/>
  <c r="C1193" i="3"/>
  <c r="B1193" i="3"/>
  <c r="B1193" i="5" s="1"/>
  <c r="E1192" i="3"/>
  <c r="D1192" i="3"/>
  <c r="C1192" i="3"/>
  <c r="B1192" i="3"/>
  <c r="B1192" i="5" s="1"/>
  <c r="E1191" i="3"/>
  <c r="D1191" i="3"/>
  <c r="C1191" i="3"/>
  <c r="B1191" i="3"/>
  <c r="E1190" i="3"/>
  <c r="D1190" i="3"/>
  <c r="C1190" i="3"/>
  <c r="B1190" i="3"/>
  <c r="B1190" i="5" s="1"/>
  <c r="E1189" i="3"/>
  <c r="D1189" i="3"/>
  <c r="C1189" i="3"/>
  <c r="B1189" i="3"/>
  <c r="B1189" i="5" s="1"/>
  <c r="E1188" i="3"/>
  <c r="D1188" i="3"/>
  <c r="C1188" i="3"/>
  <c r="B1188" i="3"/>
  <c r="E1187" i="3"/>
  <c r="D1187" i="3"/>
  <c r="C1187" i="3"/>
  <c r="B1187" i="3"/>
  <c r="B1187" i="5" s="1"/>
  <c r="E1186" i="3"/>
  <c r="D1186" i="3"/>
  <c r="C1186" i="3"/>
  <c r="B1186" i="3"/>
  <c r="B1186" i="5" s="1"/>
  <c r="E1185" i="3"/>
  <c r="D1185" i="3"/>
  <c r="C1185" i="3"/>
  <c r="B1185" i="3"/>
  <c r="E1184" i="3"/>
  <c r="D1184" i="3"/>
  <c r="C1184" i="3"/>
  <c r="B1184" i="3"/>
  <c r="B1184" i="5" s="1"/>
  <c r="E1183" i="3"/>
  <c r="D1183" i="3"/>
  <c r="C1183" i="3"/>
  <c r="B1183" i="3"/>
  <c r="B1183" i="5" s="1"/>
  <c r="E1182" i="3"/>
  <c r="D1182" i="3"/>
  <c r="C1182" i="3"/>
  <c r="B1182" i="3"/>
  <c r="E1181" i="3"/>
  <c r="D1181" i="3"/>
  <c r="C1181" i="3"/>
  <c r="B1181" i="3"/>
  <c r="B1181" i="5" s="1"/>
  <c r="E1180" i="3"/>
  <c r="D1180" i="3"/>
  <c r="C1180" i="3"/>
  <c r="B1180" i="3"/>
  <c r="B1180" i="5" s="1"/>
  <c r="E1179" i="3"/>
  <c r="D1179" i="3"/>
  <c r="C1179" i="3"/>
  <c r="B1179" i="3"/>
  <c r="E1178" i="3"/>
  <c r="D1178" i="3"/>
  <c r="C1178" i="3"/>
  <c r="B1178" i="3"/>
  <c r="B1178" i="5" s="1"/>
  <c r="E1177" i="3"/>
  <c r="D1177" i="3"/>
  <c r="C1177" i="3"/>
  <c r="B1177" i="3"/>
  <c r="B1177" i="5" s="1"/>
  <c r="E1176" i="3"/>
  <c r="D1176" i="3"/>
  <c r="C1176" i="3"/>
  <c r="B1176" i="3"/>
  <c r="E1175" i="3"/>
  <c r="D1175" i="3"/>
  <c r="C1175" i="3"/>
  <c r="B1175" i="3"/>
  <c r="B1175" i="5" s="1"/>
  <c r="E1174" i="3"/>
  <c r="D1174" i="3"/>
  <c r="C1174" i="3"/>
  <c r="B1174" i="3"/>
  <c r="B1174" i="5" s="1"/>
  <c r="E1173" i="3"/>
  <c r="D1173" i="3"/>
  <c r="C1173" i="3"/>
  <c r="B1173" i="3"/>
  <c r="E1172" i="3"/>
  <c r="D1172" i="3"/>
  <c r="C1172" i="3"/>
  <c r="B1172" i="3"/>
  <c r="B1172" i="5" s="1"/>
  <c r="E1171" i="3"/>
  <c r="D1171" i="3"/>
  <c r="C1171" i="3"/>
  <c r="B1171" i="3"/>
  <c r="B1171" i="5" s="1"/>
  <c r="E1170" i="3"/>
  <c r="D1170" i="3"/>
  <c r="C1170" i="3"/>
  <c r="B1170" i="3"/>
  <c r="E1169" i="3"/>
  <c r="D1169" i="3"/>
  <c r="C1169" i="3"/>
  <c r="B1169" i="3"/>
  <c r="B1169" i="5" s="1"/>
  <c r="E1168" i="3"/>
  <c r="D1168" i="3"/>
  <c r="C1168" i="3"/>
  <c r="B1168" i="3"/>
  <c r="B1168" i="5" s="1"/>
  <c r="E1167" i="3"/>
  <c r="D1167" i="3"/>
  <c r="C1167" i="3"/>
  <c r="B1167" i="3"/>
  <c r="E1166" i="3"/>
  <c r="D1166" i="3"/>
  <c r="C1166" i="3"/>
  <c r="B1166" i="3"/>
  <c r="B1166" i="5" s="1"/>
  <c r="E1165" i="3"/>
  <c r="D1165" i="3"/>
  <c r="C1165" i="3"/>
  <c r="B1165" i="3"/>
  <c r="B1165" i="5" s="1"/>
  <c r="E1164" i="3"/>
  <c r="D1164" i="3"/>
  <c r="C1164" i="3"/>
  <c r="B1164" i="3"/>
  <c r="E1163" i="3"/>
  <c r="D1163" i="3"/>
  <c r="C1163" i="3"/>
  <c r="B1163" i="3"/>
  <c r="B1163" i="5" s="1"/>
  <c r="E1162" i="3"/>
  <c r="D1162" i="3"/>
  <c r="C1162" i="3"/>
  <c r="B1162" i="3"/>
  <c r="B1162" i="5" s="1"/>
  <c r="E1161" i="3"/>
  <c r="D1161" i="3"/>
  <c r="C1161" i="3"/>
  <c r="B1161" i="3"/>
  <c r="E1160" i="3"/>
  <c r="D1160" i="3"/>
  <c r="C1160" i="3"/>
  <c r="B1160" i="3"/>
  <c r="B1160" i="5" s="1"/>
  <c r="E1159" i="3"/>
  <c r="D1159" i="3"/>
  <c r="C1159" i="3"/>
  <c r="B1159" i="3"/>
  <c r="B1159" i="5" s="1"/>
  <c r="E1158" i="3"/>
  <c r="D1158" i="3"/>
  <c r="C1158" i="3"/>
  <c r="B1158" i="3"/>
  <c r="E1157" i="3"/>
  <c r="D1157" i="3"/>
  <c r="C1157" i="3"/>
  <c r="B1157" i="3"/>
  <c r="B1157" i="5" s="1"/>
  <c r="E1156" i="3"/>
  <c r="D1156" i="3"/>
  <c r="C1156" i="3"/>
  <c r="B1156" i="3"/>
  <c r="B1156" i="5" s="1"/>
  <c r="E1155" i="3"/>
  <c r="D1155" i="3"/>
  <c r="C1155" i="3"/>
  <c r="B1155" i="3"/>
  <c r="E1154" i="3"/>
  <c r="D1154" i="3"/>
  <c r="C1154" i="3"/>
  <c r="B1154" i="3"/>
  <c r="B1154" i="5" s="1"/>
  <c r="E1153" i="3"/>
  <c r="D1153" i="3"/>
  <c r="C1153" i="3"/>
  <c r="B1153" i="3"/>
  <c r="B1153" i="5" s="1"/>
  <c r="E1152" i="3"/>
  <c r="D1152" i="3"/>
  <c r="C1152" i="3"/>
  <c r="B1152" i="3"/>
  <c r="E1151" i="3"/>
  <c r="D1151" i="3"/>
  <c r="C1151" i="3"/>
  <c r="B1151" i="3"/>
  <c r="B1151" i="5" s="1"/>
  <c r="E1150" i="3"/>
  <c r="D1150" i="3"/>
  <c r="C1150" i="3"/>
  <c r="B1150" i="3"/>
  <c r="B1150" i="5" s="1"/>
  <c r="E1149" i="3"/>
  <c r="D1149" i="3"/>
  <c r="C1149" i="3"/>
  <c r="B1149" i="3"/>
  <c r="E1148" i="3"/>
  <c r="D1148" i="3"/>
  <c r="C1148" i="3"/>
  <c r="B1148" i="3"/>
  <c r="B1148" i="5" s="1"/>
  <c r="E1147" i="3"/>
  <c r="D1147" i="3"/>
  <c r="C1147" i="3"/>
  <c r="B1147" i="3"/>
  <c r="B1147" i="5" s="1"/>
  <c r="E1146" i="3"/>
  <c r="D1146" i="3"/>
  <c r="C1146" i="3"/>
  <c r="B1146" i="3"/>
  <c r="E1145" i="3"/>
  <c r="D1145" i="3"/>
  <c r="C1145" i="3"/>
  <c r="B1145" i="3"/>
  <c r="B1145" i="5" s="1"/>
  <c r="E1144" i="3"/>
  <c r="D1144" i="3"/>
  <c r="C1144" i="3"/>
  <c r="B1144" i="3"/>
  <c r="B1144" i="5" s="1"/>
  <c r="E1143" i="3"/>
  <c r="D1143" i="3"/>
  <c r="C1143" i="3"/>
  <c r="B1143" i="3"/>
  <c r="E1142" i="3"/>
  <c r="D1142" i="3"/>
  <c r="C1142" i="3"/>
  <c r="B1142" i="3"/>
  <c r="B1142" i="5" s="1"/>
  <c r="E1141" i="3"/>
  <c r="D1141" i="3"/>
  <c r="C1141" i="3"/>
  <c r="B1141" i="3"/>
  <c r="B1141" i="5" s="1"/>
  <c r="E1140" i="3"/>
  <c r="D1140" i="3"/>
  <c r="C1140" i="3"/>
  <c r="B1140" i="3"/>
  <c r="E1139" i="3"/>
  <c r="D1139" i="3"/>
  <c r="C1139" i="3"/>
  <c r="B1139" i="3"/>
  <c r="B1139" i="5" s="1"/>
  <c r="E1138" i="3"/>
  <c r="D1138" i="3"/>
  <c r="C1138" i="3"/>
  <c r="B1138" i="3"/>
  <c r="B1138" i="5" s="1"/>
  <c r="E1137" i="3"/>
  <c r="D1137" i="3"/>
  <c r="C1137" i="3"/>
  <c r="B1137" i="3"/>
  <c r="E1136" i="3"/>
  <c r="D1136" i="3"/>
  <c r="C1136" i="3"/>
  <c r="B1136" i="3"/>
  <c r="B1136" i="5" s="1"/>
  <c r="E1135" i="3"/>
  <c r="D1135" i="3"/>
  <c r="C1135" i="3"/>
  <c r="B1135" i="3"/>
  <c r="B1135" i="5" s="1"/>
  <c r="E1134" i="3"/>
  <c r="D1134" i="3"/>
  <c r="C1134" i="3"/>
  <c r="B1134" i="3"/>
  <c r="E1133" i="3"/>
  <c r="D1133" i="3"/>
  <c r="C1133" i="3"/>
  <c r="B1133" i="3"/>
  <c r="B1133" i="5" s="1"/>
  <c r="E1132" i="3"/>
  <c r="D1132" i="3"/>
  <c r="C1132" i="3"/>
  <c r="B1132" i="3"/>
  <c r="B1132" i="5" s="1"/>
  <c r="E1131" i="3"/>
  <c r="D1131" i="3"/>
  <c r="C1131" i="3"/>
  <c r="B1131" i="3"/>
  <c r="E1130" i="3"/>
  <c r="D1130" i="3"/>
  <c r="C1130" i="3"/>
  <c r="B1130" i="3"/>
  <c r="B1130" i="5" s="1"/>
  <c r="E1129" i="3"/>
  <c r="D1129" i="3"/>
  <c r="C1129" i="3"/>
  <c r="B1129" i="3"/>
  <c r="B1129" i="5" s="1"/>
  <c r="E1128" i="3"/>
  <c r="D1128" i="3"/>
  <c r="C1128" i="3"/>
  <c r="B1128" i="3"/>
  <c r="E1127" i="3"/>
  <c r="D1127" i="3"/>
  <c r="C1127" i="3"/>
  <c r="B1127" i="3"/>
  <c r="B1127" i="5" s="1"/>
  <c r="E1126" i="3"/>
  <c r="D1126" i="3"/>
  <c r="C1126" i="3"/>
  <c r="B1126" i="3"/>
  <c r="B1126" i="5" s="1"/>
  <c r="E1125" i="3"/>
  <c r="D1125" i="3"/>
  <c r="C1125" i="3"/>
  <c r="B1125" i="3"/>
  <c r="E1124" i="3"/>
  <c r="D1124" i="3"/>
  <c r="C1124" i="3"/>
  <c r="B1124" i="3"/>
  <c r="B1124" i="5" s="1"/>
  <c r="E1123" i="3"/>
  <c r="D1123" i="3"/>
  <c r="C1123" i="3"/>
  <c r="B1123" i="3"/>
  <c r="B1123" i="5" s="1"/>
  <c r="E1122" i="3"/>
  <c r="D1122" i="3"/>
  <c r="C1122" i="3"/>
  <c r="B1122" i="3"/>
  <c r="E1121" i="3"/>
  <c r="D1121" i="3"/>
  <c r="C1121" i="3"/>
  <c r="B1121" i="3"/>
  <c r="B1121" i="5" s="1"/>
  <c r="E1120" i="3"/>
  <c r="D1120" i="3"/>
  <c r="C1120" i="3"/>
  <c r="B1120" i="3"/>
  <c r="B1120" i="5" s="1"/>
  <c r="E1119" i="3"/>
  <c r="D1119" i="3"/>
  <c r="C1119" i="3"/>
  <c r="B1119" i="3"/>
  <c r="E1118" i="3"/>
  <c r="D1118" i="3"/>
  <c r="C1118" i="3"/>
  <c r="B1118" i="3"/>
  <c r="B1118" i="5" s="1"/>
  <c r="E1117" i="3"/>
  <c r="D1117" i="3"/>
  <c r="C1117" i="3"/>
  <c r="B1117" i="3"/>
  <c r="B1117" i="5" s="1"/>
  <c r="E1116" i="3"/>
  <c r="D1116" i="3"/>
  <c r="C1116" i="3"/>
  <c r="B1116" i="3"/>
  <c r="E1115" i="3"/>
  <c r="D1115" i="3"/>
  <c r="C1115" i="3"/>
  <c r="B1115" i="3"/>
  <c r="B1115" i="5" s="1"/>
  <c r="E1114" i="3"/>
  <c r="D1114" i="3"/>
  <c r="C1114" i="3"/>
  <c r="B1114" i="3"/>
  <c r="B1114" i="5" s="1"/>
  <c r="E1113" i="3"/>
  <c r="D1113" i="3"/>
  <c r="C1113" i="3"/>
  <c r="B1113" i="3"/>
  <c r="E1112" i="3"/>
  <c r="D1112" i="3"/>
  <c r="C1112" i="3"/>
  <c r="B1112" i="3"/>
  <c r="B1112" i="5" s="1"/>
  <c r="E1111" i="3"/>
  <c r="D1111" i="3"/>
  <c r="C1111" i="3"/>
  <c r="B1111" i="3"/>
  <c r="B1111" i="5" s="1"/>
  <c r="E1110" i="3"/>
  <c r="D1110" i="3"/>
  <c r="C1110" i="3"/>
  <c r="B1110" i="3"/>
  <c r="E1109" i="3"/>
  <c r="D1109" i="3"/>
  <c r="C1109" i="3"/>
  <c r="B1109" i="3"/>
  <c r="B1109" i="5" s="1"/>
  <c r="E1108" i="3"/>
  <c r="D1108" i="3"/>
  <c r="C1108" i="3"/>
  <c r="B1108" i="3"/>
  <c r="B1108" i="5" s="1"/>
  <c r="E1107" i="3"/>
  <c r="D1107" i="3"/>
  <c r="C1107" i="3"/>
  <c r="B1107" i="3"/>
  <c r="E1106" i="3"/>
  <c r="D1106" i="3"/>
  <c r="C1106" i="3"/>
  <c r="B1106" i="3"/>
  <c r="B1106" i="5" s="1"/>
  <c r="E1105" i="3"/>
  <c r="D1105" i="3"/>
  <c r="C1105" i="3"/>
  <c r="B1105" i="3"/>
  <c r="B1105" i="5" s="1"/>
  <c r="E1104" i="3"/>
  <c r="D1104" i="3"/>
  <c r="C1104" i="3"/>
  <c r="B1104" i="3"/>
  <c r="E1103" i="3"/>
  <c r="D1103" i="3"/>
  <c r="C1103" i="3"/>
  <c r="B1103" i="3"/>
  <c r="B1103" i="5" s="1"/>
  <c r="E1102" i="3"/>
  <c r="D1102" i="3"/>
  <c r="C1102" i="3"/>
  <c r="B1102" i="3"/>
  <c r="B1102" i="5" s="1"/>
  <c r="E1101" i="3"/>
  <c r="D1101" i="3"/>
  <c r="C1101" i="3"/>
  <c r="B1101" i="3"/>
  <c r="E1100" i="3"/>
  <c r="D1100" i="3"/>
  <c r="C1100" i="3"/>
  <c r="B1100" i="3"/>
  <c r="B1100" i="5" s="1"/>
  <c r="E1099" i="3"/>
  <c r="D1099" i="3"/>
  <c r="C1099" i="3"/>
  <c r="B1099" i="3"/>
  <c r="B1099" i="5" s="1"/>
  <c r="E1098" i="3"/>
  <c r="D1098" i="3"/>
  <c r="C1098" i="3"/>
  <c r="B1098" i="3"/>
  <c r="E1097" i="3"/>
  <c r="D1097" i="3"/>
  <c r="C1097" i="3"/>
  <c r="B1097" i="3"/>
  <c r="B1097" i="5" s="1"/>
  <c r="E1096" i="3"/>
  <c r="D1096" i="3"/>
  <c r="C1096" i="3"/>
  <c r="B1096" i="3"/>
  <c r="B1096" i="5" s="1"/>
  <c r="E1095" i="3"/>
  <c r="D1095" i="3"/>
  <c r="C1095" i="3"/>
  <c r="B1095" i="3"/>
  <c r="E1094" i="3"/>
  <c r="D1094" i="3"/>
  <c r="C1094" i="3"/>
  <c r="B1094" i="3"/>
  <c r="B1094" i="5" s="1"/>
  <c r="E1093" i="3"/>
  <c r="D1093" i="3"/>
  <c r="C1093" i="3"/>
  <c r="B1093" i="3"/>
  <c r="B1093" i="5" s="1"/>
  <c r="E1092" i="3"/>
  <c r="D1092" i="3"/>
  <c r="C1092" i="3"/>
  <c r="B1092" i="3"/>
  <c r="E1091" i="3"/>
  <c r="D1091" i="3"/>
  <c r="C1091" i="3"/>
  <c r="B1091" i="3"/>
  <c r="B1091" i="5" s="1"/>
  <c r="E1090" i="3"/>
  <c r="D1090" i="3"/>
  <c r="C1090" i="3"/>
  <c r="B1090" i="3"/>
  <c r="B1090" i="5" s="1"/>
  <c r="E1089" i="3"/>
  <c r="D1089" i="3"/>
  <c r="C1089" i="3"/>
  <c r="B1089" i="3"/>
  <c r="E1088" i="3"/>
  <c r="D1088" i="3"/>
  <c r="C1088" i="3"/>
  <c r="B1088" i="3"/>
  <c r="B1088" i="5" s="1"/>
  <c r="E1087" i="3"/>
  <c r="D1087" i="3"/>
  <c r="C1087" i="3"/>
  <c r="B1087" i="3"/>
  <c r="B1087" i="5" s="1"/>
  <c r="E1086" i="3"/>
  <c r="D1086" i="3"/>
  <c r="C1086" i="3"/>
  <c r="B1086" i="3"/>
  <c r="E1085" i="3"/>
  <c r="D1085" i="3"/>
  <c r="C1085" i="3"/>
  <c r="B1085" i="3"/>
  <c r="B1085" i="5" s="1"/>
  <c r="E1084" i="3"/>
  <c r="D1084" i="3"/>
  <c r="C1084" i="3"/>
  <c r="B1084" i="3"/>
  <c r="B1084" i="5" s="1"/>
  <c r="E1083" i="3"/>
  <c r="D1083" i="3"/>
  <c r="C1083" i="3"/>
  <c r="B1083" i="3"/>
  <c r="E1082" i="3"/>
  <c r="D1082" i="3"/>
  <c r="C1082" i="3"/>
  <c r="B1082" i="3"/>
  <c r="B1082" i="5" s="1"/>
  <c r="E1081" i="3"/>
  <c r="D1081" i="3"/>
  <c r="C1081" i="3"/>
  <c r="B1081" i="3"/>
  <c r="B1081" i="5" s="1"/>
  <c r="E1080" i="3"/>
  <c r="D1080" i="3"/>
  <c r="C1080" i="3"/>
  <c r="B1080" i="3"/>
  <c r="E1079" i="3"/>
  <c r="D1079" i="3"/>
  <c r="C1079" i="3"/>
  <c r="B1079" i="3"/>
  <c r="B1079" i="5" s="1"/>
  <c r="E1078" i="3"/>
  <c r="D1078" i="3"/>
  <c r="C1078" i="3"/>
  <c r="B1078" i="3"/>
  <c r="B1078" i="5" s="1"/>
  <c r="E1077" i="3"/>
  <c r="D1077" i="3"/>
  <c r="C1077" i="3"/>
  <c r="B1077" i="3"/>
  <c r="E1076" i="3"/>
  <c r="D1076" i="3"/>
  <c r="C1076" i="3"/>
  <c r="B1076" i="3"/>
  <c r="B1076" i="5" s="1"/>
  <c r="E1075" i="3"/>
  <c r="D1075" i="3"/>
  <c r="C1075" i="3"/>
  <c r="B1075" i="3"/>
  <c r="B1075" i="5" s="1"/>
  <c r="E1074" i="3"/>
  <c r="D1074" i="3"/>
  <c r="C1074" i="3"/>
  <c r="B1074" i="3"/>
  <c r="E1073" i="3"/>
  <c r="D1073" i="3"/>
  <c r="C1073" i="3"/>
  <c r="B1073" i="3"/>
  <c r="B1073" i="5" s="1"/>
  <c r="E1072" i="3"/>
  <c r="D1072" i="3"/>
  <c r="C1072" i="3"/>
  <c r="B1072" i="3"/>
  <c r="B1072" i="5" s="1"/>
  <c r="E1071" i="3"/>
  <c r="D1071" i="3"/>
  <c r="C1071" i="3"/>
  <c r="B1071" i="3"/>
  <c r="E1070" i="3"/>
  <c r="D1070" i="3"/>
  <c r="C1070" i="3"/>
  <c r="B1070" i="3"/>
  <c r="B1070" i="5" s="1"/>
  <c r="E1069" i="3"/>
  <c r="D1069" i="3"/>
  <c r="C1069" i="3"/>
  <c r="B1069" i="3"/>
  <c r="B1069" i="5" s="1"/>
  <c r="E1068" i="3"/>
  <c r="D1068" i="3"/>
  <c r="C1068" i="3"/>
  <c r="B1068" i="3"/>
  <c r="E1067" i="3"/>
  <c r="D1067" i="3"/>
  <c r="C1067" i="3"/>
  <c r="B1067" i="3"/>
  <c r="B1067" i="5" s="1"/>
  <c r="E1066" i="3"/>
  <c r="D1066" i="3"/>
  <c r="C1066" i="3"/>
  <c r="B1066" i="3"/>
  <c r="B1066" i="5" s="1"/>
  <c r="E1065" i="3"/>
  <c r="D1065" i="3"/>
  <c r="C1065" i="3"/>
  <c r="B1065" i="3"/>
  <c r="E1064" i="3"/>
  <c r="D1064" i="3"/>
  <c r="C1064" i="3"/>
  <c r="B1064" i="3"/>
  <c r="B1064" i="5" s="1"/>
  <c r="E1063" i="3"/>
  <c r="D1063" i="3"/>
  <c r="C1063" i="3"/>
  <c r="B1063" i="3"/>
  <c r="B1063" i="5" s="1"/>
  <c r="E1062" i="3"/>
  <c r="D1062" i="3"/>
  <c r="C1062" i="3"/>
  <c r="B1062" i="3"/>
  <c r="E1061" i="3"/>
  <c r="D1061" i="3"/>
  <c r="C1061" i="3"/>
  <c r="B1061" i="3"/>
  <c r="B1061" i="5" s="1"/>
  <c r="E1060" i="3"/>
  <c r="D1060" i="3"/>
  <c r="C1060" i="3"/>
  <c r="B1060" i="3"/>
  <c r="B1060" i="5" s="1"/>
  <c r="E1059" i="3"/>
  <c r="D1059" i="3"/>
  <c r="C1059" i="3"/>
  <c r="B1059" i="3"/>
  <c r="E1058" i="3"/>
  <c r="D1058" i="3"/>
  <c r="C1058" i="3"/>
  <c r="B1058" i="3"/>
  <c r="B1058" i="5" s="1"/>
  <c r="E1057" i="3"/>
  <c r="D1057" i="3"/>
  <c r="C1057" i="3"/>
  <c r="B1057" i="3"/>
  <c r="B1057" i="5" s="1"/>
  <c r="E1056" i="3"/>
  <c r="D1056" i="3"/>
  <c r="C1056" i="3"/>
  <c r="B1056" i="3"/>
  <c r="E1055" i="3"/>
  <c r="D1055" i="3"/>
  <c r="C1055" i="3"/>
  <c r="B1055" i="3"/>
  <c r="B1055" i="5" s="1"/>
  <c r="E1054" i="3"/>
  <c r="D1054" i="3"/>
  <c r="C1054" i="3"/>
  <c r="B1054" i="3"/>
  <c r="B1054" i="5" s="1"/>
  <c r="E1053" i="3"/>
  <c r="D1053" i="3"/>
  <c r="C1053" i="3"/>
  <c r="B1053" i="3"/>
  <c r="E1052" i="3"/>
  <c r="D1052" i="3"/>
  <c r="C1052" i="3"/>
  <c r="B1052" i="3"/>
  <c r="B1052" i="5" s="1"/>
  <c r="E1051" i="3"/>
  <c r="D1051" i="3"/>
  <c r="C1051" i="3"/>
  <c r="B1051" i="3"/>
  <c r="B1051" i="5" s="1"/>
  <c r="E1050" i="3"/>
  <c r="D1050" i="3"/>
  <c r="C1050" i="3"/>
  <c r="B1050" i="3"/>
  <c r="E1049" i="3"/>
  <c r="D1049" i="3"/>
  <c r="C1049" i="3"/>
  <c r="B1049" i="3"/>
  <c r="B1049" i="5" s="1"/>
  <c r="E1048" i="3"/>
  <c r="D1048" i="3"/>
  <c r="C1048" i="3"/>
  <c r="B1048" i="3"/>
  <c r="B1048" i="5" s="1"/>
  <c r="E1047" i="3"/>
  <c r="D1047" i="3"/>
  <c r="C1047" i="3"/>
  <c r="B1047" i="3"/>
  <c r="E1046" i="3"/>
  <c r="D1046" i="3"/>
  <c r="C1046" i="3"/>
  <c r="B1046" i="3"/>
  <c r="B1046" i="5" s="1"/>
  <c r="E1045" i="3"/>
  <c r="D1045" i="3"/>
  <c r="C1045" i="3"/>
  <c r="B1045" i="3"/>
  <c r="B1045" i="5" s="1"/>
  <c r="E1044" i="3"/>
  <c r="D1044" i="3"/>
  <c r="C1044" i="3"/>
  <c r="B1044" i="3"/>
  <c r="E1043" i="3"/>
  <c r="D1043" i="3"/>
  <c r="C1043" i="3"/>
  <c r="B1043" i="3"/>
  <c r="B1043" i="5" s="1"/>
  <c r="E1042" i="3"/>
  <c r="D1042" i="3"/>
  <c r="C1042" i="3"/>
  <c r="B1042" i="3"/>
  <c r="B1042" i="5" s="1"/>
  <c r="E1041" i="3"/>
  <c r="D1041" i="3"/>
  <c r="C1041" i="3"/>
  <c r="B1041" i="3"/>
  <c r="E1040" i="3"/>
  <c r="D1040" i="3"/>
  <c r="C1040" i="3"/>
  <c r="B1040" i="3"/>
  <c r="B1040" i="5" s="1"/>
  <c r="E1039" i="3"/>
  <c r="D1039" i="3"/>
  <c r="C1039" i="3"/>
  <c r="B1039" i="3"/>
  <c r="B1039" i="5" s="1"/>
  <c r="E1038" i="3"/>
  <c r="D1038" i="3"/>
  <c r="C1038" i="3"/>
  <c r="B1038" i="3"/>
  <c r="E1037" i="3"/>
  <c r="D1037" i="3"/>
  <c r="C1037" i="3"/>
  <c r="B1037" i="3"/>
  <c r="B1037" i="5" s="1"/>
  <c r="E1036" i="3"/>
  <c r="D1036" i="3"/>
  <c r="C1036" i="3"/>
  <c r="B1036" i="3"/>
  <c r="B1036" i="5" s="1"/>
  <c r="E1035" i="3"/>
  <c r="D1035" i="3"/>
  <c r="C1035" i="3"/>
  <c r="B1035" i="3"/>
  <c r="E1034" i="3"/>
  <c r="D1034" i="3"/>
  <c r="C1034" i="3"/>
  <c r="B1034" i="3"/>
  <c r="B1034" i="5" s="1"/>
  <c r="E1033" i="3"/>
  <c r="D1033" i="3"/>
  <c r="C1033" i="3"/>
  <c r="B1033" i="3"/>
  <c r="B1033" i="5" s="1"/>
  <c r="E1032" i="3"/>
  <c r="D1032" i="3"/>
  <c r="C1032" i="3"/>
  <c r="B1032" i="3"/>
  <c r="E1031" i="3"/>
  <c r="D1031" i="3"/>
  <c r="C1031" i="3"/>
  <c r="B1031" i="3"/>
  <c r="B1031" i="5" s="1"/>
  <c r="E1030" i="3"/>
  <c r="D1030" i="3"/>
  <c r="C1030" i="3"/>
  <c r="B1030" i="3"/>
  <c r="B1030" i="5" s="1"/>
  <c r="E1029" i="3"/>
  <c r="D1029" i="3"/>
  <c r="C1029" i="3"/>
  <c r="B1029" i="3"/>
  <c r="E1028" i="3"/>
  <c r="D1028" i="3"/>
  <c r="C1028" i="3"/>
  <c r="B1028" i="3"/>
  <c r="B1028" i="5" s="1"/>
  <c r="E1027" i="3"/>
  <c r="D1027" i="3"/>
  <c r="C1027" i="3"/>
  <c r="B1027" i="3"/>
  <c r="B1027" i="5" s="1"/>
  <c r="E1026" i="3"/>
  <c r="D1026" i="3"/>
  <c r="C1026" i="3"/>
  <c r="B1026" i="3"/>
  <c r="E1025" i="3"/>
  <c r="D1025" i="3"/>
  <c r="C1025" i="3"/>
  <c r="B1025" i="3"/>
  <c r="B1025" i="5" s="1"/>
  <c r="E1024" i="3"/>
  <c r="D1024" i="3"/>
  <c r="C1024" i="3"/>
  <c r="B1024" i="3"/>
  <c r="B1024" i="5" s="1"/>
  <c r="E1023" i="3"/>
  <c r="D1023" i="3"/>
  <c r="C1023" i="3"/>
  <c r="B1023" i="3"/>
  <c r="E1022" i="3"/>
  <c r="D1022" i="3"/>
  <c r="C1022" i="3"/>
  <c r="B1022" i="3"/>
  <c r="B1022" i="5" s="1"/>
  <c r="E1021" i="3"/>
  <c r="D1021" i="3"/>
  <c r="C1021" i="3"/>
  <c r="B1021" i="3"/>
  <c r="B1021" i="5" s="1"/>
  <c r="E1020" i="3"/>
  <c r="D1020" i="3"/>
  <c r="C1020" i="3"/>
  <c r="B1020" i="3"/>
  <c r="E1019" i="3"/>
  <c r="D1019" i="3"/>
  <c r="C1019" i="3"/>
  <c r="B1019" i="3"/>
  <c r="B1019" i="5" s="1"/>
  <c r="E1018" i="3"/>
  <c r="D1018" i="3"/>
  <c r="C1018" i="3"/>
  <c r="B1018" i="3"/>
  <c r="B1018" i="5" s="1"/>
  <c r="E1017" i="3"/>
  <c r="D1017" i="3"/>
  <c r="C1017" i="3"/>
  <c r="B1017" i="3"/>
  <c r="E1016" i="3"/>
  <c r="D1016" i="3"/>
  <c r="C1016" i="3"/>
  <c r="B1016" i="3"/>
  <c r="B1016" i="5" s="1"/>
  <c r="E1015" i="3"/>
  <c r="D1015" i="3"/>
  <c r="C1015" i="3"/>
  <c r="B1015" i="3"/>
  <c r="B1015" i="5" s="1"/>
  <c r="E1014" i="3"/>
  <c r="D1014" i="3"/>
  <c r="C1014" i="3"/>
  <c r="B1014" i="3"/>
  <c r="E1013" i="3"/>
  <c r="D1013" i="3"/>
  <c r="C1013" i="3"/>
  <c r="B1013" i="3"/>
  <c r="B1013" i="5" s="1"/>
  <c r="E1012" i="3"/>
  <c r="D1012" i="3"/>
  <c r="C1012" i="3"/>
  <c r="B1012" i="3"/>
  <c r="B1012" i="5" s="1"/>
  <c r="E1011" i="3"/>
  <c r="D1011" i="3"/>
  <c r="C1011" i="3"/>
  <c r="B1011" i="3"/>
  <c r="E1010" i="3"/>
  <c r="D1010" i="3"/>
  <c r="C1010" i="3"/>
  <c r="B1010" i="3"/>
  <c r="B1010" i="5" s="1"/>
  <c r="E1009" i="3"/>
  <c r="D1009" i="3"/>
  <c r="C1009" i="3"/>
  <c r="B1009" i="3"/>
  <c r="B1009" i="5" s="1"/>
  <c r="E1008" i="3"/>
  <c r="D1008" i="3"/>
  <c r="C1008" i="3"/>
  <c r="B1008" i="3"/>
  <c r="E1007" i="3"/>
  <c r="D1007" i="3"/>
  <c r="C1007" i="3"/>
  <c r="B1007" i="3"/>
  <c r="B1007" i="5" s="1"/>
  <c r="E1006" i="3"/>
  <c r="D1006" i="3"/>
  <c r="C1006" i="3"/>
  <c r="B1006" i="3"/>
  <c r="B1006" i="5" s="1"/>
  <c r="E1005" i="3"/>
  <c r="D1005" i="3"/>
  <c r="C1005" i="3"/>
  <c r="B1005" i="3"/>
  <c r="E1004" i="3"/>
  <c r="D1004" i="3"/>
  <c r="C1004" i="3"/>
  <c r="B1004" i="3"/>
  <c r="B1004" i="5" s="1"/>
  <c r="E1003" i="3"/>
  <c r="D1003" i="3"/>
  <c r="C1003" i="3"/>
  <c r="B1003" i="3"/>
  <c r="B1003" i="5" s="1"/>
  <c r="E1002" i="3"/>
  <c r="D1002" i="3"/>
  <c r="C1002" i="3"/>
  <c r="B1002" i="3"/>
  <c r="E1001" i="3"/>
  <c r="D1001" i="3"/>
  <c r="C1001" i="3"/>
  <c r="B1001" i="3"/>
  <c r="B1001" i="5" s="1"/>
  <c r="E1000" i="3"/>
  <c r="D1000" i="3"/>
  <c r="C1000" i="3"/>
  <c r="B1000" i="3"/>
  <c r="B1000" i="5" s="1"/>
  <c r="E999" i="3"/>
  <c r="D999" i="3"/>
  <c r="C999" i="3"/>
  <c r="B999" i="3"/>
  <c r="E998" i="3"/>
  <c r="D998" i="3"/>
  <c r="C998" i="3"/>
  <c r="B998" i="3"/>
  <c r="B998" i="5" s="1"/>
  <c r="E997" i="3"/>
  <c r="D997" i="3"/>
  <c r="C997" i="3"/>
  <c r="B997" i="3"/>
  <c r="B997" i="5" s="1"/>
  <c r="E996" i="3"/>
  <c r="D996" i="3"/>
  <c r="C996" i="3"/>
  <c r="B996" i="3"/>
  <c r="E995" i="3"/>
  <c r="D995" i="3"/>
  <c r="C995" i="3"/>
  <c r="B995" i="3"/>
  <c r="B995" i="5" s="1"/>
  <c r="E994" i="3"/>
  <c r="D994" i="3"/>
  <c r="C994" i="3"/>
  <c r="B994" i="3"/>
  <c r="B994" i="5" s="1"/>
  <c r="E993" i="3"/>
  <c r="D993" i="3"/>
  <c r="C993" i="3"/>
  <c r="B993" i="3"/>
  <c r="E992" i="3"/>
  <c r="D992" i="3"/>
  <c r="C992" i="3"/>
  <c r="B992" i="3"/>
  <c r="B992" i="5" s="1"/>
  <c r="E991" i="3"/>
  <c r="D991" i="3"/>
  <c r="C991" i="3"/>
  <c r="B991" i="3"/>
  <c r="B991" i="5" s="1"/>
  <c r="E990" i="3"/>
  <c r="D990" i="3"/>
  <c r="C990" i="3"/>
  <c r="B990" i="3"/>
  <c r="E989" i="3"/>
  <c r="D989" i="3"/>
  <c r="C989" i="3"/>
  <c r="B989" i="3"/>
  <c r="B989" i="5" s="1"/>
  <c r="E988" i="3"/>
  <c r="D988" i="3"/>
  <c r="C988" i="3"/>
  <c r="B988" i="3"/>
  <c r="B988" i="5" s="1"/>
  <c r="E987" i="3"/>
  <c r="D987" i="3"/>
  <c r="C987" i="3"/>
  <c r="B987" i="3"/>
  <c r="E986" i="3"/>
  <c r="D986" i="3"/>
  <c r="C986" i="3"/>
  <c r="B986" i="3"/>
  <c r="B986" i="5" s="1"/>
  <c r="E985" i="3"/>
  <c r="D985" i="3"/>
  <c r="C985" i="3"/>
  <c r="B985" i="3"/>
  <c r="B985" i="5" s="1"/>
  <c r="E984" i="3"/>
  <c r="D984" i="3"/>
  <c r="C984" i="3"/>
  <c r="B984" i="3"/>
  <c r="E983" i="3"/>
  <c r="D983" i="3"/>
  <c r="C983" i="3"/>
  <c r="B983" i="3"/>
  <c r="B983" i="5" s="1"/>
  <c r="E982" i="3"/>
  <c r="D982" i="3"/>
  <c r="C982" i="3"/>
  <c r="B982" i="3"/>
  <c r="B982" i="5" s="1"/>
  <c r="E981" i="3"/>
  <c r="D981" i="3"/>
  <c r="C981" i="3"/>
  <c r="B981" i="3"/>
  <c r="E980" i="3"/>
  <c r="D980" i="3"/>
  <c r="C980" i="3"/>
  <c r="B980" i="3"/>
  <c r="B980" i="5" s="1"/>
  <c r="E979" i="3"/>
  <c r="D979" i="3"/>
  <c r="C979" i="3"/>
  <c r="B979" i="3"/>
  <c r="B979" i="5" s="1"/>
  <c r="E978" i="3"/>
  <c r="D978" i="3"/>
  <c r="C978" i="3"/>
  <c r="B978" i="3"/>
  <c r="E977" i="3"/>
  <c r="D977" i="3"/>
  <c r="C977" i="3"/>
  <c r="B977" i="3"/>
  <c r="B977" i="5" s="1"/>
  <c r="E976" i="3"/>
  <c r="D976" i="3"/>
  <c r="C976" i="3"/>
  <c r="B976" i="3"/>
  <c r="B976" i="5" s="1"/>
  <c r="E975" i="3"/>
  <c r="D975" i="3"/>
  <c r="C975" i="3"/>
  <c r="B975" i="3"/>
  <c r="E974" i="3"/>
  <c r="D974" i="3"/>
  <c r="C974" i="3"/>
  <c r="B974" i="3"/>
  <c r="B974" i="5" s="1"/>
  <c r="E973" i="3"/>
  <c r="D973" i="3"/>
  <c r="C973" i="3"/>
  <c r="B973" i="3"/>
  <c r="B973" i="5" s="1"/>
  <c r="E972" i="3"/>
  <c r="D972" i="3"/>
  <c r="C972" i="3"/>
  <c r="B972" i="3"/>
  <c r="E971" i="3"/>
  <c r="D971" i="3"/>
  <c r="C971" i="3"/>
  <c r="B971" i="3"/>
  <c r="B971" i="5" s="1"/>
  <c r="E970" i="3"/>
  <c r="D970" i="3"/>
  <c r="C970" i="3"/>
  <c r="B970" i="3"/>
  <c r="B970" i="5" s="1"/>
  <c r="E969" i="3"/>
  <c r="D969" i="3"/>
  <c r="C969" i="3"/>
  <c r="B969" i="3"/>
  <c r="E968" i="3"/>
  <c r="D968" i="3"/>
  <c r="C968" i="3"/>
  <c r="B968" i="3"/>
  <c r="B968" i="5" s="1"/>
  <c r="E967" i="3"/>
  <c r="D967" i="3"/>
  <c r="C967" i="3"/>
  <c r="B967" i="3"/>
  <c r="B967" i="5" s="1"/>
  <c r="E966" i="3"/>
  <c r="D966" i="3"/>
  <c r="C966" i="3"/>
  <c r="B966" i="3"/>
  <c r="E965" i="3"/>
  <c r="D965" i="3"/>
  <c r="C965" i="3"/>
  <c r="B965" i="3"/>
  <c r="B965" i="5" s="1"/>
  <c r="E964" i="3"/>
  <c r="D964" i="3"/>
  <c r="C964" i="3"/>
  <c r="B964" i="3"/>
  <c r="B964" i="5" s="1"/>
  <c r="E963" i="3"/>
  <c r="D963" i="3"/>
  <c r="C963" i="3"/>
  <c r="B963" i="3"/>
  <c r="E962" i="3"/>
  <c r="D962" i="3"/>
  <c r="C962" i="3"/>
  <c r="B962" i="3"/>
  <c r="B962" i="5" s="1"/>
  <c r="E961" i="3"/>
  <c r="D961" i="3"/>
  <c r="C961" i="3"/>
  <c r="B961" i="3"/>
  <c r="B961" i="5" s="1"/>
  <c r="E960" i="3"/>
  <c r="D960" i="3"/>
  <c r="C960" i="3"/>
  <c r="B960" i="3"/>
  <c r="E959" i="3"/>
  <c r="D959" i="3"/>
  <c r="C959" i="3"/>
  <c r="B959" i="3"/>
  <c r="B959" i="5" s="1"/>
  <c r="E958" i="3"/>
  <c r="D958" i="3"/>
  <c r="C958" i="3"/>
  <c r="B958" i="3"/>
  <c r="B958" i="5" s="1"/>
  <c r="E957" i="3"/>
  <c r="D957" i="3"/>
  <c r="C957" i="3"/>
  <c r="B957" i="3"/>
  <c r="E956" i="3"/>
  <c r="D956" i="3"/>
  <c r="C956" i="3"/>
  <c r="B956" i="3"/>
  <c r="B956" i="5" s="1"/>
  <c r="E955" i="3"/>
  <c r="D955" i="3"/>
  <c r="C955" i="3"/>
  <c r="B955" i="3"/>
  <c r="B955" i="5" s="1"/>
  <c r="E954" i="3"/>
  <c r="D954" i="3"/>
  <c r="C954" i="3"/>
  <c r="B954" i="3"/>
  <c r="E953" i="3"/>
  <c r="D953" i="3"/>
  <c r="C953" i="3"/>
  <c r="B953" i="3"/>
  <c r="B953" i="5" s="1"/>
  <c r="E952" i="3"/>
  <c r="D952" i="3"/>
  <c r="C952" i="3"/>
  <c r="B952" i="3"/>
  <c r="B952" i="5" s="1"/>
  <c r="E951" i="3"/>
  <c r="D951" i="3"/>
  <c r="C951" i="3"/>
  <c r="B951" i="3"/>
  <c r="E950" i="3"/>
  <c r="D950" i="3"/>
  <c r="C950" i="3"/>
  <c r="B950" i="3"/>
  <c r="B950" i="5" s="1"/>
  <c r="E949" i="3"/>
  <c r="D949" i="3"/>
  <c r="C949" i="3"/>
  <c r="B949" i="3"/>
  <c r="B949" i="5" s="1"/>
  <c r="E948" i="3"/>
  <c r="D948" i="3"/>
  <c r="C948" i="3"/>
  <c r="B948" i="3"/>
  <c r="E947" i="3"/>
  <c r="D947" i="3"/>
  <c r="C947" i="3"/>
  <c r="B947" i="3"/>
  <c r="B947" i="5" s="1"/>
  <c r="E946" i="3"/>
  <c r="D946" i="3"/>
  <c r="C946" i="3"/>
  <c r="B946" i="3"/>
  <c r="B946" i="5" s="1"/>
  <c r="E945" i="3"/>
  <c r="D945" i="3"/>
  <c r="C945" i="3"/>
  <c r="B945" i="3"/>
  <c r="E944" i="3"/>
  <c r="D944" i="3"/>
  <c r="C944" i="3"/>
  <c r="B944" i="3"/>
  <c r="B944" i="5" s="1"/>
  <c r="E943" i="3"/>
  <c r="D943" i="3"/>
  <c r="C943" i="3"/>
  <c r="B943" i="3"/>
  <c r="B943" i="5" s="1"/>
  <c r="E942" i="3"/>
  <c r="D942" i="3"/>
  <c r="C942" i="3"/>
  <c r="B942" i="3"/>
  <c r="E941" i="3"/>
  <c r="D941" i="3"/>
  <c r="C941" i="3"/>
  <c r="B941" i="3"/>
  <c r="B941" i="5" s="1"/>
  <c r="E940" i="3"/>
  <c r="D940" i="3"/>
  <c r="C940" i="3"/>
  <c r="B940" i="3"/>
  <c r="B940" i="5" s="1"/>
  <c r="E939" i="3"/>
  <c r="D939" i="3"/>
  <c r="C939" i="3"/>
  <c r="B939" i="3"/>
  <c r="E938" i="3"/>
  <c r="D938" i="3"/>
  <c r="C938" i="3"/>
  <c r="B938" i="3"/>
  <c r="B938" i="5" s="1"/>
  <c r="E937" i="3"/>
  <c r="D937" i="3"/>
  <c r="C937" i="3"/>
  <c r="B937" i="3"/>
  <c r="B937" i="5" s="1"/>
  <c r="E936" i="3"/>
  <c r="D936" i="3"/>
  <c r="C936" i="3"/>
  <c r="B936" i="3"/>
  <c r="E935" i="3"/>
  <c r="D935" i="3"/>
  <c r="C935" i="3"/>
  <c r="B935" i="3"/>
  <c r="B935" i="5" s="1"/>
  <c r="E934" i="3"/>
  <c r="D934" i="3"/>
  <c r="C934" i="3"/>
  <c r="B934" i="3"/>
  <c r="B934" i="5" s="1"/>
  <c r="E933" i="3"/>
  <c r="D933" i="3"/>
  <c r="C933" i="3"/>
  <c r="B933" i="3"/>
  <c r="E932" i="3"/>
  <c r="D932" i="3"/>
  <c r="C932" i="3"/>
  <c r="B932" i="3"/>
  <c r="B932" i="5" s="1"/>
  <c r="E931" i="3"/>
  <c r="D931" i="3"/>
  <c r="C931" i="3"/>
  <c r="B931" i="3"/>
  <c r="B931" i="5" s="1"/>
  <c r="E930" i="3"/>
  <c r="D930" i="3"/>
  <c r="C930" i="3"/>
  <c r="B930" i="3"/>
  <c r="E929" i="3"/>
  <c r="D929" i="3"/>
  <c r="C929" i="3"/>
  <c r="B929" i="3"/>
  <c r="B929" i="5" s="1"/>
  <c r="E928" i="3"/>
  <c r="D928" i="3"/>
  <c r="C928" i="3"/>
  <c r="B928" i="3"/>
  <c r="B928" i="5" s="1"/>
  <c r="E927" i="3"/>
  <c r="D927" i="3"/>
  <c r="C927" i="3"/>
  <c r="B927" i="3"/>
  <c r="E926" i="3"/>
  <c r="D926" i="3"/>
  <c r="C926" i="3"/>
  <c r="B926" i="3"/>
  <c r="B926" i="5" s="1"/>
  <c r="E925" i="3"/>
  <c r="D925" i="3"/>
  <c r="C925" i="3"/>
  <c r="B925" i="3"/>
  <c r="B925" i="5" s="1"/>
  <c r="E924" i="3"/>
  <c r="D924" i="3"/>
  <c r="C924" i="3"/>
  <c r="B924" i="3"/>
  <c r="E923" i="3"/>
  <c r="D923" i="3"/>
  <c r="C923" i="3"/>
  <c r="B923" i="3"/>
  <c r="B923" i="5" s="1"/>
  <c r="E922" i="3"/>
  <c r="D922" i="3"/>
  <c r="C922" i="3"/>
  <c r="B922" i="3"/>
  <c r="B922" i="5" s="1"/>
  <c r="E921" i="3"/>
  <c r="D921" i="3"/>
  <c r="C921" i="3"/>
  <c r="B921" i="3"/>
  <c r="E920" i="3"/>
  <c r="D920" i="3"/>
  <c r="C920" i="3"/>
  <c r="B920" i="3"/>
  <c r="B920" i="5" s="1"/>
  <c r="E919" i="3"/>
  <c r="D919" i="3"/>
  <c r="C919" i="3"/>
  <c r="B919" i="3"/>
  <c r="B919" i="5" s="1"/>
  <c r="E918" i="3"/>
  <c r="D918" i="3"/>
  <c r="C918" i="3"/>
  <c r="B918" i="3"/>
  <c r="E917" i="3"/>
  <c r="D917" i="3"/>
  <c r="C917" i="3"/>
  <c r="B917" i="3"/>
  <c r="B917" i="5" s="1"/>
  <c r="E916" i="3"/>
  <c r="D916" i="3"/>
  <c r="C916" i="3"/>
  <c r="B916" i="3"/>
  <c r="B916" i="5" s="1"/>
  <c r="E915" i="3"/>
  <c r="D915" i="3"/>
  <c r="C915" i="3"/>
  <c r="B915" i="3"/>
  <c r="E914" i="3"/>
  <c r="D914" i="3"/>
  <c r="C914" i="3"/>
  <c r="B914" i="3"/>
  <c r="B914" i="5" s="1"/>
  <c r="E913" i="3"/>
  <c r="D913" i="3"/>
  <c r="C913" i="3"/>
  <c r="B913" i="3"/>
  <c r="B913" i="5" s="1"/>
  <c r="E912" i="3"/>
  <c r="D912" i="3"/>
  <c r="C912" i="3"/>
  <c r="B912" i="3"/>
  <c r="E911" i="3"/>
  <c r="D911" i="3"/>
  <c r="C911" i="3"/>
  <c r="B911" i="3"/>
  <c r="B911" i="5" s="1"/>
  <c r="E910" i="3"/>
  <c r="D910" i="3"/>
  <c r="C910" i="3"/>
  <c r="B910" i="3"/>
  <c r="B910" i="5" s="1"/>
  <c r="E909" i="3"/>
  <c r="D909" i="3"/>
  <c r="C909" i="3"/>
  <c r="B909" i="3"/>
  <c r="E908" i="3"/>
  <c r="D908" i="3"/>
  <c r="C908" i="3"/>
  <c r="B908" i="3"/>
  <c r="B908" i="5" s="1"/>
  <c r="E907" i="3"/>
  <c r="D907" i="3"/>
  <c r="C907" i="3"/>
  <c r="B907" i="3"/>
  <c r="B907" i="5" s="1"/>
  <c r="E906" i="3"/>
  <c r="D906" i="3"/>
  <c r="C906" i="3"/>
  <c r="B906" i="3"/>
  <c r="E905" i="3"/>
  <c r="D905" i="3"/>
  <c r="C905" i="3"/>
  <c r="B905" i="3"/>
  <c r="B905" i="5" s="1"/>
  <c r="E904" i="3"/>
  <c r="D904" i="3"/>
  <c r="C904" i="3"/>
  <c r="B904" i="3"/>
  <c r="B904" i="5" s="1"/>
  <c r="E903" i="3"/>
  <c r="D903" i="3"/>
  <c r="C903" i="3"/>
  <c r="B903" i="3"/>
  <c r="E902" i="3"/>
  <c r="D902" i="3"/>
  <c r="C902" i="3"/>
  <c r="B902" i="3"/>
  <c r="B902" i="5" s="1"/>
  <c r="E901" i="3"/>
  <c r="D901" i="3"/>
  <c r="C901" i="3"/>
  <c r="B901" i="3"/>
  <c r="B901" i="5" s="1"/>
  <c r="E900" i="3"/>
  <c r="D900" i="3"/>
  <c r="C900" i="3"/>
  <c r="B900" i="3"/>
  <c r="E899" i="3"/>
  <c r="D899" i="3"/>
  <c r="C899" i="3"/>
  <c r="B899" i="3"/>
  <c r="B899" i="5" s="1"/>
  <c r="E898" i="3"/>
  <c r="D898" i="3"/>
  <c r="C898" i="3"/>
  <c r="B898" i="3"/>
  <c r="B898" i="5" s="1"/>
  <c r="E897" i="3"/>
  <c r="D897" i="3"/>
  <c r="C897" i="3"/>
  <c r="B897" i="3"/>
  <c r="E896" i="3"/>
  <c r="D896" i="3"/>
  <c r="C896" i="3"/>
  <c r="B896" i="3"/>
  <c r="B896" i="5" s="1"/>
  <c r="E895" i="3"/>
  <c r="D895" i="3"/>
  <c r="C895" i="3"/>
  <c r="B895" i="3"/>
  <c r="B895" i="5" s="1"/>
  <c r="E894" i="3"/>
  <c r="D894" i="3"/>
  <c r="C894" i="3"/>
  <c r="B894" i="3"/>
  <c r="E893" i="3"/>
  <c r="D893" i="3"/>
  <c r="C893" i="3"/>
  <c r="B893" i="3"/>
  <c r="B893" i="5" s="1"/>
  <c r="E892" i="3"/>
  <c r="D892" i="3"/>
  <c r="C892" i="3"/>
  <c r="B892" i="3"/>
  <c r="B892" i="5" s="1"/>
  <c r="E891" i="3"/>
  <c r="D891" i="3"/>
  <c r="C891" i="3"/>
  <c r="B891" i="3"/>
  <c r="E890" i="3"/>
  <c r="D890" i="3"/>
  <c r="C890" i="3"/>
  <c r="B890" i="3"/>
  <c r="B890" i="5" s="1"/>
  <c r="E889" i="3"/>
  <c r="D889" i="3"/>
  <c r="C889" i="3"/>
  <c r="B889" i="3"/>
  <c r="B889" i="5" s="1"/>
  <c r="E888" i="3"/>
  <c r="D888" i="3"/>
  <c r="C888" i="3"/>
  <c r="B888" i="3"/>
  <c r="E887" i="3"/>
  <c r="D887" i="3"/>
  <c r="C887" i="3"/>
  <c r="B887" i="3"/>
  <c r="B887" i="5" s="1"/>
  <c r="E886" i="3"/>
  <c r="D886" i="3"/>
  <c r="C886" i="3"/>
  <c r="B886" i="3"/>
  <c r="B886" i="5" s="1"/>
  <c r="E885" i="3"/>
  <c r="D885" i="3"/>
  <c r="C885" i="3"/>
  <c r="B885" i="3"/>
  <c r="E884" i="3"/>
  <c r="D884" i="3"/>
  <c r="C884" i="3"/>
  <c r="B884" i="3"/>
  <c r="B884" i="5" s="1"/>
  <c r="E883" i="3"/>
  <c r="D883" i="3"/>
  <c r="C883" i="3"/>
  <c r="B883" i="3"/>
  <c r="B883" i="5" s="1"/>
  <c r="E882" i="3"/>
  <c r="D882" i="3"/>
  <c r="C882" i="3"/>
  <c r="B882" i="3"/>
  <c r="E881" i="3"/>
  <c r="D881" i="3"/>
  <c r="C881" i="3"/>
  <c r="B881" i="3"/>
  <c r="B881" i="5" s="1"/>
  <c r="E880" i="3"/>
  <c r="D880" i="3"/>
  <c r="C880" i="3"/>
  <c r="B880" i="3"/>
  <c r="B880" i="5" s="1"/>
  <c r="E879" i="3"/>
  <c r="D879" i="3"/>
  <c r="C879" i="3"/>
  <c r="B879" i="3"/>
  <c r="E878" i="3"/>
  <c r="D878" i="3"/>
  <c r="C878" i="3"/>
  <c r="B878" i="3"/>
  <c r="B878" i="5" s="1"/>
  <c r="E877" i="3"/>
  <c r="D877" i="3"/>
  <c r="C877" i="3"/>
  <c r="B877" i="3"/>
  <c r="B877" i="5" s="1"/>
  <c r="E876" i="3"/>
  <c r="D876" i="3"/>
  <c r="C876" i="3"/>
  <c r="B876" i="3"/>
  <c r="E875" i="3"/>
  <c r="D875" i="3"/>
  <c r="C875" i="3"/>
  <c r="B875" i="3"/>
  <c r="B875" i="5" s="1"/>
  <c r="E874" i="3"/>
  <c r="D874" i="3"/>
  <c r="C874" i="3"/>
  <c r="B874" i="3"/>
  <c r="B874" i="5" s="1"/>
  <c r="E873" i="3"/>
  <c r="D873" i="3"/>
  <c r="C873" i="3"/>
  <c r="B873" i="3"/>
  <c r="E872" i="3"/>
  <c r="D872" i="3"/>
  <c r="C872" i="3"/>
  <c r="B872" i="3"/>
  <c r="B872" i="5" s="1"/>
  <c r="E871" i="3"/>
  <c r="D871" i="3"/>
  <c r="C871" i="3"/>
  <c r="B871" i="3"/>
  <c r="B871" i="5" s="1"/>
  <c r="E870" i="3"/>
  <c r="D870" i="3"/>
  <c r="C870" i="3"/>
  <c r="B870" i="3"/>
  <c r="E869" i="3"/>
  <c r="D869" i="3"/>
  <c r="C869" i="3"/>
  <c r="B869" i="3"/>
  <c r="B869" i="5" s="1"/>
  <c r="E868" i="3"/>
  <c r="D868" i="3"/>
  <c r="C868" i="3"/>
  <c r="B868" i="3"/>
  <c r="B868" i="5" s="1"/>
  <c r="E867" i="3"/>
  <c r="D867" i="3"/>
  <c r="C867" i="3"/>
  <c r="B867" i="3"/>
  <c r="E866" i="3"/>
  <c r="D866" i="3"/>
  <c r="C866" i="3"/>
  <c r="B866" i="3"/>
  <c r="B866" i="5" s="1"/>
  <c r="E865" i="3"/>
  <c r="D865" i="3"/>
  <c r="C865" i="3"/>
  <c r="B865" i="3"/>
  <c r="B865" i="5" s="1"/>
  <c r="E864" i="3"/>
  <c r="D864" i="3"/>
  <c r="C864" i="3"/>
  <c r="B864" i="3"/>
  <c r="E863" i="3"/>
  <c r="D863" i="3"/>
  <c r="C863" i="3"/>
  <c r="B863" i="3"/>
  <c r="B863" i="5" s="1"/>
  <c r="E862" i="3"/>
  <c r="D862" i="3"/>
  <c r="C862" i="3"/>
  <c r="B862" i="3"/>
  <c r="B862" i="5" s="1"/>
  <c r="E861" i="3"/>
  <c r="D861" i="3"/>
  <c r="C861" i="3"/>
  <c r="B861" i="3"/>
  <c r="E860" i="3"/>
  <c r="D860" i="3"/>
  <c r="C860" i="3"/>
  <c r="B860" i="3"/>
  <c r="B860" i="5" s="1"/>
  <c r="E859" i="3"/>
  <c r="D859" i="3"/>
  <c r="C859" i="3"/>
  <c r="B859" i="3"/>
  <c r="B859" i="5" s="1"/>
  <c r="E858" i="3"/>
  <c r="D858" i="3"/>
  <c r="C858" i="3"/>
  <c r="B858" i="3"/>
  <c r="E857" i="3"/>
  <c r="D857" i="3"/>
  <c r="C857" i="3"/>
  <c r="B857" i="3"/>
  <c r="B857" i="5" s="1"/>
  <c r="E856" i="3"/>
  <c r="D856" i="3"/>
  <c r="C856" i="3"/>
  <c r="B856" i="3"/>
  <c r="B856" i="5" s="1"/>
  <c r="E855" i="3"/>
  <c r="D855" i="3"/>
  <c r="C855" i="3"/>
  <c r="B855" i="3"/>
  <c r="E854" i="3"/>
  <c r="D854" i="3"/>
  <c r="C854" i="3"/>
  <c r="B854" i="3"/>
  <c r="B854" i="5" s="1"/>
  <c r="E853" i="3"/>
  <c r="D853" i="3"/>
  <c r="C853" i="3"/>
  <c r="B853" i="3"/>
  <c r="B853" i="5" s="1"/>
  <c r="E852" i="3"/>
  <c r="D852" i="3"/>
  <c r="C852" i="3"/>
  <c r="B852" i="3"/>
  <c r="E851" i="3"/>
  <c r="D851" i="3"/>
  <c r="C851" i="3"/>
  <c r="B851" i="3"/>
  <c r="B851" i="5" s="1"/>
  <c r="E850" i="3"/>
  <c r="D850" i="3"/>
  <c r="C850" i="3"/>
  <c r="B850" i="3"/>
  <c r="B850" i="5" s="1"/>
  <c r="E849" i="3"/>
  <c r="D849" i="3"/>
  <c r="C849" i="3"/>
  <c r="B849" i="3"/>
  <c r="E848" i="3"/>
  <c r="D848" i="3"/>
  <c r="C848" i="3"/>
  <c r="B848" i="3"/>
  <c r="B848" i="5" s="1"/>
  <c r="E847" i="3"/>
  <c r="D847" i="3"/>
  <c r="C847" i="3"/>
  <c r="B847" i="3"/>
  <c r="B847" i="5" s="1"/>
  <c r="E846" i="3"/>
  <c r="D846" i="3"/>
  <c r="C846" i="3"/>
  <c r="B846" i="3"/>
  <c r="E845" i="3"/>
  <c r="D845" i="3"/>
  <c r="C845" i="3"/>
  <c r="B845" i="3"/>
  <c r="B845" i="5" s="1"/>
  <c r="E844" i="3"/>
  <c r="D844" i="3"/>
  <c r="C844" i="3"/>
  <c r="B844" i="3"/>
  <c r="B844" i="5" s="1"/>
  <c r="E843" i="3"/>
  <c r="D843" i="3"/>
  <c r="C843" i="3"/>
  <c r="B843" i="3"/>
  <c r="E842" i="3"/>
  <c r="D842" i="3"/>
  <c r="C842" i="3"/>
  <c r="B842" i="3"/>
  <c r="B842" i="5" s="1"/>
  <c r="E841" i="3"/>
  <c r="D841" i="3"/>
  <c r="C841" i="3"/>
  <c r="B841" i="3"/>
  <c r="B841" i="5" s="1"/>
  <c r="E840" i="3"/>
  <c r="D840" i="3"/>
  <c r="C840" i="3"/>
  <c r="B840" i="3"/>
  <c r="E839" i="3"/>
  <c r="D839" i="3"/>
  <c r="C839" i="3"/>
  <c r="B839" i="3"/>
  <c r="B839" i="5" s="1"/>
  <c r="E838" i="3"/>
  <c r="D838" i="3"/>
  <c r="C838" i="3"/>
  <c r="B838" i="3"/>
  <c r="B838" i="5" s="1"/>
  <c r="E837" i="3"/>
  <c r="D837" i="3"/>
  <c r="C837" i="3"/>
  <c r="B837" i="3"/>
  <c r="E836" i="3"/>
  <c r="D836" i="3"/>
  <c r="C836" i="3"/>
  <c r="B836" i="3"/>
  <c r="B836" i="5" s="1"/>
  <c r="E835" i="3"/>
  <c r="D835" i="3"/>
  <c r="C835" i="3"/>
  <c r="B835" i="3"/>
  <c r="B835" i="5" s="1"/>
  <c r="E834" i="3"/>
  <c r="D834" i="3"/>
  <c r="C834" i="3"/>
  <c r="B834" i="3"/>
  <c r="E833" i="3"/>
  <c r="D833" i="3"/>
  <c r="C833" i="3"/>
  <c r="B833" i="3"/>
  <c r="B833" i="5" s="1"/>
  <c r="E832" i="3"/>
  <c r="D832" i="3"/>
  <c r="C832" i="3"/>
  <c r="B832" i="3"/>
  <c r="B832" i="5" s="1"/>
  <c r="E831" i="3"/>
  <c r="D831" i="3"/>
  <c r="C831" i="3"/>
  <c r="B831" i="3"/>
  <c r="E830" i="3"/>
  <c r="D830" i="3"/>
  <c r="C830" i="3"/>
  <c r="B830" i="3"/>
  <c r="B830" i="5" s="1"/>
  <c r="E829" i="3"/>
  <c r="D829" i="3"/>
  <c r="C829" i="3"/>
  <c r="B829" i="3"/>
  <c r="B829" i="5" s="1"/>
  <c r="E828" i="3"/>
  <c r="D828" i="3"/>
  <c r="C828" i="3"/>
  <c r="B828" i="3"/>
  <c r="E827" i="3"/>
  <c r="D827" i="3"/>
  <c r="C827" i="3"/>
  <c r="B827" i="3"/>
  <c r="B827" i="5" s="1"/>
  <c r="E826" i="3"/>
  <c r="D826" i="3"/>
  <c r="C826" i="3"/>
  <c r="B826" i="3"/>
  <c r="B826" i="5" s="1"/>
  <c r="E825" i="3"/>
  <c r="D825" i="3"/>
  <c r="C825" i="3"/>
  <c r="B825" i="3"/>
  <c r="E824" i="3"/>
  <c r="D824" i="3"/>
  <c r="C824" i="3"/>
  <c r="B824" i="3"/>
  <c r="B824" i="5" s="1"/>
  <c r="E823" i="3"/>
  <c r="D823" i="3"/>
  <c r="C823" i="3"/>
  <c r="B823" i="3"/>
  <c r="B823" i="5" s="1"/>
  <c r="E822" i="3"/>
  <c r="D822" i="3"/>
  <c r="C822" i="3"/>
  <c r="B822" i="3"/>
  <c r="E821" i="3"/>
  <c r="D821" i="3"/>
  <c r="C821" i="3"/>
  <c r="B821" i="3"/>
  <c r="B821" i="5" s="1"/>
  <c r="E820" i="3"/>
  <c r="D820" i="3"/>
  <c r="C820" i="3"/>
  <c r="B820" i="3"/>
  <c r="B820" i="5" s="1"/>
  <c r="E819" i="3"/>
  <c r="D819" i="3"/>
  <c r="C819" i="3"/>
  <c r="B819" i="3"/>
  <c r="E818" i="3"/>
  <c r="D818" i="3"/>
  <c r="C818" i="3"/>
  <c r="B818" i="3"/>
  <c r="B818" i="5" s="1"/>
  <c r="E817" i="3"/>
  <c r="D817" i="3"/>
  <c r="C817" i="3"/>
  <c r="B817" i="3"/>
  <c r="B817" i="5" s="1"/>
  <c r="E816" i="3"/>
  <c r="D816" i="3"/>
  <c r="C816" i="3"/>
  <c r="B816" i="3"/>
  <c r="E815" i="3"/>
  <c r="D815" i="3"/>
  <c r="C815" i="3"/>
  <c r="B815" i="3"/>
  <c r="B815" i="5" s="1"/>
  <c r="E814" i="3"/>
  <c r="D814" i="3"/>
  <c r="C814" i="3"/>
  <c r="B814" i="3"/>
  <c r="B814" i="5" s="1"/>
  <c r="E813" i="3"/>
  <c r="D813" i="3"/>
  <c r="C813" i="3"/>
  <c r="B813" i="3"/>
  <c r="E812" i="3"/>
  <c r="D812" i="3"/>
  <c r="C812" i="3"/>
  <c r="B812" i="3"/>
  <c r="B812" i="5" s="1"/>
  <c r="E811" i="3"/>
  <c r="D811" i="3"/>
  <c r="C811" i="3"/>
  <c r="B811" i="3"/>
  <c r="B811" i="5" s="1"/>
  <c r="E810" i="3"/>
  <c r="D810" i="3"/>
  <c r="C810" i="3"/>
  <c r="B810" i="3"/>
  <c r="E809" i="3"/>
  <c r="D809" i="3"/>
  <c r="C809" i="3"/>
  <c r="B809" i="3"/>
  <c r="B809" i="5" s="1"/>
  <c r="E808" i="3"/>
  <c r="D808" i="3"/>
  <c r="C808" i="3"/>
  <c r="B808" i="3"/>
  <c r="B808" i="5" s="1"/>
  <c r="E807" i="3"/>
  <c r="D807" i="3"/>
  <c r="C807" i="3"/>
  <c r="B807" i="3"/>
  <c r="E806" i="3"/>
  <c r="D806" i="3"/>
  <c r="C806" i="3"/>
  <c r="B806" i="3"/>
  <c r="B806" i="5" s="1"/>
  <c r="E805" i="3"/>
  <c r="D805" i="3"/>
  <c r="C805" i="3"/>
  <c r="B805" i="3"/>
  <c r="B805" i="5" s="1"/>
  <c r="E804" i="3"/>
  <c r="D804" i="3"/>
  <c r="C804" i="3"/>
  <c r="B804" i="3"/>
  <c r="E803" i="3"/>
  <c r="D803" i="3"/>
  <c r="C803" i="3"/>
  <c r="B803" i="3"/>
  <c r="B803" i="5" s="1"/>
  <c r="E802" i="3"/>
  <c r="D802" i="3"/>
  <c r="C802" i="3"/>
  <c r="B802" i="3"/>
  <c r="B802" i="5" s="1"/>
  <c r="E801" i="3"/>
  <c r="D801" i="3"/>
  <c r="C801" i="3"/>
  <c r="B801" i="3"/>
  <c r="E800" i="3"/>
  <c r="D800" i="3"/>
  <c r="C800" i="3"/>
  <c r="B800" i="3"/>
  <c r="B800" i="5" s="1"/>
  <c r="E799" i="3"/>
  <c r="D799" i="3"/>
  <c r="C799" i="3"/>
  <c r="B799" i="3"/>
  <c r="B799" i="5" s="1"/>
  <c r="E798" i="3"/>
  <c r="D798" i="3"/>
  <c r="C798" i="3"/>
  <c r="B798" i="3"/>
  <c r="E797" i="3"/>
  <c r="D797" i="3"/>
  <c r="C797" i="3"/>
  <c r="B797" i="3"/>
  <c r="B797" i="5" s="1"/>
  <c r="E796" i="3"/>
  <c r="D796" i="3"/>
  <c r="C796" i="3"/>
  <c r="B796" i="3"/>
  <c r="B796" i="5" s="1"/>
  <c r="E795" i="3"/>
  <c r="D795" i="3"/>
  <c r="C795" i="3"/>
  <c r="B795" i="3"/>
  <c r="E794" i="3"/>
  <c r="D794" i="3"/>
  <c r="C794" i="3"/>
  <c r="B794" i="3"/>
  <c r="B794" i="5" s="1"/>
  <c r="E793" i="3"/>
  <c r="D793" i="3"/>
  <c r="C793" i="3"/>
  <c r="B793" i="3"/>
  <c r="B793" i="5" s="1"/>
  <c r="E792" i="3"/>
  <c r="D792" i="3"/>
  <c r="C792" i="3"/>
  <c r="B792" i="3"/>
  <c r="E791" i="3"/>
  <c r="D791" i="3"/>
  <c r="C791" i="3"/>
  <c r="B791" i="3"/>
  <c r="B791" i="5" s="1"/>
  <c r="E790" i="3"/>
  <c r="D790" i="3"/>
  <c r="C790" i="3"/>
  <c r="B790" i="3"/>
  <c r="B790" i="5" s="1"/>
  <c r="E789" i="3"/>
  <c r="D789" i="3"/>
  <c r="C789" i="3"/>
  <c r="B789" i="3"/>
  <c r="E788" i="3"/>
  <c r="D788" i="3"/>
  <c r="C788" i="3"/>
  <c r="B788" i="3"/>
  <c r="B788" i="5" s="1"/>
  <c r="E787" i="3"/>
  <c r="D787" i="3"/>
  <c r="C787" i="3"/>
  <c r="B787" i="3"/>
  <c r="B787" i="5" s="1"/>
  <c r="E786" i="3"/>
  <c r="D786" i="3"/>
  <c r="C786" i="3"/>
  <c r="B786" i="3"/>
  <c r="E785" i="3"/>
  <c r="D785" i="3"/>
  <c r="C785" i="3"/>
  <c r="B785" i="3"/>
  <c r="B785" i="5" s="1"/>
  <c r="E784" i="3"/>
  <c r="D784" i="3"/>
  <c r="C784" i="3"/>
  <c r="B784" i="3"/>
  <c r="B784" i="5" s="1"/>
  <c r="E783" i="3"/>
  <c r="D783" i="3"/>
  <c r="C783" i="3"/>
  <c r="B783" i="3"/>
  <c r="E782" i="3"/>
  <c r="D782" i="3"/>
  <c r="C782" i="3"/>
  <c r="B782" i="3"/>
  <c r="B782" i="5" s="1"/>
  <c r="E781" i="3"/>
  <c r="D781" i="3"/>
  <c r="C781" i="3"/>
  <c r="B781" i="3"/>
  <c r="B781" i="5" s="1"/>
  <c r="E780" i="3"/>
  <c r="D780" i="3"/>
  <c r="C780" i="3"/>
  <c r="B780" i="3"/>
  <c r="E779" i="3"/>
  <c r="D779" i="3"/>
  <c r="C779" i="3"/>
  <c r="B779" i="3"/>
  <c r="B779" i="5" s="1"/>
  <c r="E778" i="3"/>
  <c r="D778" i="3"/>
  <c r="C778" i="3"/>
  <c r="B778" i="3"/>
  <c r="B778" i="5" s="1"/>
  <c r="E777" i="3"/>
  <c r="D777" i="3"/>
  <c r="C777" i="3"/>
  <c r="B777" i="3"/>
  <c r="E776" i="3"/>
  <c r="D776" i="3"/>
  <c r="C776" i="3"/>
  <c r="B776" i="3"/>
  <c r="B776" i="5" s="1"/>
  <c r="E775" i="3"/>
  <c r="D775" i="3"/>
  <c r="C775" i="3"/>
  <c r="B775" i="3"/>
  <c r="B775" i="5" s="1"/>
  <c r="E774" i="3"/>
  <c r="D774" i="3"/>
  <c r="C774" i="3"/>
  <c r="B774" i="3"/>
  <c r="E773" i="3"/>
  <c r="D773" i="3"/>
  <c r="C773" i="3"/>
  <c r="B773" i="3"/>
  <c r="B773" i="5" s="1"/>
  <c r="E772" i="3"/>
  <c r="D772" i="3"/>
  <c r="C772" i="3"/>
  <c r="B772" i="3"/>
  <c r="B772" i="5" s="1"/>
  <c r="E771" i="3"/>
  <c r="D771" i="3"/>
  <c r="C771" i="3"/>
  <c r="B771" i="3"/>
  <c r="E770" i="3"/>
  <c r="D770" i="3"/>
  <c r="C770" i="3"/>
  <c r="B770" i="3"/>
  <c r="B770" i="5" s="1"/>
  <c r="E769" i="3"/>
  <c r="D769" i="3"/>
  <c r="C769" i="3"/>
  <c r="B769" i="3"/>
  <c r="B769" i="5" s="1"/>
  <c r="E768" i="3"/>
  <c r="D768" i="3"/>
  <c r="C768" i="3"/>
  <c r="B768" i="3"/>
  <c r="E767" i="3"/>
  <c r="D767" i="3"/>
  <c r="C767" i="3"/>
  <c r="B767" i="3"/>
  <c r="B767" i="5" s="1"/>
  <c r="E766" i="3"/>
  <c r="D766" i="3"/>
  <c r="C766" i="3"/>
  <c r="B766" i="3"/>
  <c r="B766" i="5" s="1"/>
  <c r="E765" i="3"/>
  <c r="D765" i="3"/>
  <c r="C765" i="3"/>
  <c r="B765" i="3"/>
  <c r="E764" i="3"/>
  <c r="D764" i="3"/>
  <c r="C764" i="3"/>
  <c r="B764" i="3"/>
  <c r="B764" i="5" s="1"/>
  <c r="E763" i="3"/>
  <c r="D763" i="3"/>
  <c r="C763" i="3"/>
  <c r="B763" i="3"/>
  <c r="B763" i="5" s="1"/>
  <c r="E762" i="3"/>
  <c r="D762" i="3"/>
  <c r="C762" i="3"/>
  <c r="B762" i="3"/>
  <c r="E761" i="3"/>
  <c r="D761" i="3"/>
  <c r="C761" i="3"/>
  <c r="B761" i="3"/>
  <c r="B761" i="5" s="1"/>
  <c r="E760" i="3"/>
  <c r="D760" i="3"/>
  <c r="C760" i="3"/>
  <c r="B760" i="3"/>
  <c r="B760" i="5" s="1"/>
  <c r="E759" i="3"/>
  <c r="D759" i="3"/>
  <c r="C759" i="3"/>
  <c r="B759" i="3"/>
  <c r="E758" i="3"/>
  <c r="D758" i="3"/>
  <c r="C758" i="3"/>
  <c r="B758" i="3"/>
  <c r="B758" i="5" s="1"/>
  <c r="E757" i="3"/>
  <c r="D757" i="3"/>
  <c r="C757" i="3"/>
  <c r="B757" i="3"/>
  <c r="B757" i="5" s="1"/>
  <c r="E756" i="3"/>
  <c r="D756" i="3"/>
  <c r="C756" i="3"/>
  <c r="B756" i="3"/>
  <c r="E755" i="3"/>
  <c r="D755" i="3"/>
  <c r="C755" i="3"/>
  <c r="B755" i="3"/>
  <c r="B755" i="5" s="1"/>
  <c r="E754" i="3"/>
  <c r="D754" i="3"/>
  <c r="C754" i="3"/>
  <c r="B754" i="3"/>
  <c r="B754" i="5" s="1"/>
  <c r="E753" i="3"/>
  <c r="D753" i="3"/>
  <c r="C753" i="3"/>
  <c r="B753" i="3"/>
  <c r="E752" i="3"/>
  <c r="D752" i="3"/>
  <c r="C752" i="3"/>
  <c r="B752" i="3"/>
  <c r="B752" i="5" s="1"/>
  <c r="E751" i="3"/>
  <c r="D751" i="3"/>
  <c r="C751" i="3"/>
  <c r="B751" i="3"/>
  <c r="B751" i="5" s="1"/>
  <c r="E750" i="3"/>
  <c r="D750" i="3"/>
  <c r="C750" i="3"/>
  <c r="B750" i="3"/>
  <c r="E749" i="3"/>
  <c r="D749" i="3"/>
  <c r="C749" i="3"/>
  <c r="B749" i="3"/>
  <c r="B749" i="5" s="1"/>
  <c r="E748" i="3"/>
  <c r="D748" i="3"/>
  <c r="C748" i="3"/>
  <c r="B748" i="3"/>
  <c r="B748" i="5" s="1"/>
  <c r="E747" i="3"/>
  <c r="D747" i="3"/>
  <c r="C747" i="3"/>
  <c r="B747" i="3"/>
  <c r="E746" i="3"/>
  <c r="D746" i="3"/>
  <c r="C746" i="3"/>
  <c r="B746" i="3"/>
  <c r="B746" i="5" s="1"/>
  <c r="E745" i="3"/>
  <c r="D745" i="3"/>
  <c r="C745" i="3"/>
  <c r="B745" i="3"/>
  <c r="B745" i="5" s="1"/>
  <c r="E744" i="3"/>
  <c r="D744" i="3"/>
  <c r="C744" i="3"/>
  <c r="B744" i="3"/>
  <c r="E743" i="3"/>
  <c r="D743" i="3"/>
  <c r="C743" i="3"/>
  <c r="B743" i="3"/>
  <c r="B743" i="5" s="1"/>
  <c r="E742" i="3"/>
  <c r="D742" i="3"/>
  <c r="C742" i="3"/>
  <c r="B742" i="3"/>
  <c r="B742" i="5" s="1"/>
  <c r="E741" i="3"/>
  <c r="D741" i="3"/>
  <c r="C741" i="3"/>
  <c r="B741" i="3"/>
  <c r="E740" i="3"/>
  <c r="D740" i="3"/>
  <c r="C740" i="3"/>
  <c r="B740" i="3"/>
  <c r="B740" i="5" s="1"/>
  <c r="E739" i="3"/>
  <c r="D739" i="3"/>
  <c r="C739" i="3"/>
  <c r="B739" i="3"/>
  <c r="B739" i="5" s="1"/>
  <c r="E738" i="3"/>
  <c r="D738" i="3"/>
  <c r="C738" i="3"/>
  <c r="B738" i="3"/>
  <c r="E737" i="3"/>
  <c r="D737" i="3"/>
  <c r="C737" i="3"/>
  <c r="B737" i="3"/>
  <c r="B737" i="5" s="1"/>
  <c r="E736" i="3"/>
  <c r="D736" i="3"/>
  <c r="C736" i="3"/>
  <c r="B736" i="3"/>
  <c r="B736" i="5" s="1"/>
  <c r="E735" i="3"/>
  <c r="D735" i="3"/>
  <c r="C735" i="3"/>
  <c r="B735" i="3"/>
  <c r="E734" i="3"/>
  <c r="D734" i="3"/>
  <c r="C734" i="3"/>
  <c r="B734" i="3"/>
  <c r="B734" i="5" s="1"/>
  <c r="E733" i="3"/>
  <c r="D733" i="3"/>
  <c r="C733" i="3"/>
  <c r="B733" i="3"/>
  <c r="B733" i="5" s="1"/>
  <c r="E732" i="3"/>
  <c r="D732" i="3"/>
  <c r="C732" i="3"/>
  <c r="B732" i="3"/>
  <c r="E731" i="3"/>
  <c r="D731" i="3"/>
  <c r="C731" i="3"/>
  <c r="B731" i="3"/>
  <c r="B731" i="5" s="1"/>
  <c r="E730" i="3"/>
  <c r="D730" i="3"/>
  <c r="C730" i="3"/>
  <c r="B730" i="3"/>
  <c r="B730" i="5" s="1"/>
  <c r="E729" i="3"/>
  <c r="D729" i="3"/>
  <c r="C729" i="3"/>
  <c r="B729" i="3"/>
  <c r="E728" i="3"/>
  <c r="D728" i="3"/>
  <c r="C728" i="3"/>
  <c r="B728" i="3"/>
  <c r="B728" i="5" s="1"/>
  <c r="E727" i="3"/>
  <c r="D727" i="3"/>
  <c r="C727" i="3"/>
  <c r="B727" i="3"/>
  <c r="B727" i="5" s="1"/>
  <c r="E726" i="3"/>
  <c r="D726" i="3"/>
  <c r="C726" i="3"/>
  <c r="B726" i="3"/>
  <c r="E725" i="3"/>
  <c r="D725" i="3"/>
  <c r="C725" i="3"/>
  <c r="B725" i="3"/>
  <c r="B725" i="5" s="1"/>
  <c r="E724" i="3"/>
  <c r="D724" i="3"/>
  <c r="C724" i="3"/>
  <c r="B724" i="3"/>
  <c r="B724" i="5" s="1"/>
  <c r="E723" i="3"/>
  <c r="D723" i="3"/>
  <c r="C723" i="3"/>
  <c r="B723" i="3"/>
  <c r="E722" i="3"/>
  <c r="D722" i="3"/>
  <c r="C722" i="3"/>
  <c r="B722" i="3"/>
  <c r="B722" i="5" s="1"/>
  <c r="E721" i="3"/>
  <c r="D721" i="3"/>
  <c r="C721" i="3"/>
  <c r="B721" i="3"/>
  <c r="B721" i="5" s="1"/>
  <c r="E720" i="3"/>
  <c r="D720" i="3"/>
  <c r="C720" i="3"/>
  <c r="B720" i="3"/>
  <c r="E719" i="3"/>
  <c r="D719" i="3"/>
  <c r="C719" i="3"/>
  <c r="B719" i="3"/>
  <c r="B719" i="5" s="1"/>
  <c r="E718" i="3"/>
  <c r="D718" i="3"/>
  <c r="C718" i="3"/>
  <c r="B718" i="3"/>
  <c r="B718" i="5" s="1"/>
  <c r="E717" i="3"/>
  <c r="D717" i="3"/>
  <c r="C717" i="3"/>
  <c r="B717" i="3"/>
  <c r="E716" i="3"/>
  <c r="D716" i="3"/>
  <c r="C716" i="3"/>
  <c r="B716" i="3"/>
  <c r="B716" i="5" s="1"/>
  <c r="E715" i="3"/>
  <c r="D715" i="3"/>
  <c r="C715" i="3"/>
  <c r="B715" i="3"/>
  <c r="B715" i="5" s="1"/>
  <c r="E714" i="3"/>
  <c r="D714" i="3"/>
  <c r="C714" i="3"/>
  <c r="B714" i="3"/>
  <c r="E713" i="3"/>
  <c r="D713" i="3"/>
  <c r="C713" i="3"/>
  <c r="B713" i="3"/>
  <c r="B713" i="5" s="1"/>
  <c r="E712" i="3"/>
  <c r="D712" i="3"/>
  <c r="C712" i="3"/>
  <c r="B712" i="3"/>
  <c r="B712" i="5" s="1"/>
  <c r="E711" i="3"/>
  <c r="D711" i="3"/>
  <c r="C711" i="3"/>
  <c r="B711" i="3"/>
  <c r="B711" i="5" s="1"/>
  <c r="E710" i="3"/>
  <c r="D710" i="3"/>
  <c r="C710" i="3"/>
  <c r="B710" i="3"/>
  <c r="B710" i="5" s="1"/>
  <c r="E709" i="3"/>
  <c r="D709" i="3"/>
  <c r="C709" i="3"/>
  <c r="B709" i="3"/>
  <c r="B709" i="5" s="1"/>
  <c r="E708" i="3"/>
  <c r="D708" i="3"/>
  <c r="C708" i="3"/>
  <c r="B708" i="3"/>
  <c r="B708" i="5" s="1"/>
  <c r="E707" i="3"/>
  <c r="D707" i="3"/>
  <c r="C707" i="3"/>
  <c r="B707" i="3"/>
  <c r="B707" i="5" s="1"/>
  <c r="E706" i="3"/>
  <c r="D706" i="3"/>
  <c r="C706" i="3"/>
  <c r="B706" i="3"/>
  <c r="B706" i="5" s="1"/>
  <c r="E705" i="3"/>
  <c r="D705" i="3"/>
  <c r="C705" i="3"/>
  <c r="B705" i="3"/>
  <c r="B705" i="5" s="1"/>
  <c r="E704" i="3"/>
  <c r="D704" i="3"/>
  <c r="C704" i="3"/>
  <c r="B704" i="3"/>
  <c r="B704" i="5" s="1"/>
  <c r="E703" i="3"/>
  <c r="D703" i="3"/>
  <c r="C703" i="3"/>
  <c r="B703" i="3"/>
  <c r="B703" i="5" s="1"/>
  <c r="E702" i="3"/>
  <c r="D702" i="3"/>
  <c r="C702" i="3"/>
  <c r="B702" i="3"/>
  <c r="B702" i="5" s="1"/>
  <c r="E701" i="3"/>
  <c r="D701" i="3"/>
  <c r="C701" i="3"/>
  <c r="B701" i="3"/>
  <c r="B701" i="5" s="1"/>
  <c r="E700" i="3"/>
  <c r="D700" i="3"/>
  <c r="C700" i="3"/>
  <c r="B700" i="3"/>
  <c r="B700" i="5" s="1"/>
  <c r="E699" i="3"/>
  <c r="D699" i="3"/>
  <c r="C699" i="3"/>
  <c r="B699" i="3"/>
  <c r="B699" i="5" s="1"/>
  <c r="E698" i="3"/>
  <c r="D698" i="3"/>
  <c r="C698" i="3"/>
  <c r="B698" i="3"/>
  <c r="B698" i="5" s="1"/>
  <c r="E697" i="3"/>
  <c r="D697" i="3"/>
  <c r="C697" i="3"/>
  <c r="B697" i="3"/>
  <c r="B697" i="5" s="1"/>
  <c r="E696" i="3"/>
  <c r="D696" i="3"/>
  <c r="C696" i="3"/>
  <c r="B696" i="3"/>
  <c r="B696" i="5" s="1"/>
  <c r="E695" i="3"/>
  <c r="D695" i="3"/>
  <c r="C695" i="3"/>
  <c r="B695" i="3"/>
  <c r="B695" i="5" s="1"/>
  <c r="E694" i="3"/>
  <c r="D694" i="3"/>
  <c r="C694" i="3"/>
  <c r="B694" i="3"/>
  <c r="B694" i="5" s="1"/>
  <c r="E693" i="3"/>
  <c r="D693" i="3"/>
  <c r="C693" i="3"/>
  <c r="B693" i="3"/>
  <c r="B693" i="5" s="1"/>
  <c r="E692" i="3"/>
  <c r="D692" i="3"/>
  <c r="C692" i="3"/>
  <c r="B692" i="3"/>
  <c r="B692" i="5" s="1"/>
  <c r="E691" i="3"/>
  <c r="D691" i="3"/>
  <c r="C691" i="3"/>
  <c r="B691" i="3"/>
  <c r="B691" i="5" s="1"/>
  <c r="E690" i="3"/>
  <c r="D690" i="3"/>
  <c r="C690" i="3"/>
  <c r="B690" i="3"/>
  <c r="B690" i="5" s="1"/>
  <c r="E689" i="3"/>
  <c r="D689" i="3"/>
  <c r="C689" i="3"/>
  <c r="B689" i="3"/>
  <c r="B689" i="5" s="1"/>
  <c r="E688" i="3"/>
  <c r="D688" i="3"/>
  <c r="C688" i="3"/>
  <c r="B688" i="3"/>
  <c r="B688" i="5" s="1"/>
  <c r="E687" i="3"/>
  <c r="D687" i="3"/>
  <c r="C687" i="3"/>
  <c r="B687" i="3"/>
  <c r="B687" i="5" s="1"/>
  <c r="E686" i="3"/>
  <c r="D686" i="3"/>
  <c r="C686" i="3"/>
  <c r="B686" i="3"/>
  <c r="B686" i="5" s="1"/>
  <c r="E685" i="3"/>
  <c r="D685" i="3"/>
  <c r="C685" i="3"/>
  <c r="B685" i="3"/>
  <c r="B685" i="5" s="1"/>
  <c r="E684" i="3"/>
  <c r="D684" i="3"/>
  <c r="C684" i="3"/>
  <c r="B684" i="3"/>
  <c r="B684" i="5" s="1"/>
  <c r="E683" i="3"/>
  <c r="D683" i="3"/>
  <c r="C683" i="3"/>
  <c r="B683" i="3"/>
  <c r="B683" i="5" s="1"/>
  <c r="E682" i="3"/>
  <c r="D682" i="3"/>
  <c r="C682" i="3"/>
  <c r="B682" i="3"/>
  <c r="B682" i="5" s="1"/>
  <c r="E681" i="3"/>
  <c r="D681" i="3"/>
  <c r="C681" i="3"/>
  <c r="B681" i="3"/>
  <c r="B681" i="5" s="1"/>
  <c r="E680" i="3"/>
  <c r="D680" i="3"/>
  <c r="C680" i="3"/>
  <c r="B680" i="3"/>
  <c r="B680" i="5" s="1"/>
  <c r="E679" i="3"/>
  <c r="D679" i="3"/>
  <c r="C679" i="3"/>
  <c r="B679" i="3"/>
  <c r="B679" i="5" s="1"/>
  <c r="E678" i="3"/>
  <c r="D678" i="3"/>
  <c r="C678" i="3"/>
  <c r="B678" i="3"/>
  <c r="B678" i="5" s="1"/>
  <c r="E677" i="3"/>
  <c r="D677" i="3"/>
  <c r="C677" i="3"/>
  <c r="B677" i="3"/>
  <c r="B677" i="5" s="1"/>
  <c r="E676" i="3"/>
  <c r="D676" i="3"/>
  <c r="C676" i="3"/>
  <c r="B676" i="3"/>
  <c r="B676" i="5" s="1"/>
  <c r="E675" i="3"/>
  <c r="D675" i="3"/>
  <c r="C675" i="3"/>
  <c r="B675" i="3"/>
  <c r="B675" i="5" s="1"/>
  <c r="E674" i="3"/>
  <c r="D674" i="3"/>
  <c r="C674" i="3"/>
  <c r="B674" i="3"/>
  <c r="B674" i="5" s="1"/>
  <c r="E673" i="3"/>
  <c r="D673" i="3"/>
  <c r="C673" i="3"/>
  <c r="B673" i="3"/>
  <c r="B673" i="5" s="1"/>
  <c r="E672" i="3"/>
  <c r="D672" i="3"/>
  <c r="C672" i="3"/>
  <c r="B672" i="3"/>
  <c r="B672" i="5" s="1"/>
  <c r="E671" i="3"/>
  <c r="D671" i="3"/>
  <c r="C671" i="3"/>
  <c r="B671" i="3"/>
  <c r="B671" i="5" s="1"/>
  <c r="E670" i="3"/>
  <c r="D670" i="3"/>
  <c r="C670" i="3"/>
  <c r="B670" i="3"/>
  <c r="B670" i="5" s="1"/>
  <c r="E669" i="3"/>
  <c r="D669" i="3"/>
  <c r="C669" i="3"/>
  <c r="B669" i="3"/>
  <c r="B669" i="5" s="1"/>
  <c r="E668" i="3"/>
  <c r="D668" i="3"/>
  <c r="C668" i="3"/>
  <c r="B668" i="3"/>
  <c r="B668" i="5" s="1"/>
  <c r="E667" i="3"/>
  <c r="D667" i="3"/>
  <c r="C667" i="3"/>
  <c r="B667" i="3"/>
  <c r="B667" i="5" s="1"/>
  <c r="E666" i="3"/>
  <c r="D666" i="3"/>
  <c r="C666" i="3"/>
  <c r="B666" i="3"/>
  <c r="B666" i="5" s="1"/>
  <c r="E665" i="3"/>
  <c r="D665" i="3"/>
  <c r="C665" i="3"/>
  <c r="B665" i="3"/>
  <c r="B665" i="5" s="1"/>
  <c r="E664" i="3"/>
  <c r="D664" i="3"/>
  <c r="C664" i="3"/>
  <c r="B664" i="3"/>
  <c r="B664" i="5" s="1"/>
  <c r="E663" i="3"/>
  <c r="D663" i="3"/>
  <c r="C663" i="3"/>
  <c r="B663" i="3"/>
  <c r="B663" i="5" s="1"/>
  <c r="E662" i="3"/>
  <c r="D662" i="3"/>
  <c r="C662" i="3"/>
  <c r="B662" i="3"/>
  <c r="B662" i="5" s="1"/>
  <c r="E661" i="3"/>
  <c r="D661" i="3"/>
  <c r="C661" i="3"/>
  <c r="B661" i="3"/>
  <c r="B661" i="5" s="1"/>
  <c r="E660" i="3"/>
  <c r="D660" i="3"/>
  <c r="C660" i="3"/>
  <c r="B660" i="3"/>
  <c r="B660" i="5" s="1"/>
  <c r="E659" i="3"/>
  <c r="D659" i="3"/>
  <c r="C659" i="3"/>
  <c r="B659" i="3"/>
  <c r="B659" i="5" s="1"/>
  <c r="E658" i="3"/>
  <c r="D658" i="3"/>
  <c r="C658" i="3"/>
  <c r="B658" i="3"/>
  <c r="B658" i="5" s="1"/>
  <c r="E657" i="3"/>
  <c r="D657" i="3"/>
  <c r="C657" i="3"/>
  <c r="B657" i="3"/>
  <c r="B657" i="5" s="1"/>
  <c r="E656" i="3"/>
  <c r="D656" i="3"/>
  <c r="C656" i="3"/>
  <c r="B656" i="3"/>
  <c r="B656" i="5" s="1"/>
  <c r="E655" i="3"/>
  <c r="D655" i="3"/>
  <c r="C655" i="3"/>
  <c r="B655" i="3"/>
  <c r="B655" i="5" s="1"/>
  <c r="E654" i="3"/>
  <c r="D654" i="3"/>
  <c r="C654" i="3"/>
  <c r="B654" i="3"/>
  <c r="B654" i="5" s="1"/>
  <c r="E653" i="3"/>
  <c r="D653" i="3"/>
  <c r="C653" i="3"/>
  <c r="B653" i="3"/>
  <c r="B653" i="5" s="1"/>
  <c r="E652" i="3"/>
  <c r="D652" i="3"/>
  <c r="C652" i="3"/>
  <c r="B652" i="3"/>
  <c r="B652" i="5" s="1"/>
  <c r="E651" i="3"/>
  <c r="D651" i="3"/>
  <c r="C651" i="3"/>
  <c r="B651" i="3"/>
  <c r="B651" i="5" s="1"/>
  <c r="E650" i="3"/>
  <c r="D650" i="3"/>
  <c r="C650" i="3"/>
  <c r="B650" i="3"/>
  <c r="B650" i="5" s="1"/>
  <c r="E649" i="3"/>
  <c r="D649" i="3"/>
  <c r="C649" i="3"/>
  <c r="B649" i="3"/>
  <c r="B649" i="5" s="1"/>
  <c r="E648" i="3"/>
  <c r="D648" i="3"/>
  <c r="C648" i="3"/>
  <c r="B648" i="3"/>
  <c r="B648" i="5" s="1"/>
  <c r="E647" i="3"/>
  <c r="D647" i="3"/>
  <c r="C647" i="3"/>
  <c r="B647" i="3"/>
  <c r="B647" i="5" s="1"/>
  <c r="E646" i="3"/>
  <c r="D646" i="3"/>
  <c r="C646" i="3"/>
  <c r="B646" i="3"/>
  <c r="B646" i="5" s="1"/>
  <c r="E645" i="3"/>
  <c r="D645" i="3"/>
  <c r="C645" i="3"/>
  <c r="B645" i="3"/>
  <c r="B645" i="5" s="1"/>
  <c r="E644" i="3"/>
  <c r="D644" i="3"/>
  <c r="C644" i="3"/>
  <c r="B644" i="3"/>
  <c r="B644" i="5" s="1"/>
  <c r="E643" i="3"/>
  <c r="D643" i="3"/>
  <c r="C643" i="3"/>
  <c r="B643" i="3"/>
  <c r="B643" i="5" s="1"/>
  <c r="E642" i="3"/>
  <c r="D642" i="3"/>
  <c r="C642" i="3"/>
  <c r="B642" i="3"/>
  <c r="B642" i="5" s="1"/>
  <c r="E641" i="3"/>
  <c r="D641" i="3"/>
  <c r="C641" i="3"/>
  <c r="B641" i="3"/>
  <c r="B641" i="5" s="1"/>
  <c r="E640" i="3"/>
  <c r="D640" i="3"/>
  <c r="C640" i="3"/>
  <c r="B640" i="3"/>
  <c r="B640" i="5" s="1"/>
  <c r="E639" i="3"/>
  <c r="D639" i="3"/>
  <c r="C639" i="3"/>
  <c r="B639" i="3"/>
  <c r="B639" i="5" s="1"/>
  <c r="E638" i="3"/>
  <c r="D638" i="3"/>
  <c r="C638" i="3"/>
  <c r="B638" i="3"/>
  <c r="B638" i="5" s="1"/>
  <c r="E637" i="3"/>
  <c r="D637" i="3"/>
  <c r="C637" i="3"/>
  <c r="B637" i="3"/>
  <c r="B637" i="5" s="1"/>
  <c r="E636" i="3"/>
  <c r="D636" i="3"/>
  <c r="C636" i="3"/>
  <c r="B636" i="3"/>
  <c r="B636" i="5" s="1"/>
  <c r="E635" i="3"/>
  <c r="D635" i="3"/>
  <c r="C635" i="3"/>
  <c r="B635" i="3"/>
  <c r="B635" i="5" s="1"/>
  <c r="E634" i="3"/>
  <c r="D634" i="3"/>
  <c r="C634" i="3"/>
  <c r="B634" i="3"/>
  <c r="B634" i="5" s="1"/>
  <c r="E633" i="3"/>
  <c r="D633" i="3"/>
  <c r="C633" i="3"/>
  <c r="B633" i="3"/>
  <c r="B633" i="5" s="1"/>
  <c r="E632" i="3"/>
  <c r="D632" i="3"/>
  <c r="C632" i="3"/>
  <c r="B632" i="3"/>
  <c r="B632" i="5" s="1"/>
  <c r="E631" i="3"/>
  <c r="D631" i="3"/>
  <c r="C631" i="3"/>
  <c r="B631" i="3"/>
  <c r="B631" i="5" s="1"/>
  <c r="E630" i="3"/>
  <c r="D630" i="3"/>
  <c r="C630" i="3"/>
  <c r="B630" i="3"/>
  <c r="B630" i="5" s="1"/>
  <c r="E629" i="3"/>
  <c r="D629" i="3"/>
  <c r="C629" i="3"/>
  <c r="B629" i="3"/>
  <c r="B629" i="5" s="1"/>
  <c r="E628" i="3"/>
  <c r="D628" i="3"/>
  <c r="C628" i="3"/>
  <c r="B628" i="3"/>
  <c r="B628" i="5" s="1"/>
  <c r="E627" i="3"/>
  <c r="D627" i="3"/>
  <c r="C627" i="3"/>
  <c r="B627" i="3"/>
  <c r="B627" i="5" s="1"/>
  <c r="E626" i="3"/>
  <c r="D626" i="3"/>
  <c r="C626" i="3"/>
  <c r="B626" i="3"/>
  <c r="B626" i="5" s="1"/>
  <c r="E625" i="3"/>
  <c r="D625" i="3"/>
  <c r="C625" i="3"/>
  <c r="B625" i="3"/>
  <c r="B625" i="5" s="1"/>
  <c r="E624" i="3"/>
  <c r="D624" i="3"/>
  <c r="C624" i="3"/>
  <c r="B624" i="3"/>
  <c r="B624" i="5" s="1"/>
  <c r="E623" i="3"/>
  <c r="D623" i="3"/>
  <c r="C623" i="3"/>
  <c r="B623" i="3"/>
  <c r="B623" i="5" s="1"/>
  <c r="E622" i="3"/>
  <c r="D622" i="3"/>
  <c r="C622" i="3"/>
  <c r="B622" i="3"/>
  <c r="B622" i="5" s="1"/>
  <c r="E621" i="3"/>
  <c r="D621" i="3"/>
  <c r="C621" i="3"/>
  <c r="B621" i="3"/>
  <c r="B621" i="5" s="1"/>
  <c r="E620" i="3"/>
  <c r="D620" i="3"/>
  <c r="C620" i="3"/>
  <c r="B620" i="3"/>
  <c r="B620" i="5" s="1"/>
  <c r="E619" i="3"/>
  <c r="D619" i="3"/>
  <c r="C619" i="3"/>
  <c r="B619" i="3"/>
  <c r="B619" i="5" s="1"/>
  <c r="E618" i="3"/>
  <c r="D618" i="3"/>
  <c r="C618" i="3"/>
  <c r="B618" i="3"/>
  <c r="B618" i="5" s="1"/>
  <c r="E617" i="3"/>
  <c r="D617" i="3"/>
  <c r="C617" i="3"/>
  <c r="B617" i="3"/>
  <c r="B617" i="5" s="1"/>
  <c r="E616" i="3"/>
  <c r="D616" i="3"/>
  <c r="C616" i="3"/>
  <c r="B616" i="3"/>
  <c r="B616" i="5" s="1"/>
  <c r="E615" i="3"/>
  <c r="D615" i="3"/>
  <c r="C615" i="3"/>
  <c r="B615" i="3"/>
  <c r="B615" i="5" s="1"/>
  <c r="E614" i="3"/>
  <c r="D614" i="3"/>
  <c r="C614" i="3"/>
  <c r="B614" i="3"/>
  <c r="B614" i="5" s="1"/>
  <c r="E613" i="3"/>
  <c r="D613" i="3"/>
  <c r="C613" i="3"/>
  <c r="B613" i="3"/>
  <c r="B613" i="5" s="1"/>
  <c r="E612" i="3"/>
  <c r="D612" i="3"/>
  <c r="C612" i="3"/>
  <c r="B612" i="3"/>
  <c r="B612" i="5" s="1"/>
  <c r="E611" i="3"/>
  <c r="D611" i="3"/>
  <c r="C611" i="3"/>
  <c r="B611" i="3"/>
  <c r="B611" i="5" s="1"/>
  <c r="E610" i="3"/>
  <c r="D610" i="3"/>
  <c r="C610" i="3"/>
  <c r="B610" i="3"/>
  <c r="B610" i="5" s="1"/>
  <c r="E609" i="3"/>
  <c r="D609" i="3"/>
  <c r="C609" i="3"/>
  <c r="B609" i="3"/>
  <c r="B609" i="5" s="1"/>
  <c r="E608" i="3"/>
  <c r="D608" i="3"/>
  <c r="C608" i="3"/>
  <c r="B608" i="3"/>
  <c r="B608" i="5" s="1"/>
  <c r="E607" i="3"/>
  <c r="D607" i="3"/>
  <c r="C607" i="3"/>
  <c r="B607" i="3"/>
  <c r="B607" i="5" s="1"/>
  <c r="E606" i="3"/>
  <c r="D606" i="3"/>
  <c r="C606" i="3"/>
  <c r="B606" i="3"/>
  <c r="B606" i="5" s="1"/>
  <c r="E605" i="3"/>
  <c r="D605" i="3"/>
  <c r="C605" i="3"/>
  <c r="B605" i="3"/>
  <c r="B605" i="5" s="1"/>
  <c r="E604" i="3"/>
  <c r="D604" i="3"/>
  <c r="C604" i="3"/>
  <c r="B604" i="3"/>
  <c r="B604" i="5" s="1"/>
  <c r="E603" i="3"/>
  <c r="D603" i="3"/>
  <c r="C603" i="3"/>
  <c r="B603" i="3"/>
  <c r="B603" i="5" s="1"/>
  <c r="E602" i="3"/>
  <c r="D602" i="3"/>
  <c r="C602" i="3"/>
  <c r="B602" i="3"/>
  <c r="B602" i="5" s="1"/>
  <c r="E601" i="3"/>
  <c r="D601" i="3"/>
  <c r="C601" i="3"/>
  <c r="B601" i="3"/>
  <c r="B601" i="5" s="1"/>
  <c r="E600" i="3"/>
  <c r="D600" i="3"/>
  <c r="C600" i="3"/>
  <c r="B600" i="3"/>
  <c r="B600" i="5" s="1"/>
  <c r="E599" i="3"/>
  <c r="D599" i="3"/>
  <c r="C599" i="3"/>
  <c r="B599" i="3"/>
  <c r="B599" i="5" s="1"/>
  <c r="E598" i="3"/>
  <c r="D598" i="3"/>
  <c r="C598" i="3"/>
  <c r="B598" i="3"/>
  <c r="B598" i="5" s="1"/>
  <c r="E597" i="3"/>
  <c r="D597" i="3"/>
  <c r="C597" i="3"/>
  <c r="B597" i="3"/>
  <c r="B597" i="5" s="1"/>
  <c r="E596" i="3"/>
  <c r="D596" i="3"/>
  <c r="C596" i="3"/>
  <c r="B596" i="3"/>
  <c r="B596" i="5" s="1"/>
  <c r="E595" i="3"/>
  <c r="D595" i="3"/>
  <c r="C595" i="3"/>
  <c r="B595" i="3"/>
  <c r="B595" i="5" s="1"/>
  <c r="E594" i="3"/>
  <c r="D594" i="3"/>
  <c r="C594" i="3"/>
  <c r="B594" i="3"/>
  <c r="B594" i="5" s="1"/>
  <c r="E593" i="3"/>
  <c r="D593" i="3"/>
  <c r="C593" i="3"/>
  <c r="B593" i="3"/>
  <c r="B593" i="5" s="1"/>
  <c r="E592" i="3"/>
  <c r="D592" i="3"/>
  <c r="C592" i="3"/>
  <c r="B592" i="3"/>
  <c r="B592" i="5" s="1"/>
  <c r="E591" i="3"/>
  <c r="D591" i="3"/>
  <c r="C591" i="3"/>
  <c r="B591" i="3"/>
  <c r="B591" i="5" s="1"/>
  <c r="E590" i="3"/>
  <c r="D590" i="3"/>
  <c r="C590" i="3"/>
  <c r="B590" i="3"/>
  <c r="B590" i="5" s="1"/>
  <c r="E589" i="3"/>
  <c r="D589" i="3"/>
  <c r="C589" i="3"/>
  <c r="B589" i="3"/>
  <c r="B589" i="5" s="1"/>
  <c r="E588" i="3"/>
  <c r="D588" i="3"/>
  <c r="C588" i="3"/>
  <c r="B588" i="3"/>
  <c r="B588" i="5" s="1"/>
  <c r="E587" i="3"/>
  <c r="D587" i="3"/>
  <c r="C587" i="3"/>
  <c r="B587" i="3"/>
  <c r="B587" i="5" s="1"/>
  <c r="E586" i="3"/>
  <c r="D586" i="3"/>
  <c r="C586" i="3"/>
  <c r="B586" i="3"/>
  <c r="B586" i="5" s="1"/>
  <c r="E585" i="3"/>
  <c r="D585" i="3"/>
  <c r="C585" i="3"/>
  <c r="B585" i="3"/>
  <c r="B585" i="5" s="1"/>
  <c r="E584" i="3"/>
  <c r="D584" i="3"/>
  <c r="C584" i="3"/>
  <c r="B584" i="3"/>
  <c r="B584" i="5" s="1"/>
  <c r="E583" i="3"/>
  <c r="D583" i="3"/>
  <c r="C583" i="3"/>
  <c r="B583" i="3"/>
  <c r="B583" i="5" s="1"/>
  <c r="E582" i="3"/>
  <c r="D582" i="3"/>
  <c r="C582" i="3"/>
  <c r="B582" i="3"/>
  <c r="B582" i="5" s="1"/>
  <c r="E581" i="3"/>
  <c r="D581" i="3"/>
  <c r="C581" i="3"/>
  <c r="B581" i="3"/>
  <c r="B581" i="5" s="1"/>
  <c r="E580" i="3"/>
  <c r="D580" i="3"/>
  <c r="C580" i="3"/>
  <c r="B580" i="3"/>
  <c r="B580" i="5" s="1"/>
  <c r="E579" i="3"/>
  <c r="D579" i="3"/>
  <c r="C579" i="3"/>
  <c r="B579" i="3"/>
  <c r="B579" i="5" s="1"/>
  <c r="E578" i="3"/>
  <c r="D578" i="3"/>
  <c r="C578" i="3"/>
  <c r="B578" i="3"/>
  <c r="B578" i="5" s="1"/>
  <c r="E577" i="3"/>
  <c r="D577" i="3"/>
  <c r="C577" i="3"/>
  <c r="B577" i="3"/>
  <c r="B577" i="5" s="1"/>
  <c r="E576" i="3"/>
  <c r="D576" i="3"/>
  <c r="C576" i="3"/>
  <c r="B576" i="3"/>
  <c r="B576" i="5" s="1"/>
  <c r="E575" i="3"/>
  <c r="D575" i="3"/>
  <c r="C575" i="3"/>
  <c r="B575" i="3"/>
  <c r="B575" i="5" s="1"/>
  <c r="E574" i="3"/>
  <c r="D574" i="3"/>
  <c r="C574" i="3"/>
  <c r="B574" i="3"/>
  <c r="B574" i="5" s="1"/>
  <c r="E573" i="3"/>
  <c r="D573" i="3"/>
  <c r="C573" i="3"/>
  <c r="B573" i="3"/>
  <c r="B573" i="5" s="1"/>
  <c r="E572" i="3"/>
  <c r="D572" i="3"/>
  <c r="C572" i="3"/>
  <c r="B572" i="3"/>
  <c r="B572" i="5" s="1"/>
  <c r="E571" i="3"/>
  <c r="D571" i="3"/>
  <c r="C571" i="3"/>
  <c r="B571" i="3"/>
  <c r="B571" i="5" s="1"/>
  <c r="E570" i="3"/>
  <c r="D570" i="3"/>
  <c r="C570" i="3"/>
  <c r="B570" i="3"/>
  <c r="B570" i="5" s="1"/>
  <c r="E569" i="3"/>
  <c r="D569" i="3"/>
  <c r="C569" i="3"/>
  <c r="B569" i="3"/>
  <c r="B569" i="5" s="1"/>
  <c r="E568" i="3"/>
  <c r="D568" i="3"/>
  <c r="C568" i="3"/>
  <c r="B568" i="3"/>
  <c r="B568" i="5" s="1"/>
  <c r="E567" i="3"/>
  <c r="D567" i="3"/>
  <c r="C567" i="3"/>
  <c r="B567" i="3"/>
  <c r="B567" i="5" s="1"/>
  <c r="E566" i="3"/>
  <c r="D566" i="3"/>
  <c r="C566" i="3"/>
  <c r="B566" i="3"/>
  <c r="B566" i="5" s="1"/>
  <c r="E565" i="3"/>
  <c r="D565" i="3"/>
  <c r="C565" i="3"/>
  <c r="B565" i="3"/>
  <c r="B565" i="5" s="1"/>
  <c r="E564" i="3"/>
  <c r="D564" i="3"/>
  <c r="C564" i="3"/>
  <c r="B564" i="3"/>
  <c r="B564" i="5" s="1"/>
  <c r="E563" i="3"/>
  <c r="D563" i="3"/>
  <c r="C563" i="3"/>
  <c r="B563" i="3"/>
  <c r="B563" i="5" s="1"/>
  <c r="E562" i="3"/>
  <c r="D562" i="3"/>
  <c r="C562" i="3"/>
  <c r="B562" i="3"/>
  <c r="B562" i="5" s="1"/>
  <c r="E561" i="3"/>
  <c r="D561" i="3"/>
  <c r="C561" i="3"/>
  <c r="B561" i="3"/>
  <c r="B561" i="5" s="1"/>
  <c r="E560" i="3"/>
  <c r="D560" i="3"/>
  <c r="C560" i="3"/>
  <c r="B560" i="3"/>
  <c r="B560" i="5" s="1"/>
  <c r="E559" i="3"/>
  <c r="D559" i="3"/>
  <c r="C559" i="3"/>
  <c r="B559" i="3"/>
  <c r="B559" i="5" s="1"/>
  <c r="E558" i="3"/>
  <c r="D558" i="3"/>
  <c r="C558" i="3"/>
  <c r="B558" i="3"/>
  <c r="B558" i="5" s="1"/>
  <c r="E557" i="3"/>
  <c r="D557" i="3"/>
  <c r="C557" i="3"/>
  <c r="B557" i="3"/>
  <c r="B557" i="5" s="1"/>
  <c r="E556" i="3"/>
  <c r="D556" i="3"/>
  <c r="C556" i="3"/>
  <c r="B556" i="3"/>
  <c r="B556" i="5" s="1"/>
  <c r="E555" i="3"/>
  <c r="D555" i="3"/>
  <c r="C555" i="3"/>
  <c r="B555" i="3"/>
  <c r="B555" i="5" s="1"/>
  <c r="E554" i="3"/>
  <c r="D554" i="3"/>
  <c r="C554" i="3"/>
  <c r="B554" i="3"/>
  <c r="B554" i="5" s="1"/>
  <c r="E553" i="3"/>
  <c r="D553" i="3"/>
  <c r="C553" i="3"/>
  <c r="B553" i="3"/>
  <c r="B553" i="5" s="1"/>
  <c r="E552" i="3"/>
  <c r="D552" i="3"/>
  <c r="C552" i="3"/>
  <c r="B552" i="3"/>
  <c r="B552" i="5" s="1"/>
  <c r="E551" i="3"/>
  <c r="D551" i="3"/>
  <c r="C551" i="3"/>
  <c r="B551" i="3"/>
  <c r="B551" i="5" s="1"/>
  <c r="E550" i="3"/>
  <c r="D550" i="3"/>
  <c r="C550" i="3"/>
  <c r="B550" i="3"/>
  <c r="B550" i="5" s="1"/>
  <c r="E549" i="3"/>
  <c r="D549" i="3"/>
  <c r="C549" i="3"/>
  <c r="B549" i="3"/>
  <c r="B549" i="5" s="1"/>
  <c r="E548" i="3"/>
  <c r="D548" i="3"/>
  <c r="C548" i="3"/>
  <c r="B548" i="3"/>
  <c r="B548" i="5" s="1"/>
  <c r="E547" i="3"/>
  <c r="D547" i="3"/>
  <c r="C547" i="3"/>
  <c r="B547" i="3"/>
  <c r="B547" i="5" s="1"/>
  <c r="E546" i="3"/>
  <c r="D546" i="3"/>
  <c r="C546" i="3"/>
  <c r="B546" i="3"/>
  <c r="B546" i="5" s="1"/>
  <c r="E545" i="3"/>
  <c r="D545" i="3"/>
  <c r="C545" i="3"/>
  <c r="B545" i="3"/>
  <c r="B545" i="5" s="1"/>
  <c r="E544" i="3"/>
  <c r="D544" i="3"/>
  <c r="C544" i="3"/>
  <c r="B544" i="3"/>
  <c r="B544" i="5" s="1"/>
  <c r="E543" i="3"/>
  <c r="D543" i="3"/>
  <c r="C543" i="3"/>
  <c r="B543" i="3"/>
  <c r="B543" i="5" s="1"/>
  <c r="E542" i="3"/>
  <c r="D542" i="3"/>
  <c r="C542" i="3"/>
  <c r="B542" i="3"/>
  <c r="B542" i="5" s="1"/>
  <c r="E541" i="3"/>
  <c r="D541" i="3"/>
  <c r="C541" i="3"/>
  <c r="B541" i="3"/>
  <c r="B541" i="5" s="1"/>
  <c r="E540" i="3"/>
  <c r="D540" i="3"/>
  <c r="C540" i="3"/>
  <c r="B540" i="3"/>
  <c r="B540" i="5" s="1"/>
  <c r="E539" i="3"/>
  <c r="D539" i="3"/>
  <c r="C539" i="3"/>
  <c r="B539" i="3"/>
  <c r="B539" i="5" s="1"/>
  <c r="E538" i="3"/>
  <c r="D538" i="3"/>
  <c r="C538" i="3"/>
  <c r="B538" i="3"/>
  <c r="B538" i="5" s="1"/>
  <c r="E537" i="3"/>
  <c r="D537" i="3"/>
  <c r="C537" i="3"/>
  <c r="B537" i="3"/>
  <c r="B537" i="5" s="1"/>
  <c r="E536" i="3"/>
  <c r="D536" i="3"/>
  <c r="C536" i="3"/>
  <c r="B536" i="3"/>
  <c r="B536" i="5" s="1"/>
  <c r="E535" i="3"/>
  <c r="D535" i="3"/>
  <c r="C535" i="3"/>
  <c r="B535" i="3"/>
  <c r="B535" i="5" s="1"/>
  <c r="E534" i="3"/>
  <c r="D534" i="3"/>
  <c r="C534" i="3"/>
  <c r="B534" i="3"/>
  <c r="B534" i="5" s="1"/>
  <c r="E533" i="3"/>
  <c r="D533" i="3"/>
  <c r="C533" i="3"/>
  <c r="B533" i="3"/>
  <c r="B533" i="5" s="1"/>
  <c r="E532" i="3"/>
  <c r="D532" i="3"/>
  <c r="C532" i="3"/>
  <c r="B532" i="3"/>
  <c r="B532" i="5" s="1"/>
  <c r="E531" i="3"/>
  <c r="D531" i="3"/>
  <c r="C531" i="3"/>
  <c r="B531" i="3"/>
  <c r="B531" i="5" s="1"/>
  <c r="E530" i="3"/>
  <c r="D530" i="3"/>
  <c r="C530" i="3"/>
  <c r="B530" i="3"/>
  <c r="B530" i="5" s="1"/>
  <c r="E529" i="3"/>
  <c r="D529" i="3"/>
  <c r="C529" i="3"/>
  <c r="B529" i="3"/>
  <c r="B529" i="5" s="1"/>
  <c r="E528" i="3"/>
  <c r="D528" i="3"/>
  <c r="C528" i="3"/>
  <c r="B528" i="3"/>
  <c r="B528" i="5" s="1"/>
  <c r="E527" i="3"/>
  <c r="D527" i="3"/>
  <c r="C527" i="3"/>
  <c r="B527" i="3"/>
  <c r="B527" i="5" s="1"/>
  <c r="E526" i="3"/>
  <c r="D526" i="3"/>
  <c r="C526" i="3"/>
  <c r="B526" i="3"/>
  <c r="B526" i="5" s="1"/>
  <c r="E525" i="3"/>
  <c r="D525" i="3"/>
  <c r="C525" i="3"/>
  <c r="B525" i="3"/>
  <c r="B525" i="5" s="1"/>
  <c r="E524" i="3"/>
  <c r="D524" i="3"/>
  <c r="C524" i="3"/>
  <c r="B524" i="3"/>
  <c r="B524" i="5" s="1"/>
  <c r="E523" i="3"/>
  <c r="D523" i="3"/>
  <c r="C523" i="3"/>
  <c r="B523" i="3"/>
  <c r="B523" i="5" s="1"/>
  <c r="E522" i="3"/>
  <c r="D522" i="3"/>
  <c r="C522" i="3"/>
  <c r="B522" i="3"/>
  <c r="B522" i="5" s="1"/>
  <c r="E521" i="3"/>
  <c r="D521" i="3"/>
  <c r="C521" i="3"/>
  <c r="B521" i="3"/>
  <c r="B521" i="5" s="1"/>
  <c r="E520" i="3"/>
  <c r="D520" i="3"/>
  <c r="C520" i="3"/>
  <c r="B520" i="3"/>
  <c r="B520" i="5" s="1"/>
  <c r="E519" i="3"/>
  <c r="D519" i="3"/>
  <c r="C519" i="3"/>
  <c r="B519" i="3"/>
  <c r="B519" i="5" s="1"/>
  <c r="E518" i="3"/>
  <c r="D518" i="3"/>
  <c r="C518" i="3"/>
  <c r="B518" i="3"/>
  <c r="B518" i="5" s="1"/>
  <c r="E517" i="3"/>
  <c r="D517" i="3"/>
  <c r="C517" i="3"/>
  <c r="B517" i="3"/>
  <c r="B517" i="5" s="1"/>
  <c r="E516" i="3"/>
  <c r="D516" i="3"/>
  <c r="C516" i="3"/>
  <c r="B516" i="3"/>
  <c r="B516" i="5" s="1"/>
  <c r="E515" i="3"/>
  <c r="D515" i="3"/>
  <c r="C515" i="3"/>
  <c r="B515" i="3"/>
  <c r="B515" i="5" s="1"/>
  <c r="E514" i="3"/>
  <c r="D514" i="3"/>
  <c r="C514" i="3"/>
  <c r="B514" i="3"/>
  <c r="B514" i="5" s="1"/>
  <c r="E513" i="3"/>
  <c r="D513" i="3"/>
  <c r="C513" i="3"/>
  <c r="B513" i="3"/>
  <c r="B513" i="5" s="1"/>
  <c r="E512" i="3"/>
  <c r="D512" i="3"/>
  <c r="C512" i="3"/>
  <c r="B512" i="3"/>
  <c r="B512" i="5" s="1"/>
  <c r="E511" i="3"/>
  <c r="D511" i="3"/>
  <c r="C511" i="3"/>
  <c r="B511" i="3"/>
  <c r="B511" i="5" s="1"/>
  <c r="E510" i="3"/>
  <c r="D510" i="3"/>
  <c r="C510" i="3"/>
  <c r="B510" i="3"/>
  <c r="B510" i="5" s="1"/>
  <c r="E509" i="3"/>
  <c r="D509" i="3"/>
  <c r="C509" i="3"/>
  <c r="B509" i="3"/>
  <c r="B509" i="5" s="1"/>
  <c r="E508" i="3"/>
  <c r="D508" i="3"/>
  <c r="C508" i="3"/>
  <c r="B508" i="3"/>
  <c r="B508" i="5" s="1"/>
  <c r="E507" i="3"/>
  <c r="D507" i="3"/>
  <c r="C507" i="3"/>
  <c r="B507" i="3"/>
  <c r="B507" i="5" s="1"/>
  <c r="E506" i="3"/>
  <c r="D506" i="3"/>
  <c r="C506" i="3"/>
  <c r="B506" i="3"/>
  <c r="B506" i="5" s="1"/>
  <c r="E505" i="3"/>
  <c r="D505" i="3"/>
  <c r="C505" i="3"/>
  <c r="B505" i="3"/>
  <c r="B505" i="5" s="1"/>
  <c r="E504" i="3"/>
  <c r="D504" i="3"/>
  <c r="C504" i="3"/>
  <c r="B504" i="3"/>
  <c r="B504" i="5" s="1"/>
  <c r="E503" i="3"/>
  <c r="D503" i="3"/>
  <c r="C503" i="3"/>
  <c r="B503" i="3"/>
  <c r="B503" i="5" s="1"/>
  <c r="E502" i="3"/>
  <c r="D502" i="3"/>
  <c r="C502" i="3"/>
  <c r="B502" i="3"/>
  <c r="B502" i="5" s="1"/>
  <c r="E501" i="3"/>
  <c r="D501" i="3"/>
  <c r="C501" i="3"/>
  <c r="B501" i="3"/>
  <c r="B501" i="5" s="1"/>
  <c r="E500" i="3"/>
  <c r="D500" i="3"/>
  <c r="C500" i="3"/>
  <c r="B500" i="3"/>
  <c r="B500" i="5" s="1"/>
  <c r="E499" i="3"/>
  <c r="D499" i="3"/>
  <c r="C499" i="3"/>
  <c r="B499" i="3"/>
  <c r="B499" i="5" s="1"/>
  <c r="E498" i="3"/>
  <c r="D498" i="3"/>
  <c r="C498" i="3"/>
  <c r="B498" i="3"/>
  <c r="B498" i="5" s="1"/>
  <c r="E497" i="3"/>
  <c r="D497" i="3"/>
  <c r="C497" i="3"/>
  <c r="B497" i="3"/>
  <c r="B497" i="5" s="1"/>
  <c r="E496" i="3"/>
  <c r="D496" i="3"/>
  <c r="C496" i="3"/>
  <c r="B496" i="3"/>
  <c r="B496" i="5" s="1"/>
  <c r="E495" i="3"/>
  <c r="D495" i="3"/>
  <c r="C495" i="3"/>
  <c r="B495" i="3"/>
  <c r="B495" i="5" s="1"/>
  <c r="E494" i="3"/>
  <c r="D494" i="3"/>
  <c r="C494" i="3"/>
  <c r="B494" i="3"/>
  <c r="B494" i="5" s="1"/>
  <c r="E493" i="3"/>
  <c r="D493" i="3"/>
  <c r="C493" i="3"/>
  <c r="B493" i="3"/>
  <c r="B493" i="5" s="1"/>
  <c r="E492" i="3"/>
  <c r="D492" i="3"/>
  <c r="C492" i="3"/>
  <c r="B492" i="3"/>
  <c r="B492" i="5" s="1"/>
  <c r="E491" i="3"/>
  <c r="D491" i="3"/>
  <c r="C491" i="3"/>
  <c r="B491" i="3"/>
  <c r="B491" i="5" s="1"/>
  <c r="E490" i="3"/>
  <c r="D490" i="3"/>
  <c r="C490" i="3"/>
  <c r="B490" i="3"/>
  <c r="B490" i="5" s="1"/>
  <c r="E489" i="3"/>
  <c r="D489" i="3"/>
  <c r="C489" i="3"/>
  <c r="B489" i="3"/>
  <c r="B489" i="5" s="1"/>
  <c r="E488" i="3"/>
  <c r="D488" i="3"/>
  <c r="C488" i="3"/>
  <c r="B488" i="3"/>
  <c r="B488" i="5" s="1"/>
  <c r="E487" i="3"/>
  <c r="D487" i="3"/>
  <c r="C487" i="3"/>
  <c r="B487" i="3"/>
  <c r="B487" i="5" s="1"/>
  <c r="E486" i="3"/>
  <c r="D486" i="3"/>
  <c r="C486" i="3"/>
  <c r="B486" i="3"/>
  <c r="B486" i="5" s="1"/>
  <c r="E485" i="3"/>
  <c r="D485" i="3"/>
  <c r="C485" i="3"/>
  <c r="B485" i="3"/>
  <c r="B485" i="5" s="1"/>
  <c r="E484" i="3"/>
  <c r="D484" i="3"/>
  <c r="C484" i="3"/>
  <c r="B484" i="3"/>
  <c r="B484" i="5" s="1"/>
  <c r="E483" i="3"/>
  <c r="D483" i="3"/>
  <c r="C483" i="3"/>
  <c r="B483" i="3"/>
  <c r="B483" i="5" s="1"/>
  <c r="E482" i="3"/>
  <c r="D482" i="3"/>
  <c r="C482" i="3"/>
  <c r="B482" i="3"/>
  <c r="B482" i="5" s="1"/>
  <c r="E481" i="3"/>
  <c r="D481" i="3"/>
  <c r="C481" i="3"/>
  <c r="B481" i="3"/>
  <c r="B481" i="5" s="1"/>
  <c r="E480" i="3"/>
  <c r="D480" i="3"/>
  <c r="C480" i="3"/>
  <c r="B480" i="3"/>
  <c r="B480" i="5" s="1"/>
  <c r="E479" i="3"/>
  <c r="D479" i="3"/>
  <c r="C479" i="3"/>
  <c r="B479" i="3"/>
  <c r="B479" i="5" s="1"/>
  <c r="E478" i="3"/>
  <c r="D478" i="3"/>
  <c r="C478" i="3"/>
  <c r="B478" i="3"/>
  <c r="B478" i="5" s="1"/>
  <c r="E477" i="3"/>
  <c r="D477" i="3"/>
  <c r="C477" i="3"/>
  <c r="B477" i="3"/>
  <c r="B477" i="5" s="1"/>
  <c r="E476" i="3"/>
  <c r="D476" i="3"/>
  <c r="C476" i="3"/>
  <c r="B476" i="3"/>
  <c r="B476" i="5" s="1"/>
  <c r="E475" i="3"/>
  <c r="D475" i="3"/>
  <c r="C475" i="3"/>
  <c r="B475" i="3"/>
  <c r="B475" i="5" s="1"/>
  <c r="E474" i="3"/>
  <c r="D474" i="3"/>
  <c r="C474" i="3"/>
  <c r="B474" i="3"/>
  <c r="B474" i="5" s="1"/>
  <c r="E473" i="3"/>
  <c r="D473" i="3"/>
  <c r="C473" i="3"/>
  <c r="B473" i="3"/>
  <c r="B473" i="5" s="1"/>
  <c r="E472" i="3"/>
  <c r="D472" i="3"/>
  <c r="C472" i="3"/>
  <c r="B472" i="3"/>
  <c r="B472" i="5" s="1"/>
  <c r="E471" i="3"/>
  <c r="D471" i="3"/>
  <c r="C471" i="3"/>
  <c r="B471" i="3"/>
  <c r="B471" i="5" s="1"/>
  <c r="E470" i="3"/>
  <c r="D470" i="3"/>
  <c r="C470" i="3"/>
  <c r="B470" i="3"/>
  <c r="B470" i="5" s="1"/>
  <c r="E469" i="3"/>
  <c r="D469" i="3"/>
  <c r="C469" i="3"/>
  <c r="B469" i="3"/>
  <c r="B469" i="5" s="1"/>
  <c r="E468" i="3"/>
  <c r="D468" i="3"/>
  <c r="C468" i="3"/>
  <c r="B468" i="3"/>
  <c r="B468" i="5" s="1"/>
  <c r="E467" i="3"/>
  <c r="D467" i="3"/>
  <c r="C467" i="3"/>
  <c r="B467" i="3"/>
  <c r="B467" i="5" s="1"/>
  <c r="E466" i="3"/>
  <c r="D466" i="3"/>
  <c r="C466" i="3"/>
  <c r="B466" i="3"/>
  <c r="B466" i="5" s="1"/>
  <c r="E465" i="3"/>
  <c r="D465" i="3"/>
  <c r="C465" i="3"/>
  <c r="B465" i="3"/>
  <c r="B465" i="5" s="1"/>
  <c r="E464" i="3"/>
  <c r="D464" i="3"/>
  <c r="C464" i="3"/>
  <c r="B464" i="3"/>
  <c r="B464" i="5" s="1"/>
  <c r="E463" i="3"/>
  <c r="D463" i="3"/>
  <c r="C463" i="3"/>
  <c r="B463" i="3"/>
  <c r="B463" i="5" s="1"/>
  <c r="E462" i="3"/>
  <c r="D462" i="3"/>
  <c r="C462" i="3"/>
  <c r="B462" i="3"/>
  <c r="B462" i="5" s="1"/>
  <c r="E461" i="3"/>
  <c r="D461" i="3"/>
  <c r="C461" i="3"/>
  <c r="B461" i="3"/>
  <c r="B461" i="5" s="1"/>
  <c r="E460" i="3"/>
  <c r="D460" i="3"/>
  <c r="C460" i="3"/>
  <c r="B460" i="3"/>
  <c r="B460" i="5" s="1"/>
  <c r="E459" i="3"/>
  <c r="D459" i="3"/>
  <c r="C459" i="3"/>
  <c r="B459" i="3"/>
  <c r="B459" i="5" s="1"/>
  <c r="E458" i="3"/>
  <c r="D458" i="3"/>
  <c r="C458" i="3"/>
  <c r="B458" i="3"/>
  <c r="B458" i="5" s="1"/>
  <c r="E457" i="3"/>
  <c r="D457" i="3"/>
  <c r="C457" i="3"/>
  <c r="B457" i="3"/>
  <c r="B457" i="5" s="1"/>
  <c r="E456" i="3"/>
  <c r="D456" i="3"/>
  <c r="C456" i="3"/>
  <c r="B456" i="3"/>
  <c r="B456" i="5" s="1"/>
  <c r="E455" i="3"/>
  <c r="D455" i="3"/>
  <c r="C455" i="3"/>
  <c r="B455" i="3"/>
  <c r="B455" i="5" s="1"/>
  <c r="E454" i="3"/>
  <c r="D454" i="3"/>
  <c r="C454" i="3"/>
  <c r="B454" i="3"/>
  <c r="B454" i="5" s="1"/>
  <c r="E453" i="3"/>
  <c r="D453" i="3"/>
  <c r="C453" i="3"/>
  <c r="B453" i="3"/>
  <c r="B453" i="5" s="1"/>
  <c r="E452" i="3"/>
  <c r="D452" i="3"/>
  <c r="C452" i="3"/>
  <c r="B452" i="3"/>
  <c r="B452" i="5" s="1"/>
  <c r="E451" i="3"/>
  <c r="D451" i="3"/>
  <c r="C451" i="3"/>
  <c r="B451" i="3"/>
  <c r="B451" i="5" s="1"/>
  <c r="E450" i="3"/>
  <c r="D450" i="3"/>
  <c r="C450" i="3"/>
  <c r="B450" i="3"/>
  <c r="B450" i="5" s="1"/>
  <c r="E449" i="3"/>
  <c r="D449" i="3"/>
  <c r="C449" i="3"/>
  <c r="B449" i="3"/>
  <c r="B449" i="5" s="1"/>
  <c r="E448" i="3"/>
  <c r="D448" i="3"/>
  <c r="C448" i="3"/>
  <c r="B448" i="3"/>
  <c r="B448" i="5" s="1"/>
  <c r="E447" i="3"/>
  <c r="D447" i="3"/>
  <c r="C447" i="3"/>
  <c r="B447" i="3"/>
  <c r="B447" i="5" s="1"/>
  <c r="E446" i="3"/>
  <c r="D446" i="3"/>
  <c r="C446" i="3"/>
  <c r="B446" i="3"/>
  <c r="B446" i="5" s="1"/>
  <c r="E445" i="3"/>
  <c r="D445" i="3"/>
  <c r="C445" i="3"/>
  <c r="B445" i="3"/>
  <c r="B445" i="5" s="1"/>
  <c r="E444" i="3"/>
  <c r="D444" i="3"/>
  <c r="C444" i="3"/>
  <c r="B444" i="3"/>
  <c r="B444" i="5" s="1"/>
  <c r="E443" i="3"/>
  <c r="D443" i="3"/>
  <c r="C443" i="3"/>
  <c r="B443" i="3"/>
  <c r="B443" i="5" s="1"/>
  <c r="E442" i="3"/>
  <c r="D442" i="3"/>
  <c r="C442" i="3"/>
  <c r="B442" i="3"/>
  <c r="B442" i="5" s="1"/>
  <c r="E441" i="3"/>
  <c r="D441" i="3"/>
  <c r="C441" i="3"/>
  <c r="B441" i="3"/>
  <c r="B441" i="5" s="1"/>
  <c r="E440" i="3"/>
  <c r="D440" i="3"/>
  <c r="C440" i="3"/>
  <c r="B440" i="3"/>
  <c r="B440" i="5" s="1"/>
  <c r="E439" i="3"/>
  <c r="D439" i="3"/>
  <c r="C439" i="3"/>
  <c r="B439" i="3"/>
  <c r="B439" i="5" s="1"/>
  <c r="E438" i="3"/>
  <c r="D438" i="3"/>
  <c r="C438" i="3"/>
  <c r="B438" i="3"/>
  <c r="B438" i="5" s="1"/>
  <c r="E437" i="3"/>
  <c r="D437" i="3"/>
  <c r="C437" i="3"/>
  <c r="B437" i="3"/>
  <c r="B437" i="5" s="1"/>
  <c r="E436" i="3"/>
  <c r="D436" i="3"/>
  <c r="C436" i="3"/>
  <c r="B436" i="3"/>
  <c r="B436" i="5" s="1"/>
  <c r="E435" i="3"/>
  <c r="D435" i="3"/>
  <c r="C435" i="3"/>
  <c r="B435" i="3"/>
  <c r="B435" i="5" s="1"/>
  <c r="E434" i="3"/>
  <c r="D434" i="3"/>
  <c r="C434" i="3"/>
  <c r="B434" i="3"/>
  <c r="B434" i="5" s="1"/>
  <c r="E433" i="3"/>
  <c r="D433" i="3"/>
  <c r="C433" i="3"/>
  <c r="B433" i="3"/>
  <c r="B433" i="5" s="1"/>
  <c r="E432" i="3"/>
  <c r="D432" i="3"/>
  <c r="C432" i="3"/>
  <c r="B432" i="3"/>
  <c r="B432" i="5" s="1"/>
  <c r="E431" i="3"/>
  <c r="D431" i="3"/>
  <c r="C431" i="3"/>
  <c r="B431" i="3"/>
  <c r="B431" i="5" s="1"/>
  <c r="E430" i="3"/>
  <c r="D430" i="3"/>
  <c r="C430" i="3"/>
  <c r="B430" i="3"/>
  <c r="B430" i="5" s="1"/>
  <c r="E429" i="3"/>
  <c r="D429" i="3"/>
  <c r="C429" i="3"/>
  <c r="B429" i="3"/>
  <c r="B429" i="5" s="1"/>
  <c r="E428" i="3"/>
  <c r="D428" i="3"/>
  <c r="C428" i="3"/>
  <c r="B428" i="3"/>
  <c r="B428" i="5" s="1"/>
  <c r="E427" i="3"/>
  <c r="D427" i="3"/>
  <c r="C427" i="3"/>
  <c r="B427" i="3"/>
  <c r="B427" i="5" s="1"/>
  <c r="E426" i="3"/>
  <c r="D426" i="3"/>
  <c r="C426" i="3"/>
  <c r="B426" i="3"/>
  <c r="B426" i="5" s="1"/>
  <c r="E425" i="3"/>
  <c r="D425" i="3"/>
  <c r="C425" i="3"/>
  <c r="B425" i="3"/>
  <c r="B425" i="5" s="1"/>
  <c r="E424" i="3"/>
  <c r="D424" i="3"/>
  <c r="C424" i="3"/>
  <c r="B424" i="3"/>
  <c r="B424" i="5" s="1"/>
  <c r="E423" i="3"/>
  <c r="D423" i="3"/>
  <c r="C423" i="3"/>
  <c r="B423" i="3"/>
  <c r="B423" i="5" s="1"/>
  <c r="E422" i="3"/>
  <c r="D422" i="3"/>
  <c r="C422" i="3"/>
  <c r="B422" i="3"/>
  <c r="B422" i="5" s="1"/>
  <c r="E421" i="3"/>
  <c r="D421" i="3"/>
  <c r="C421" i="3"/>
  <c r="B421" i="3"/>
  <c r="B421" i="5" s="1"/>
  <c r="E420" i="3"/>
  <c r="D420" i="3"/>
  <c r="C420" i="3"/>
  <c r="B420" i="3"/>
  <c r="B420" i="5" s="1"/>
  <c r="E419" i="3"/>
  <c r="D419" i="3"/>
  <c r="C419" i="3"/>
  <c r="B419" i="3"/>
  <c r="B419" i="5" s="1"/>
  <c r="E418" i="3"/>
  <c r="D418" i="3"/>
  <c r="C418" i="3"/>
  <c r="B418" i="3"/>
  <c r="B418" i="5" s="1"/>
  <c r="E417" i="3"/>
  <c r="D417" i="3"/>
  <c r="C417" i="3"/>
  <c r="B417" i="3"/>
  <c r="B417" i="5" s="1"/>
  <c r="E416" i="3"/>
  <c r="D416" i="3"/>
  <c r="C416" i="3"/>
  <c r="B416" i="3"/>
  <c r="B416" i="5" s="1"/>
  <c r="E415" i="3"/>
  <c r="D415" i="3"/>
  <c r="C415" i="3"/>
  <c r="B415" i="3"/>
  <c r="B415" i="5" s="1"/>
  <c r="E414" i="3"/>
  <c r="D414" i="3"/>
  <c r="C414" i="3"/>
  <c r="B414" i="3"/>
  <c r="B414" i="5" s="1"/>
  <c r="E413" i="3"/>
  <c r="D413" i="3"/>
  <c r="C413" i="3"/>
  <c r="B413" i="3"/>
  <c r="B413" i="5" s="1"/>
  <c r="E412" i="3"/>
  <c r="D412" i="3"/>
  <c r="C412" i="3"/>
  <c r="B412" i="3"/>
  <c r="B412" i="5" s="1"/>
  <c r="E411" i="3"/>
  <c r="D411" i="3"/>
  <c r="C411" i="3"/>
  <c r="B411" i="3"/>
  <c r="B411" i="5" s="1"/>
  <c r="E410" i="3"/>
  <c r="D410" i="3"/>
  <c r="C410" i="3"/>
  <c r="B410" i="3"/>
  <c r="B410" i="5" s="1"/>
  <c r="E409" i="3"/>
  <c r="D409" i="3"/>
  <c r="C409" i="3"/>
  <c r="B409" i="3"/>
  <c r="B409" i="5" s="1"/>
  <c r="E408" i="3"/>
  <c r="D408" i="3"/>
  <c r="C408" i="3"/>
  <c r="B408" i="3"/>
  <c r="B408" i="5" s="1"/>
  <c r="E407" i="3"/>
  <c r="D407" i="3"/>
  <c r="C407" i="3"/>
  <c r="B407" i="3"/>
  <c r="B407" i="5" s="1"/>
  <c r="E406" i="3"/>
  <c r="D406" i="3"/>
  <c r="C406" i="3"/>
  <c r="B406" i="3"/>
  <c r="B406" i="5" s="1"/>
  <c r="E405" i="3"/>
  <c r="D405" i="3"/>
  <c r="C405" i="3"/>
  <c r="B405" i="3"/>
  <c r="B405" i="5" s="1"/>
  <c r="E404" i="3"/>
  <c r="D404" i="3"/>
  <c r="C404" i="3"/>
  <c r="B404" i="3"/>
  <c r="B404" i="5" s="1"/>
  <c r="E403" i="3"/>
  <c r="D403" i="3"/>
  <c r="C403" i="3"/>
  <c r="B403" i="3"/>
  <c r="B403" i="5" s="1"/>
  <c r="E402" i="3"/>
  <c r="D402" i="3"/>
  <c r="C402" i="3"/>
  <c r="B402" i="3"/>
  <c r="B402" i="5" s="1"/>
  <c r="E401" i="3"/>
  <c r="D401" i="3"/>
  <c r="C401" i="3"/>
  <c r="B401" i="3"/>
  <c r="B401" i="5" s="1"/>
  <c r="E400" i="3"/>
  <c r="D400" i="3"/>
  <c r="C400" i="3"/>
  <c r="B400" i="3"/>
  <c r="B400" i="5" s="1"/>
  <c r="E399" i="3"/>
  <c r="D399" i="3"/>
  <c r="C399" i="3"/>
  <c r="B399" i="3"/>
  <c r="B399" i="5" s="1"/>
  <c r="E398" i="3"/>
  <c r="D398" i="3"/>
  <c r="C398" i="3"/>
  <c r="B398" i="3"/>
  <c r="B398" i="5" s="1"/>
  <c r="E397" i="3"/>
  <c r="D397" i="3"/>
  <c r="C397" i="3"/>
  <c r="B397" i="3"/>
  <c r="B397" i="5" s="1"/>
  <c r="E396" i="3"/>
  <c r="D396" i="3"/>
  <c r="C396" i="3"/>
  <c r="B396" i="3"/>
  <c r="B396" i="5" s="1"/>
  <c r="E395" i="3"/>
  <c r="D395" i="3"/>
  <c r="C395" i="3"/>
  <c r="B395" i="3"/>
  <c r="B395" i="5" s="1"/>
  <c r="E394" i="3"/>
  <c r="D394" i="3"/>
  <c r="C394" i="3"/>
  <c r="B394" i="3"/>
  <c r="B394" i="5" s="1"/>
  <c r="E393" i="3"/>
  <c r="D393" i="3"/>
  <c r="C393" i="3"/>
  <c r="B393" i="3"/>
  <c r="B393" i="5" s="1"/>
  <c r="E392" i="3"/>
  <c r="D392" i="3"/>
  <c r="C392" i="3"/>
  <c r="B392" i="3"/>
  <c r="B392" i="5" s="1"/>
  <c r="E391" i="3"/>
  <c r="D391" i="3"/>
  <c r="C391" i="3"/>
  <c r="B391" i="3"/>
  <c r="B391" i="5" s="1"/>
  <c r="E390" i="3"/>
  <c r="D390" i="3"/>
  <c r="C390" i="3"/>
  <c r="B390" i="3"/>
  <c r="B390" i="5" s="1"/>
  <c r="E389" i="3"/>
  <c r="D389" i="3"/>
  <c r="C389" i="3"/>
  <c r="B389" i="3"/>
  <c r="B389" i="5" s="1"/>
  <c r="E388" i="3"/>
  <c r="D388" i="3"/>
  <c r="C388" i="3"/>
  <c r="B388" i="3"/>
  <c r="B388" i="5" s="1"/>
  <c r="E387" i="3"/>
  <c r="D387" i="3"/>
  <c r="C387" i="3"/>
  <c r="B387" i="3"/>
  <c r="B387" i="5" s="1"/>
  <c r="E386" i="3"/>
  <c r="D386" i="3"/>
  <c r="C386" i="3"/>
  <c r="B386" i="3"/>
  <c r="B386" i="5" s="1"/>
  <c r="E385" i="3"/>
  <c r="D385" i="3"/>
  <c r="C385" i="3"/>
  <c r="B385" i="3"/>
  <c r="B385" i="5" s="1"/>
  <c r="E384" i="3"/>
  <c r="D384" i="3"/>
  <c r="C384" i="3"/>
  <c r="B384" i="3"/>
  <c r="B384" i="5" s="1"/>
  <c r="E383" i="3"/>
  <c r="D383" i="3"/>
  <c r="C383" i="3"/>
  <c r="B383" i="3"/>
  <c r="B383" i="5" s="1"/>
  <c r="E382" i="3"/>
  <c r="D382" i="3"/>
  <c r="C382" i="3"/>
  <c r="B382" i="3"/>
  <c r="B382" i="5" s="1"/>
  <c r="E381" i="3"/>
  <c r="D381" i="3"/>
  <c r="C381" i="3"/>
  <c r="B381" i="3"/>
  <c r="B381" i="5" s="1"/>
  <c r="E380" i="3"/>
  <c r="D380" i="3"/>
  <c r="C380" i="3"/>
  <c r="B380" i="3"/>
  <c r="B380" i="5" s="1"/>
  <c r="E379" i="3"/>
  <c r="D379" i="3"/>
  <c r="C379" i="3"/>
  <c r="B379" i="3"/>
  <c r="B379" i="5" s="1"/>
  <c r="E378" i="3"/>
  <c r="D378" i="3"/>
  <c r="C378" i="3"/>
  <c r="B378" i="3"/>
  <c r="B378" i="5" s="1"/>
  <c r="E377" i="3"/>
  <c r="D377" i="3"/>
  <c r="C377" i="3"/>
  <c r="B377" i="3"/>
  <c r="B377" i="5" s="1"/>
  <c r="E376" i="3"/>
  <c r="D376" i="3"/>
  <c r="C376" i="3"/>
  <c r="B376" i="3"/>
  <c r="B376" i="5" s="1"/>
  <c r="E375" i="3"/>
  <c r="D375" i="3"/>
  <c r="C375" i="3"/>
  <c r="B375" i="3"/>
  <c r="B375" i="5" s="1"/>
  <c r="E374" i="3"/>
  <c r="D374" i="3"/>
  <c r="C374" i="3"/>
  <c r="B374" i="3"/>
  <c r="B374" i="5" s="1"/>
  <c r="E373" i="3"/>
  <c r="D373" i="3"/>
  <c r="C373" i="3"/>
  <c r="B373" i="3"/>
  <c r="B373" i="5" s="1"/>
  <c r="E372" i="3"/>
  <c r="D372" i="3"/>
  <c r="C372" i="3"/>
  <c r="B372" i="3"/>
  <c r="B372" i="5" s="1"/>
  <c r="E371" i="3"/>
  <c r="D371" i="3"/>
  <c r="C371" i="3"/>
  <c r="B371" i="3"/>
  <c r="B371" i="5" s="1"/>
  <c r="E370" i="3"/>
  <c r="D370" i="3"/>
  <c r="C370" i="3"/>
  <c r="B370" i="3"/>
  <c r="B370" i="5" s="1"/>
  <c r="E369" i="3"/>
  <c r="D369" i="3"/>
  <c r="C369" i="3"/>
  <c r="B369" i="3"/>
  <c r="B369" i="5" s="1"/>
  <c r="E368" i="3"/>
  <c r="D368" i="3"/>
  <c r="C368" i="3"/>
  <c r="B368" i="3"/>
  <c r="B368" i="5" s="1"/>
  <c r="E367" i="3"/>
  <c r="D367" i="3"/>
  <c r="C367" i="3"/>
  <c r="B367" i="3"/>
  <c r="B367" i="5" s="1"/>
  <c r="E366" i="3"/>
  <c r="D366" i="3"/>
  <c r="C366" i="3"/>
  <c r="B366" i="3"/>
  <c r="B366" i="5" s="1"/>
  <c r="E365" i="3"/>
  <c r="D365" i="3"/>
  <c r="C365" i="3"/>
  <c r="B365" i="3"/>
  <c r="B365" i="5" s="1"/>
  <c r="E364" i="3"/>
  <c r="D364" i="3"/>
  <c r="C364" i="3"/>
  <c r="B364" i="3"/>
  <c r="B364" i="5" s="1"/>
  <c r="E363" i="3"/>
  <c r="D363" i="3"/>
  <c r="C363" i="3"/>
  <c r="B363" i="3"/>
  <c r="B363" i="5" s="1"/>
  <c r="E362" i="3"/>
  <c r="D362" i="3"/>
  <c r="C362" i="3"/>
  <c r="B362" i="3"/>
  <c r="B362" i="5" s="1"/>
  <c r="E361" i="3"/>
  <c r="D361" i="3"/>
  <c r="C361" i="3"/>
  <c r="B361" i="3"/>
  <c r="B361" i="5" s="1"/>
  <c r="E360" i="3"/>
  <c r="D360" i="3"/>
  <c r="C360" i="3"/>
  <c r="B360" i="3"/>
  <c r="B360" i="5" s="1"/>
  <c r="E359" i="3"/>
  <c r="D359" i="3"/>
  <c r="C359" i="3"/>
  <c r="B359" i="3"/>
  <c r="B359" i="5" s="1"/>
  <c r="E358" i="3"/>
  <c r="D358" i="3"/>
  <c r="C358" i="3"/>
  <c r="B358" i="3"/>
  <c r="B358" i="5" s="1"/>
  <c r="E357" i="3"/>
  <c r="D357" i="3"/>
  <c r="C357" i="3"/>
  <c r="B357" i="3"/>
  <c r="B357" i="5" s="1"/>
  <c r="E356" i="3"/>
  <c r="D356" i="3"/>
  <c r="C356" i="3"/>
  <c r="B356" i="3"/>
  <c r="B356" i="5" s="1"/>
  <c r="E355" i="3"/>
  <c r="D355" i="3"/>
  <c r="C355" i="3"/>
  <c r="B355" i="3"/>
  <c r="B355" i="5" s="1"/>
  <c r="E354" i="3"/>
  <c r="D354" i="3"/>
  <c r="C354" i="3"/>
  <c r="B354" i="3"/>
  <c r="B354" i="5" s="1"/>
  <c r="E353" i="3"/>
  <c r="D353" i="3"/>
  <c r="C353" i="3"/>
  <c r="B353" i="3"/>
  <c r="B353" i="5" s="1"/>
  <c r="E352" i="3"/>
  <c r="D352" i="3"/>
  <c r="C352" i="3"/>
  <c r="B352" i="3"/>
  <c r="B352" i="5" s="1"/>
  <c r="E351" i="3"/>
  <c r="D351" i="3"/>
  <c r="C351" i="3"/>
  <c r="B351" i="3"/>
  <c r="B351" i="5" s="1"/>
  <c r="E350" i="3"/>
  <c r="D350" i="3"/>
  <c r="C350" i="3"/>
  <c r="B350" i="3"/>
  <c r="B350" i="5" s="1"/>
  <c r="E349" i="3"/>
  <c r="D349" i="3"/>
  <c r="C349" i="3"/>
  <c r="B349" i="3"/>
  <c r="B349" i="5" s="1"/>
  <c r="E348" i="3"/>
  <c r="D348" i="3"/>
  <c r="C348" i="3"/>
  <c r="B348" i="3"/>
  <c r="B348" i="5" s="1"/>
  <c r="E347" i="3"/>
  <c r="D347" i="3"/>
  <c r="C347" i="3"/>
  <c r="B347" i="3"/>
  <c r="B347" i="5" s="1"/>
  <c r="E346" i="3"/>
  <c r="D346" i="3"/>
  <c r="C346" i="3"/>
  <c r="B346" i="3"/>
  <c r="B346" i="5" s="1"/>
  <c r="E345" i="3"/>
  <c r="D345" i="3"/>
  <c r="C345" i="3"/>
  <c r="B345" i="3"/>
  <c r="B345" i="5" s="1"/>
  <c r="E344" i="3"/>
  <c r="D344" i="3"/>
  <c r="C344" i="3"/>
  <c r="B344" i="3"/>
  <c r="B344" i="5" s="1"/>
  <c r="E343" i="3"/>
  <c r="D343" i="3"/>
  <c r="C343" i="3"/>
  <c r="B343" i="3"/>
  <c r="B343" i="5" s="1"/>
  <c r="E342" i="3"/>
  <c r="D342" i="3"/>
  <c r="C342" i="3"/>
  <c r="B342" i="3"/>
  <c r="B342" i="5" s="1"/>
  <c r="E341" i="3"/>
  <c r="D341" i="3"/>
  <c r="C341" i="3"/>
  <c r="B341" i="3"/>
  <c r="B341" i="5" s="1"/>
  <c r="E340" i="3"/>
  <c r="D340" i="3"/>
  <c r="C340" i="3"/>
  <c r="B340" i="3"/>
  <c r="B340" i="5" s="1"/>
  <c r="E339" i="3"/>
  <c r="D339" i="3"/>
  <c r="C339" i="3"/>
  <c r="B339" i="3"/>
  <c r="B339" i="5" s="1"/>
  <c r="E338" i="3"/>
  <c r="D338" i="3"/>
  <c r="C338" i="3"/>
  <c r="B338" i="3"/>
  <c r="B338" i="5" s="1"/>
  <c r="E337" i="3"/>
  <c r="D337" i="3"/>
  <c r="C337" i="3"/>
  <c r="B337" i="3"/>
  <c r="B337" i="5" s="1"/>
  <c r="E336" i="3"/>
  <c r="D336" i="3"/>
  <c r="C336" i="3"/>
  <c r="B336" i="3"/>
  <c r="B336" i="5" s="1"/>
  <c r="E335" i="3"/>
  <c r="D335" i="3"/>
  <c r="C335" i="3"/>
  <c r="B335" i="3"/>
  <c r="B335" i="5" s="1"/>
  <c r="E334" i="3"/>
  <c r="D334" i="3"/>
  <c r="C334" i="3"/>
  <c r="B334" i="3"/>
  <c r="B334" i="5" s="1"/>
  <c r="E333" i="3"/>
  <c r="D333" i="3"/>
  <c r="C333" i="3"/>
  <c r="B333" i="3"/>
  <c r="B333" i="5" s="1"/>
  <c r="E332" i="3"/>
  <c r="D332" i="3"/>
  <c r="C332" i="3"/>
  <c r="B332" i="3"/>
  <c r="B332" i="5" s="1"/>
  <c r="E331" i="3"/>
  <c r="D331" i="3"/>
  <c r="C331" i="3"/>
  <c r="B331" i="3"/>
  <c r="B331" i="5" s="1"/>
  <c r="E330" i="3"/>
  <c r="D330" i="3"/>
  <c r="C330" i="3"/>
  <c r="B330" i="3"/>
  <c r="B330" i="5" s="1"/>
  <c r="E329" i="3"/>
  <c r="D329" i="3"/>
  <c r="C329" i="3"/>
  <c r="B329" i="3"/>
  <c r="B329" i="5" s="1"/>
  <c r="E328" i="3"/>
  <c r="D328" i="3"/>
  <c r="C328" i="3"/>
  <c r="B328" i="3"/>
  <c r="B328" i="5" s="1"/>
  <c r="E327" i="3"/>
  <c r="D327" i="3"/>
  <c r="C327" i="3"/>
  <c r="B327" i="3"/>
  <c r="B327" i="5" s="1"/>
  <c r="E326" i="3"/>
  <c r="D326" i="3"/>
  <c r="C326" i="3"/>
  <c r="B326" i="3"/>
  <c r="B326" i="5" s="1"/>
  <c r="E325" i="3"/>
  <c r="D325" i="3"/>
  <c r="C325" i="3"/>
  <c r="B325" i="3"/>
  <c r="B325" i="5" s="1"/>
  <c r="E324" i="3"/>
  <c r="D324" i="3"/>
  <c r="C324" i="3"/>
  <c r="B324" i="3"/>
  <c r="B324" i="5" s="1"/>
  <c r="E323" i="3"/>
  <c r="D323" i="3"/>
  <c r="C323" i="3"/>
  <c r="B323" i="3"/>
  <c r="B323" i="5" s="1"/>
  <c r="E322" i="3"/>
  <c r="D322" i="3"/>
  <c r="C322" i="3"/>
  <c r="B322" i="3"/>
  <c r="B322" i="5" s="1"/>
  <c r="E321" i="3"/>
  <c r="D321" i="3"/>
  <c r="C321" i="3"/>
  <c r="B321" i="3"/>
  <c r="B321" i="5" s="1"/>
  <c r="E320" i="3"/>
  <c r="D320" i="3"/>
  <c r="C320" i="3"/>
  <c r="B320" i="3"/>
  <c r="B320" i="5" s="1"/>
  <c r="E319" i="3"/>
  <c r="D319" i="3"/>
  <c r="C319" i="3"/>
  <c r="B319" i="3"/>
  <c r="B319" i="5" s="1"/>
  <c r="E318" i="3"/>
  <c r="D318" i="3"/>
  <c r="C318" i="3"/>
  <c r="B318" i="3"/>
  <c r="B318" i="5" s="1"/>
  <c r="E317" i="3"/>
  <c r="D317" i="3"/>
  <c r="C317" i="3"/>
  <c r="B317" i="3"/>
  <c r="B317" i="5" s="1"/>
  <c r="E316" i="3"/>
  <c r="D316" i="3"/>
  <c r="C316" i="3"/>
  <c r="B316" i="3"/>
  <c r="B316" i="5" s="1"/>
  <c r="E315" i="3"/>
  <c r="D315" i="3"/>
  <c r="C315" i="3"/>
  <c r="B315" i="3"/>
  <c r="B315" i="5" s="1"/>
  <c r="E314" i="3"/>
  <c r="D314" i="3"/>
  <c r="C314" i="3"/>
  <c r="B314" i="3"/>
  <c r="B314" i="5" s="1"/>
  <c r="E313" i="3"/>
  <c r="D313" i="3"/>
  <c r="C313" i="3"/>
  <c r="B313" i="3"/>
  <c r="B313" i="5" s="1"/>
  <c r="E312" i="3"/>
  <c r="D312" i="3"/>
  <c r="C312" i="3"/>
  <c r="B312" i="3"/>
  <c r="B312" i="5" s="1"/>
  <c r="E311" i="3"/>
  <c r="D311" i="3"/>
  <c r="C311" i="3"/>
  <c r="B311" i="3"/>
  <c r="B311" i="5" s="1"/>
  <c r="E310" i="3"/>
  <c r="D310" i="3"/>
  <c r="C310" i="3"/>
  <c r="B310" i="3"/>
  <c r="B310" i="5" s="1"/>
  <c r="E309" i="3"/>
  <c r="D309" i="3"/>
  <c r="C309" i="3"/>
  <c r="B309" i="3"/>
  <c r="B309" i="5" s="1"/>
  <c r="E308" i="3"/>
  <c r="D308" i="3"/>
  <c r="C308" i="3"/>
  <c r="B308" i="3"/>
  <c r="B308" i="5" s="1"/>
  <c r="E307" i="3"/>
  <c r="D307" i="3"/>
  <c r="C307" i="3"/>
  <c r="B307" i="3"/>
  <c r="B307" i="5" s="1"/>
  <c r="E306" i="3"/>
  <c r="D306" i="3"/>
  <c r="C306" i="3"/>
  <c r="B306" i="3"/>
  <c r="B306" i="5" s="1"/>
  <c r="E305" i="3"/>
  <c r="D305" i="3"/>
  <c r="C305" i="3"/>
  <c r="B305" i="3"/>
  <c r="B305" i="5" s="1"/>
  <c r="E304" i="3"/>
  <c r="D304" i="3"/>
  <c r="C304" i="3"/>
  <c r="B304" i="3"/>
  <c r="B304" i="5" s="1"/>
  <c r="E303" i="3"/>
  <c r="D303" i="3"/>
  <c r="C303" i="3"/>
  <c r="B303" i="3"/>
  <c r="B303" i="5" s="1"/>
  <c r="E302" i="3"/>
  <c r="D302" i="3"/>
  <c r="C302" i="3"/>
  <c r="B302" i="3"/>
  <c r="B302" i="5" s="1"/>
  <c r="E301" i="3"/>
  <c r="D301" i="3"/>
  <c r="C301" i="3"/>
  <c r="B301" i="3"/>
  <c r="B301" i="5" s="1"/>
  <c r="E300" i="3"/>
  <c r="D300" i="3"/>
  <c r="C300" i="3"/>
  <c r="B300" i="3"/>
  <c r="B300" i="5" s="1"/>
  <c r="E299" i="3"/>
  <c r="D299" i="3"/>
  <c r="C299" i="3"/>
  <c r="B299" i="3"/>
  <c r="B299" i="5" s="1"/>
  <c r="E298" i="3"/>
  <c r="D298" i="3"/>
  <c r="C298" i="3"/>
  <c r="B298" i="3"/>
  <c r="B298" i="5" s="1"/>
  <c r="E297" i="3"/>
  <c r="D297" i="3"/>
  <c r="C297" i="3"/>
  <c r="B297" i="3"/>
  <c r="B297" i="5" s="1"/>
  <c r="E296" i="3"/>
  <c r="D296" i="3"/>
  <c r="C296" i="3"/>
  <c r="B296" i="3"/>
  <c r="B296" i="5" s="1"/>
  <c r="E295" i="3"/>
  <c r="D295" i="3"/>
  <c r="C295" i="3"/>
  <c r="B295" i="3"/>
  <c r="B295" i="5" s="1"/>
  <c r="E294" i="3"/>
  <c r="D294" i="3"/>
  <c r="C294" i="3"/>
  <c r="B294" i="3"/>
  <c r="B294" i="5" s="1"/>
  <c r="E293" i="3"/>
  <c r="D293" i="3"/>
  <c r="C293" i="3"/>
  <c r="B293" i="3"/>
  <c r="B293" i="5" s="1"/>
  <c r="E292" i="3"/>
  <c r="D292" i="3"/>
  <c r="C292" i="3"/>
  <c r="B292" i="3"/>
  <c r="B292" i="5" s="1"/>
  <c r="E291" i="3"/>
  <c r="D291" i="3"/>
  <c r="C291" i="3"/>
  <c r="B291" i="3"/>
  <c r="B291" i="5" s="1"/>
  <c r="E290" i="3"/>
  <c r="D290" i="3"/>
  <c r="C290" i="3"/>
  <c r="B290" i="3"/>
  <c r="B290" i="5" s="1"/>
  <c r="E289" i="3"/>
  <c r="D289" i="3"/>
  <c r="C289" i="3"/>
  <c r="B289" i="3"/>
  <c r="B289" i="5" s="1"/>
  <c r="E288" i="3"/>
  <c r="D288" i="3"/>
  <c r="C288" i="3"/>
  <c r="B288" i="3"/>
  <c r="B288" i="5" s="1"/>
  <c r="E287" i="3"/>
  <c r="D287" i="3"/>
  <c r="C287" i="3"/>
  <c r="B287" i="3"/>
  <c r="B287" i="5" s="1"/>
  <c r="E286" i="3"/>
  <c r="D286" i="3"/>
  <c r="C286" i="3"/>
  <c r="B286" i="3"/>
  <c r="B286" i="5" s="1"/>
  <c r="E285" i="3"/>
  <c r="D285" i="3"/>
  <c r="C285" i="3"/>
  <c r="B285" i="3"/>
  <c r="B285" i="5" s="1"/>
  <c r="E284" i="3"/>
  <c r="D284" i="3"/>
  <c r="C284" i="3"/>
  <c r="B284" i="3"/>
  <c r="B284" i="5" s="1"/>
  <c r="E283" i="3"/>
  <c r="D283" i="3"/>
  <c r="C283" i="3"/>
  <c r="B283" i="3"/>
  <c r="B283" i="5" s="1"/>
  <c r="E282" i="3"/>
  <c r="D282" i="3"/>
  <c r="C282" i="3"/>
  <c r="B282" i="3"/>
  <c r="B282" i="5" s="1"/>
  <c r="E281" i="3"/>
  <c r="D281" i="3"/>
  <c r="C281" i="3"/>
  <c r="B281" i="3"/>
  <c r="B281" i="5" s="1"/>
  <c r="E280" i="3"/>
  <c r="D280" i="3"/>
  <c r="C280" i="3"/>
  <c r="B280" i="3"/>
  <c r="B280" i="5" s="1"/>
  <c r="E279" i="3"/>
  <c r="D279" i="3"/>
  <c r="C279" i="3"/>
  <c r="B279" i="3"/>
  <c r="B279" i="5" s="1"/>
  <c r="E278" i="3"/>
  <c r="D278" i="3"/>
  <c r="C278" i="3"/>
  <c r="B278" i="3"/>
  <c r="B278" i="5" s="1"/>
  <c r="E277" i="3"/>
  <c r="D277" i="3"/>
  <c r="C277" i="3"/>
  <c r="B277" i="3"/>
  <c r="B277" i="5" s="1"/>
  <c r="E276" i="3"/>
  <c r="D276" i="3"/>
  <c r="C276" i="3"/>
  <c r="B276" i="3"/>
  <c r="B276" i="5" s="1"/>
  <c r="E275" i="3"/>
  <c r="D275" i="3"/>
  <c r="C275" i="3"/>
  <c r="B275" i="3"/>
  <c r="B275" i="5" s="1"/>
  <c r="E274" i="3"/>
  <c r="D274" i="3"/>
  <c r="C274" i="3"/>
  <c r="B274" i="3"/>
  <c r="B274" i="5" s="1"/>
  <c r="E273" i="3"/>
  <c r="D273" i="3"/>
  <c r="C273" i="3"/>
  <c r="B273" i="3"/>
  <c r="B273" i="5" s="1"/>
  <c r="E272" i="3"/>
  <c r="D272" i="3"/>
  <c r="C272" i="3"/>
  <c r="B272" i="3"/>
  <c r="B272" i="5" s="1"/>
  <c r="E271" i="3"/>
  <c r="D271" i="3"/>
  <c r="C271" i="3"/>
  <c r="B271" i="3"/>
  <c r="B271" i="5" s="1"/>
  <c r="E270" i="3"/>
  <c r="D270" i="3"/>
  <c r="C270" i="3"/>
  <c r="B270" i="3"/>
  <c r="B270" i="5" s="1"/>
  <c r="E269" i="3"/>
  <c r="D269" i="3"/>
  <c r="C269" i="3"/>
  <c r="B269" i="3"/>
  <c r="B269" i="5" s="1"/>
  <c r="E268" i="3"/>
  <c r="D268" i="3"/>
  <c r="C268" i="3"/>
  <c r="B268" i="3"/>
  <c r="B268" i="5" s="1"/>
  <c r="E267" i="3"/>
  <c r="D267" i="3"/>
  <c r="C267" i="3"/>
  <c r="B267" i="3"/>
  <c r="B267" i="5" s="1"/>
  <c r="E266" i="3"/>
  <c r="D266" i="3"/>
  <c r="C266" i="3"/>
  <c r="B266" i="3"/>
  <c r="B266" i="5" s="1"/>
  <c r="E265" i="3"/>
  <c r="D265" i="3"/>
  <c r="C265" i="3"/>
  <c r="B265" i="3"/>
  <c r="B265" i="5" s="1"/>
  <c r="E264" i="3"/>
  <c r="D264" i="3"/>
  <c r="C264" i="3"/>
  <c r="B264" i="3"/>
  <c r="B264" i="5" s="1"/>
  <c r="E263" i="3"/>
  <c r="D263" i="3"/>
  <c r="C263" i="3"/>
  <c r="B263" i="3"/>
  <c r="B263" i="5" s="1"/>
  <c r="E262" i="3"/>
  <c r="D262" i="3"/>
  <c r="C262" i="3"/>
  <c r="B262" i="3"/>
  <c r="B262" i="5" s="1"/>
  <c r="E261" i="3"/>
  <c r="D261" i="3"/>
  <c r="C261" i="3"/>
  <c r="B261" i="3"/>
  <c r="B261" i="5" s="1"/>
  <c r="E260" i="3"/>
  <c r="D260" i="3"/>
  <c r="C260" i="3"/>
  <c r="B260" i="3"/>
  <c r="B260" i="5" s="1"/>
  <c r="E259" i="3"/>
  <c r="D259" i="3"/>
  <c r="C259" i="3"/>
  <c r="B259" i="3"/>
  <c r="B259" i="5" s="1"/>
  <c r="E258" i="3"/>
  <c r="D258" i="3"/>
  <c r="C258" i="3"/>
  <c r="B258" i="3"/>
  <c r="B258" i="5" s="1"/>
  <c r="E257" i="3"/>
  <c r="D257" i="3"/>
  <c r="C257" i="3"/>
  <c r="B257" i="3"/>
  <c r="B257" i="5" s="1"/>
  <c r="E256" i="3"/>
  <c r="D256" i="3"/>
  <c r="C256" i="3"/>
  <c r="B256" i="3"/>
  <c r="B256" i="5" s="1"/>
  <c r="E255" i="3"/>
  <c r="D255" i="3"/>
  <c r="C255" i="3"/>
  <c r="B255" i="3"/>
  <c r="B255" i="5" s="1"/>
  <c r="E254" i="3"/>
  <c r="D254" i="3"/>
  <c r="C254" i="3"/>
  <c r="B254" i="3"/>
  <c r="B254" i="5" s="1"/>
  <c r="E253" i="3"/>
  <c r="D253" i="3"/>
  <c r="C253" i="3"/>
  <c r="B253" i="3"/>
  <c r="B253" i="5" s="1"/>
  <c r="E252" i="3"/>
  <c r="D252" i="3"/>
  <c r="C252" i="3"/>
  <c r="B252" i="3"/>
  <c r="B252" i="5" s="1"/>
  <c r="E251" i="3"/>
  <c r="D251" i="3"/>
  <c r="C251" i="3"/>
  <c r="B251" i="3"/>
  <c r="B251" i="5" s="1"/>
  <c r="E250" i="3"/>
  <c r="D250" i="3"/>
  <c r="C250" i="3"/>
  <c r="B250" i="3"/>
  <c r="B250" i="5" s="1"/>
  <c r="E249" i="3"/>
  <c r="D249" i="3"/>
  <c r="C249" i="3"/>
  <c r="B249" i="3"/>
  <c r="B249" i="5" s="1"/>
  <c r="E248" i="3"/>
  <c r="D248" i="3"/>
  <c r="C248" i="3"/>
  <c r="B248" i="3"/>
  <c r="B248" i="5" s="1"/>
  <c r="E247" i="3"/>
  <c r="D247" i="3"/>
  <c r="C247" i="3"/>
  <c r="B247" i="3"/>
  <c r="B247" i="5" s="1"/>
  <c r="E246" i="3"/>
  <c r="D246" i="3"/>
  <c r="C246" i="3"/>
  <c r="B246" i="3"/>
  <c r="B246" i="5" s="1"/>
  <c r="E245" i="3"/>
  <c r="D245" i="3"/>
  <c r="C245" i="3"/>
  <c r="B245" i="3"/>
  <c r="B245" i="5" s="1"/>
  <c r="E244" i="3"/>
  <c r="D244" i="3"/>
  <c r="C244" i="3"/>
  <c r="B244" i="3"/>
  <c r="B244" i="5" s="1"/>
  <c r="E243" i="3"/>
  <c r="D243" i="3"/>
  <c r="C243" i="3"/>
  <c r="B243" i="3"/>
  <c r="B243" i="5" s="1"/>
  <c r="E242" i="3"/>
  <c r="D242" i="3"/>
  <c r="C242" i="3"/>
  <c r="B242" i="3"/>
  <c r="B242" i="5" s="1"/>
  <c r="E241" i="3"/>
  <c r="D241" i="3"/>
  <c r="C241" i="3"/>
  <c r="B241" i="3"/>
  <c r="B241" i="5" s="1"/>
  <c r="E240" i="3"/>
  <c r="D240" i="3"/>
  <c r="C240" i="3"/>
  <c r="B240" i="3"/>
  <c r="B240" i="5" s="1"/>
  <c r="E239" i="3"/>
  <c r="D239" i="3"/>
  <c r="C239" i="3"/>
  <c r="B239" i="3"/>
  <c r="B239" i="5" s="1"/>
  <c r="E238" i="3"/>
  <c r="D238" i="3"/>
  <c r="C238" i="3"/>
  <c r="B238" i="3"/>
  <c r="B238" i="5" s="1"/>
  <c r="E237" i="3"/>
  <c r="D237" i="3"/>
  <c r="C237" i="3"/>
  <c r="B237" i="3"/>
  <c r="B237" i="5" s="1"/>
  <c r="E236" i="3"/>
  <c r="D236" i="3"/>
  <c r="C236" i="3"/>
  <c r="B236" i="3"/>
  <c r="B236" i="5" s="1"/>
  <c r="E235" i="3"/>
  <c r="D235" i="3"/>
  <c r="C235" i="3"/>
  <c r="B235" i="3"/>
  <c r="B235" i="5" s="1"/>
  <c r="E234" i="3"/>
  <c r="D234" i="3"/>
  <c r="C234" i="3"/>
  <c r="B234" i="3"/>
  <c r="B234" i="5" s="1"/>
  <c r="E233" i="3"/>
  <c r="D233" i="3"/>
  <c r="C233" i="3"/>
  <c r="B233" i="3"/>
  <c r="B233" i="5" s="1"/>
  <c r="E232" i="3"/>
  <c r="D232" i="3"/>
  <c r="C232" i="3"/>
  <c r="B232" i="3"/>
  <c r="B232" i="5" s="1"/>
  <c r="E231" i="3"/>
  <c r="D231" i="3"/>
  <c r="C231" i="3"/>
  <c r="B231" i="3"/>
  <c r="B231" i="5" s="1"/>
  <c r="E230" i="3"/>
  <c r="D230" i="3"/>
  <c r="C230" i="3"/>
  <c r="B230" i="3"/>
  <c r="B230" i="5" s="1"/>
  <c r="E229" i="3"/>
  <c r="D229" i="3"/>
  <c r="C229" i="3"/>
  <c r="B229" i="3"/>
  <c r="B229" i="5" s="1"/>
  <c r="E228" i="3"/>
  <c r="D228" i="3"/>
  <c r="C228" i="3"/>
  <c r="B228" i="3"/>
  <c r="B228" i="5" s="1"/>
  <c r="E227" i="3"/>
  <c r="D227" i="3"/>
  <c r="C227" i="3"/>
  <c r="B227" i="3"/>
  <c r="B227" i="5" s="1"/>
  <c r="E226" i="3"/>
  <c r="D226" i="3"/>
  <c r="C226" i="3"/>
  <c r="B226" i="3"/>
  <c r="B226" i="5" s="1"/>
  <c r="E225" i="3"/>
  <c r="D225" i="3"/>
  <c r="C225" i="3"/>
  <c r="B225" i="3"/>
  <c r="B225" i="5" s="1"/>
  <c r="E224" i="3"/>
  <c r="D224" i="3"/>
  <c r="C224" i="3"/>
  <c r="B224" i="3"/>
  <c r="B224" i="5" s="1"/>
  <c r="E223" i="3"/>
  <c r="D223" i="3"/>
  <c r="C223" i="3"/>
  <c r="B223" i="3"/>
  <c r="B223" i="5" s="1"/>
  <c r="E222" i="3"/>
  <c r="D222" i="3"/>
  <c r="C222" i="3"/>
  <c r="B222" i="3"/>
  <c r="B222" i="5" s="1"/>
  <c r="E221" i="3"/>
  <c r="D221" i="3"/>
  <c r="C221" i="3"/>
  <c r="B221" i="3"/>
  <c r="B221" i="5" s="1"/>
  <c r="E220" i="3"/>
  <c r="D220" i="3"/>
  <c r="C220" i="3"/>
  <c r="B220" i="3"/>
  <c r="B220" i="5" s="1"/>
  <c r="E219" i="3"/>
  <c r="D219" i="3"/>
  <c r="C219" i="3"/>
  <c r="B219" i="3"/>
  <c r="B219" i="5" s="1"/>
  <c r="E218" i="3"/>
  <c r="D218" i="3"/>
  <c r="C218" i="3"/>
  <c r="B218" i="3"/>
  <c r="B218" i="5" s="1"/>
  <c r="E217" i="3"/>
  <c r="D217" i="3"/>
  <c r="C217" i="3"/>
  <c r="B217" i="3"/>
  <c r="B217" i="5" s="1"/>
  <c r="E216" i="3"/>
  <c r="D216" i="3"/>
  <c r="C216" i="3"/>
  <c r="B216" i="3"/>
  <c r="B216" i="5" s="1"/>
  <c r="E215" i="3"/>
  <c r="D215" i="3"/>
  <c r="C215" i="3"/>
  <c r="B215" i="3"/>
  <c r="B215" i="5" s="1"/>
  <c r="E214" i="3"/>
  <c r="D214" i="3"/>
  <c r="C214" i="3"/>
  <c r="B214" i="3"/>
  <c r="B214" i="5" s="1"/>
  <c r="E213" i="3"/>
  <c r="D213" i="3"/>
  <c r="C213" i="3"/>
  <c r="B213" i="3"/>
  <c r="B213" i="5" s="1"/>
  <c r="E212" i="3"/>
  <c r="D212" i="3"/>
  <c r="C212" i="3"/>
  <c r="B212" i="3"/>
  <c r="B212" i="5" s="1"/>
  <c r="E211" i="3"/>
  <c r="D211" i="3"/>
  <c r="C211" i="3"/>
  <c r="B211" i="3"/>
  <c r="B211" i="5" s="1"/>
  <c r="E210" i="3"/>
  <c r="D210" i="3"/>
  <c r="C210" i="3"/>
  <c r="B210" i="3"/>
  <c r="B210" i="5" s="1"/>
  <c r="E209" i="3"/>
  <c r="D209" i="3"/>
  <c r="C209" i="3"/>
  <c r="B209" i="3"/>
  <c r="B209" i="5" s="1"/>
  <c r="E208" i="3"/>
  <c r="D208" i="3"/>
  <c r="C208" i="3"/>
  <c r="B208" i="3"/>
  <c r="B208" i="5" s="1"/>
  <c r="E207" i="3"/>
  <c r="D207" i="3"/>
  <c r="C207" i="3"/>
  <c r="B207" i="3"/>
  <c r="B207" i="5" s="1"/>
  <c r="E206" i="3"/>
  <c r="D206" i="3"/>
  <c r="C206" i="3"/>
  <c r="B206" i="3"/>
  <c r="B206" i="5" s="1"/>
  <c r="E205" i="3"/>
  <c r="D205" i="3"/>
  <c r="C205" i="3"/>
  <c r="B205" i="3"/>
  <c r="B205" i="5" s="1"/>
  <c r="E204" i="3"/>
  <c r="D204" i="3"/>
  <c r="C204" i="3"/>
  <c r="B204" i="3"/>
  <c r="B204" i="5" s="1"/>
  <c r="E203" i="3"/>
  <c r="D203" i="3"/>
  <c r="C203" i="3"/>
  <c r="B203" i="3"/>
  <c r="B203" i="5" s="1"/>
  <c r="E202" i="3"/>
  <c r="D202" i="3"/>
  <c r="C202" i="3"/>
  <c r="B202" i="3"/>
  <c r="B202" i="5" s="1"/>
  <c r="E201" i="3"/>
  <c r="D201" i="3"/>
  <c r="C201" i="3"/>
  <c r="B201" i="3"/>
  <c r="B201" i="5" s="1"/>
  <c r="E200" i="3"/>
  <c r="D200" i="3"/>
  <c r="C200" i="3"/>
  <c r="B200" i="3"/>
  <c r="B200" i="5" s="1"/>
  <c r="E199" i="3"/>
  <c r="D199" i="3"/>
  <c r="C199" i="3"/>
  <c r="B199" i="3"/>
  <c r="B199" i="5" s="1"/>
  <c r="E198" i="3"/>
  <c r="D198" i="3"/>
  <c r="C198" i="3"/>
  <c r="B198" i="3"/>
  <c r="B198" i="5" s="1"/>
  <c r="E197" i="3"/>
  <c r="D197" i="3"/>
  <c r="C197" i="3"/>
  <c r="B197" i="3"/>
  <c r="B197" i="5" s="1"/>
  <c r="E196" i="3"/>
  <c r="D196" i="3"/>
  <c r="C196" i="3"/>
  <c r="B196" i="3"/>
  <c r="B196" i="5" s="1"/>
  <c r="E195" i="3"/>
  <c r="D195" i="3"/>
  <c r="C195" i="3"/>
  <c r="B195" i="3"/>
  <c r="B195" i="5" s="1"/>
  <c r="E194" i="3"/>
  <c r="D194" i="3"/>
  <c r="C194" i="3"/>
  <c r="B194" i="3"/>
  <c r="B194" i="5" s="1"/>
  <c r="E193" i="3"/>
  <c r="D193" i="3"/>
  <c r="C193" i="3"/>
  <c r="B193" i="3"/>
  <c r="B193" i="5" s="1"/>
  <c r="E192" i="3"/>
  <c r="D192" i="3"/>
  <c r="C192" i="3"/>
  <c r="B192" i="3"/>
  <c r="B192" i="5" s="1"/>
  <c r="E191" i="3"/>
  <c r="D191" i="3"/>
  <c r="C191" i="3"/>
  <c r="B191" i="3"/>
  <c r="B191" i="5" s="1"/>
  <c r="E190" i="3"/>
  <c r="D190" i="3"/>
  <c r="C190" i="3"/>
  <c r="B190" i="3"/>
  <c r="B190" i="5" s="1"/>
  <c r="E189" i="3"/>
  <c r="D189" i="3"/>
  <c r="C189" i="3"/>
  <c r="B189" i="3"/>
  <c r="B189" i="5" s="1"/>
  <c r="E188" i="3"/>
  <c r="D188" i="3"/>
  <c r="C188" i="3"/>
  <c r="B188" i="3"/>
  <c r="B188" i="5" s="1"/>
  <c r="E187" i="3"/>
  <c r="D187" i="3"/>
  <c r="C187" i="3"/>
  <c r="B187" i="3"/>
  <c r="B187" i="5" s="1"/>
  <c r="E186" i="3"/>
  <c r="D186" i="3"/>
  <c r="C186" i="3"/>
  <c r="B186" i="3"/>
  <c r="B186" i="5" s="1"/>
  <c r="E185" i="3"/>
  <c r="D185" i="3"/>
  <c r="C185" i="3"/>
  <c r="B185" i="3"/>
  <c r="B185" i="5" s="1"/>
  <c r="E184" i="3"/>
  <c r="D184" i="3"/>
  <c r="C184" i="3"/>
  <c r="B184" i="3"/>
  <c r="B184" i="5" s="1"/>
  <c r="E183" i="3"/>
  <c r="D183" i="3"/>
  <c r="C183" i="3"/>
  <c r="B183" i="3"/>
  <c r="B183" i="5" s="1"/>
  <c r="E182" i="3"/>
  <c r="D182" i="3"/>
  <c r="C182" i="3"/>
  <c r="B182" i="3"/>
  <c r="B182" i="5" s="1"/>
  <c r="E181" i="3"/>
  <c r="D181" i="3"/>
  <c r="C181" i="3"/>
  <c r="B181" i="3"/>
  <c r="B181" i="5" s="1"/>
  <c r="E180" i="3"/>
  <c r="D180" i="3"/>
  <c r="C180" i="3"/>
  <c r="B180" i="3"/>
  <c r="B180" i="5" s="1"/>
  <c r="E179" i="3"/>
  <c r="D179" i="3"/>
  <c r="C179" i="3"/>
  <c r="B179" i="3"/>
  <c r="B179" i="5" s="1"/>
  <c r="E178" i="3"/>
  <c r="D178" i="3"/>
  <c r="C178" i="3"/>
  <c r="B178" i="3"/>
  <c r="B178" i="5" s="1"/>
  <c r="E177" i="3"/>
  <c r="D177" i="3"/>
  <c r="C177" i="3"/>
  <c r="B177" i="3"/>
  <c r="B177" i="5" s="1"/>
  <c r="E176" i="3"/>
  <c r="D176" i="3"/>
  <c r="C176" i="3"/>
  <c r="B176" i="3"/>
  <c r="B176" i="5" s="1"/>
  <c r="E175" i="3"/>
  <c r="D175" i="3"/>
  <c r="C175" i="3"/>
  <c r="B175" i="3"/>
  <c r="B175" i="5" s="1"/>
  <c r="E174" i="3"/>
  <c r="D174" i="3"/>
  <c r="C174" i="3"/>
  <c r="B174" i="3"/>
  <c r="B174" i="5" s="1"/>
  <c r="E173" i="3"/>
  <c r="D173" i="3"/>
  <c r="C173" i="3"/>
  <c r="B173" i="3"/>
  <c r="B173" i="5" s="1"/>
  <c r="E172" i="3"/>
  <c r="D172" i="3"/>
  <c r="C172" i="3"/>
  <c r="B172" i="3"/>
  <c r="B172" i="5" s="1"/>
  <c r="E171" i="3"/>
  <c r="D171" i="3"/>
  <c r="C171" i="3"/>
  <c r="B171" i="3"/>
  <c r="B171" i="5" s="1"/>
  <c r="E170" i="3"/>
  <c r="D170" i="3"/>
  <c r="C170" i="3"/>
  <c r="B170" i="3"/>
  <c r="B170" i="5" s="1"/>
  <c r="E169" i="3"/>
  <c r="D169" i="3"/>
  <c r="C169" i="3"/>
  <c r="B169" i="3"/>
  <c r="B169" i="5" s="1"/>
  <c r="E168" i="3"/>
  <c r="D168" i="3"/>
  <c r="C168" i="3"/>
  <c r="B168" i="3"/>
  <c r="B168" i="5" s="1"/>
  <c r="E167" i="3"/>
  <c r="D167" i="3"/>
  <c r="C167" i="3"/>
  <c r="B167" i="3"/>
  <c r="B167" i="5" s="1"/>
  <c r="E166" i="3"/>
  <c r="D166" i="3"/>
  <c r="C166" i="3"/>
  <c r="B166" i="3"/>
  <c r="B166" i="5" s="1"/>
  <c r="E165" i="3"/>
  <c r="D165" i="3"/>
  <c r="C165" i="3"/>
  <c r="B165" i="3"/>
  <c r="B165" i="5" s="1"/>
  <c r="E164" i="3"/>
  <c r="D164" i="3"/>
  <c r="C164" i="3"/>
  <c r="B164" i="3"/>
  <c r="B164" i="5" s="1"/>
  <c r="E163" i="3"/>
  <c r="D163" i="3"/>
  <c r="C163" i="3"/>
  <c r="B163" i="3"/>
  <c r="B163" i="5" s="1"/>
  <c r="E162" i="3"/>
  <c r="D162" i="3"/>
  <c r="C162" i="3"/>
  <c r="B162" i="3"/>
  <c r="B162" i="5" s="1"/>
  <c r="E161" i="3"/>
  <c r="D161" i="3"/>
  <c r="C161" i="3"/>
  <c r="B161" i="3"/>
  <c r="B161" i="5" s="1"/>
  <c r="E160" i="3"/>
  <c r="D160" i="3"/>
  <c r="C160" i="3"/>
  <c r="B160" i="3"/>
  <c r="B160" i="5" s="1"/>
  <c r="E159" i="3"/>
  <c r="D159" i="3"/>
  <c r="C159" i="3"/>
  <c r="B159" i="3"/>
  <c r="B159" i="5" s="1"/>
  <c r="E158" i="3"/>
  <c r="D158" i="3"/>
  <c r="C158" i="3"/>
  <c r="B158" i="3"/>
  <c r="B158" i="5" s="1"/>
  <c r="E157" i="3"/>
  <c r="D157" i="3"/>
  <c r="C157" i="3"/>
  <c r="B157" i="3"/>
  <c r="B157" i="5" s="1"/>
  <c r="E156" i="3"/>
  <c r="D156" i="3"/>
  <c r="C156" i="3"/>
  <c r="B156" i="3"/>
  <c r="B156" i="5" s="1"/>
  <c r="E155" i="3"/>
  <c r="D155" i="3"/>
  <c r="C155" i="3"/>
  <c r="B155" i="3"/>
  <c r="B155" i="5" s="1"/>
  <c r="E154" i="3"/>
  <c r="D154" i="3"/>
  <c r="C154" i="3"/>
  <c r="B154" i="3"/>
  <c r="B154" i="5" s="1"/>
  <c r="E153" i="3"/>
  <c r="D153" i="3"/>
  <c r="C153" i="3"/>
  <c r="B153" i="3"/>
  <c r="B153" i="5" s="1"/>
  <c r="E152" i="3"/>
  <c r="D152" i="3"/>
  <c r="C152" i="3"/>
  <c r="B152" i="3"/>
  <c r="B152" i="5" s="1"/>
  <c r="E151" i="3"/>
  <c r="D151" i="3"/>
  <c r="C151" i="3"/>
  <c r="B151" i="3"/>
  <c r="B151" i="5" s="1"/>
  <c r="E150" i="3"/>
  <c r="D150" i="3"/>
  <c r="C150" i="3"/>
  <c r="B150" i="3"/>
  <c r="B150" i="5" s="1"/>
  <c r="E149" i="3"/>
  <c r="D149" i="3"/>
  <c r="C149" i="3"/>
  <c r="B149" i="3"/>
  <c r="B149" i="5" s="1"/>
  <c r="E148" i="3"/>
  <c r="D148" i="3"/>
  <c r="C148" i="3"/>
  <c r="B148" i="3"/>
  <c r="B148" i="5" s="1"/>
  <c r="E147" i="3"/>
  <c r="D147" i="3"/>
  <c r="C147" i="3"/>
  <c r="B147" i="3"/>
  <c r="B147" i="5" s="1"/>
  <c r="E146" i="3"/>
  <c r="D146" i="3"/>
  <c r="C146" i="3"/>
  <c r="B146" i="3"/>
  <c r="B146" i="5" s="1"/>
  <c r="E145" i="3"/>
  <c r="D145" i="3"/>
  <c r="C145" i="3"/>
  <c r="B145" i="3"/>
  <c r="B145" i="5" s="1"/>
  <c r="E144" i="3"/>
  <c r="D144" i="3"/>
  <c r="C144" i="3"/>
  <c r="B144" i="3"/>
  <c r="B144" i="5" s="1"/>
  <c r="E143" i="3"/>
  <c r="D143" i="3"/>
  <c r="C143" i="3"/>
  <c r="B143" i="3"/>
  <c r="B143" i="5" s="1"/>
  <c r="E142" i="3"/>
  <c r="D142" i="3"/>
  <c r="C142" i="3"/>
  <c r="B142" i="3"/>
  <c r="B142" i="5" s="1"/>
  <c r="E141" i="3"/>
  <c r="D141" i="3"/>
  <c r="C141" i="3"/>
  <c r="B141" i="3"/>
  <c r="B141" i="5" s="1"/>
  <c r="E140" i="3"/>
  <c r="D140" i="3"/>
  <c r="C140" i="3"/>
  <c r="B140" i="3"/>
  <c r="B140" i="5" s="1"/>
  <c r="E139" i="3"/>
  <c r="D139" i="3"/>
  <c r="C139" i="3"/>
  <c r="B139" i="3"/>
  <c r="B139" i="5" s="1"/>
  <c r="E138" i="3"/>
  <c r="D138" i="3"/>
  <c r="C138" i="3"/>
  <c r="B138" i="3"/>
  <c r="B138" i="5" s="1"/>
  <c r="E137" i="3"/>
  <c r="D137" i="3"/>
  <c r="C137" i="3"/>
  <c r="B137" i="3"/>
  <c r="B137" i="5" s="1"/>
  <c r="E136" i="3"/>
  <c r="D136" i="3"/>
  <c r="C136" i="3"/>
  <c r="B136" i="3"/>
  <c r="B136" i="5" s="1"/>
  <c r="E135" i="3"/>
  <c r="D135" i="3"/>
  <c r="C135" i="3"/>
  <c r="B135" i="3"/>
  <c r="B135" i="5" s="1"/>
  <c r="E134" i="3"/>
  <c r="D134" i="3"/>
  <c r="C134" i="3"/>
  <c r="B134" i="3"/>
  <c r="B134" i="5" s="1"/>
  <c r="E133" i="3"/>
  <c r="D133" i="3"/>
  <c r="C133" i="3"/>
  <c r="B133" i="3"/>
  <c r="B133" i="5" s="1"/>
  <c r="E132" i="3"/>
  <c r="D132" i="3"/>
  <c r="C132" i="3"/>
  <c r="B132" i="3"/>
  <c r="B132" i="5" s="1"/>
  <c r="E131" i="3"/>
  <c r="D131" i="3"/>
  <c r="C131" i="3"/>
  <c r="B131" i="3"/>
  <c r="B131" i="5" s="1"/>
  <c r="E130" i="3"/>
  <c r="D130" i="3"/>
  <c r="C130" i="3"/>
  <c r="B130" i="3"/>
  <c r="B130" i="5" s="1"/>
  <c r="E129" i="3"/>
  <c r="D129" i="3"/>
  <c r="C129" i="3"/>
  <c r="B129" i="3"/>
  <c r="B129" i="5" s="1"/>
  <c r="E128" i="3"/>
  <c r="D128" i="3"/>
  <c r="C128" i="3"/>
  <c r="B128" i="3"/>
  <c r="B128" i="5" s="1"/>
  <c r="E127" i="3"/>
  <c r="D127" i="3"/>
  <c r="C127" i="3"/>
  <c r="B127" i="3"/>
  <c r="B127" i="5" s="1"/>
  <c r="E126" i="3"/>
  <c r="D126" i="3"/>
  <c r="C126" i="3"/>
  <c r="B126" i="3"/>
  <c r="B126" i="5" s="1"/>
  <c r="E125" i="3"/>
  <c r="D125" i="3"/>
  <c r="C125" i="3"/>
  <c r="B125" i="3"/>
  <c r="B125" i="5" s="1"/>
  <c r="E124" i="3"/>
  <c r="D124" i="3"/>
  <c r="C124" i="3"/>
  <c r="B124" i="3"/>
  <c r="B124" i="5" s="1"/>
  <c r="E123" i="3"/>
  <c r="D123" i="3"/>
  <c r="C123" i="3"/>
  <c r="B123" i="3"/>
  <c r="B123" i="5" s="1"/>
  <c r="E122" i="3"/>
  <c r="D122" i="3"/>
  <c r="C122" i="3"/>
  <c r="B122" i="3"/>
  <c r="B122" i="5" s="1"/>
  <c r="E121" i="3"/>
  <c r="D121" i="3"/>
  <c r="C121" i="3"/>
  <c r="B121" i="3"/>
  <c r="B121" i="5" s="1"/>
  <c r="E120" i="3"/>
  <c r="D120" i="3"/>
  <c r="C120" i="3"/>
  <c r="B120" i="3"/>
  <c r="B120" i="5" s="1"/>
  <c r="E119" i="3"/>
  <c r="D119" i="3"/>
  <c r="C119" i="3"/>
  <c r="B119" i="3"/>
  <c r="B119" i="5" s="1"/>
  <c r="E118" i="3"/>
  <c r="D118" i="3"/>
  <c r="C118" i="3"/>
  <c r="B118" i="3"/>
  <c r="B118" i="5" s="1"/>
  <c r="E117" i="3"/>
  <c r="D117" i="3"/>
  <c r="C117" i="3"/>
  <c r="B117" i="3"/>
  <c r="B117" i="5" s="1"/>
  <c r="E116" i="3"/>
  <c r="D116" i="3"/>
  <c r="C116" i="3"/>
  <c r="B116" i="3"/>
  <c r="B116" i="5" s="1"/>
  <c r="E115" i="3"/>
  <c r="D115" i="3"/>
  <c r="C115" i="3"/>
  <c r="B115" i="3"/>
  <c r="B115" i="5" s="1"/>
  <c r="E114" i="3"/>
  <c r="D114" i="3"/>
  <c r="C114" i="3"/>
  <c r="B114" i="3"/>
  <c r="B114" i="5" s="1"/>
  <c r="E113" i="3"/>
  <c r="D113" i="3"/>
  <c r="C113" i="3"/>
  <c r="B113" i="3"/>
  <c r="B113" i="5" s="1"/>
  <c r="E112" i="3"/>
  <c r="D112" i="3"/>
  <c r="C112" i="3"/>
  <c r="B112" i="3"/>
  <c r="B112" i="5" s="1"/>
  <c r="E111" i="3"/>
  <c r="D111" i="3"/>
  <c r="C111" i="3"/>
  <c r="B111" i="3"/>
  <c r="B111" i="5" s="1"/>
  <c r="E110" i="3"/>
  <c r="D110" i="3"/>
  <c r="C110" i="3"/>
  <c r="B110" i="3"/>
  <c r="B110" i="5" s="1"/>
  <c r="E109" i="3"/>
  <c r="D109" i="3"/>
  <c r="C109" i="3"/>
  <c r="B109" i="3"/>
  <c r="B109" i="5" s="1"/>
  <c r="E108" i="3"/>
  <c r="D108" i="3"/>
  <c r="C108" i="3"/>
  <c r="B108" i="3"/>
  <c r="B108" i="5" s="1"/>
  <c r="E107" i="3"/>
  <c r="D107" i="3"/>
  <c r="C107" i="3"/>
  <c r="B107" i="3"/>
  <c r="B107" i="5" s="1"/>
  <c r="E106" i="3"/>
  <c r="D106" i="3"/>
  <c r="C106" i="3"/>
  <c r="B106" i="3"/>
  <c r="B106" i="5" s="1"/>
  <c r="E105" i="3"/>
  <c r="D105" i="3"/>
  <c r="C105" i="3"/>
  <c r="B105" i="3"/>
  <c r="B105" i="5" s="1"/>
  <c r="E104" i="3"/>
  <c r="D104" i="3"/>
  <c r="C104" i="3"/>
  <c r="B104" i="3"/>
  <c r="B104" i="5" s="1"/>
  <c r="E103" i="3"/>
  <c r="D103" i="3"/>
  <c r="C103" i="3"/>
  <c r="B103" i="3"/>
  <c r="B103" i="5" s="1"/>
  <c r="E102" i="3"/>
  <c r="D102" i="3"/>
  <c r="C102" i="3"/>
  <c r="B102" i="3"/>
  <c r="B102" i="5" s="1"/>
  <c r="E101" i="3"/>
  <c r="D101" i="3"/>
  <c r="C101" i="3"/>
  <c r="B101" i="3"/>
  <c r="B101" i="5" s="1"/>
  <c r="E100" i="3"/>
  <c r="D100" i="3"/>
  <c r="C100" i="3"/>
  <c r="B100" i="3"/>
  <c r="B100" i="5" s="1"/>
  <c r="E99" i="3"/>
  <c r="D99" i="3"/>
  <c r="C99" i="3"/>
  <c r="B99" i="3"/>
  <c r="B99" i="5" s="1"/>
  <c r="E98" i="3"/>
  <c r="D98" i="3"/>
  <c r="C98" i="3"/>
  <c r="B98" i="3"/>
  <c r="B98" i="5" s="1"/>
  <c r="E97" i="3"/>
  <c r="D97" i="3"/>
  <c r="C97" i="3"/>
  <c r="B97" i="3"/>
  <c r="B97" i="5" s="1"/>
  <c r="E96" i="3"/>
  <c r="D96" i="3"/>
  <c r="C96" i="3"/>
  <c r="B96" i="3"/>
  <c r="B96" i="5" s="1"/>
  <c r="E95" i="3"/>
  <c r="D95" i="3"/>
  <c r="C95" i="3"/>
  <c r="B95" i="3"/>
  <c r="B95" i="5" s="1"/>
  <c r="E94" i="3"/>
  <c r="D94" i="3"/>
  <c r="C94" i="3"/>
  <c r="B94" i="3"/>
  <c r="B94" i="5" s="1"/>
  <c r="E93" i="3"/>
  <c r="D93" i="3"/>
  <c r="C93" i="3"/>
  <c r="B93" i="3"/>
  <c r="B93" i="5" s="1"/>
  <c r="E92" i="3"/>
  <c r="D92" i="3"/>
  <c r="C92" i="3"/>
  <c r="B92" i="3"/>
  <c r="B92" i="5" s="1"/>
  <c r="E91" i="3"/>
  <c r="D91" i="3"/>
  <c r="C91" i="3"/>
  <c r="B91" i="3"/>
  <c r="B91" i="5" s="1"/>
  <c r="E90" i="3"/>
  <c r="D90" i="3"/>
  <c r="C90" i="3"/>
  <c r="B90" i="3"/>
  <c r="B90" i="5" s="1"/>
  <c r="E89" i="3"/>
  <c r="D89" i="3"/>
  <c r="C89" i="3"/>
  <c r="B89" i="3"/>
  <c r="B89" i="5" s="1"/>
  <c r="E88" i="3"/>
  <c r="D88" i="3"/>
  <c r="C88" i="3"/>
  <c r="B88" i="3"/>
  <c r="B88" i="5" s="1"/>
  <c r="E87" i="3"/>
  <c r="D87" i="3"/>
  <c r="C87" i="3"/>
  <c r="B87" i="3"/>
  <c r="B87" i="5" s="1"/>
  <c r="E86" i="3"/>
  <c r="D86" i="3"/>
  <c r="C86" i="3"/>
  <c r="B86" i="3"/>
  <c r="B86" i="5" s="1"/>
  <c r="E85" i="3"/>
  <c r="D85" i="3"/>
  <c r="C85" i="3"/>
  <c r="B85" i="3"/>
  <c r="B85" i="5" s="1"/>
  <c r="E84" i="3"/>
  <c r="D84" i="3"/>
  <c r="C84" i="3"/>
  <c r="B84" i="3"/>
  <c r="B84" i="5" s="1"/>
  <c r="E83" i="3"/>
  <c r="D83" i="3"/>
  <c r="C83" i="3"/>
  <c r="B83" i="3"/>
  <c r="B83" i="5" s="1"/>
  <c r="E82" i="3"/>
  <c r="D82" i="3"/>
  <c r="C82" i="3"/>
  <c r="B82" i="3"/>
  <c r="B82" i="5" s="1"/>
  <c r="E81" i="3"/>
  <c r="D81" i="3"/>
  <c r="C81" i="3"/>
  <c r="B81" i="3"/>
  <c r="B81" i="5" s="1"/>
  <c r="E80" i="3"/>
  <c r="D80" i="3"/>
  <c r="C80" i="3"/>
  <c r="B80" i="3"/>
  <c r="B80" i="5" s="1"/>
  <c r="E79" i="3"/>
  <c r="D79" i="3"/>
  <c r="C79" i="3"/>
  <c r="B79" i="3"/>
  <c r="B79" i="5" s="1"/>
  <c r="E78" i="3"/>
  <c r="D78" i="3"/>
  <c r="C78" i="3"/>
  <c r="B78" i="3"/>
  <c r="B78" i="5" s="1"/>
  <c r="E77" i="3"/>
  <c r="D77" i="3"/>
  <c r="C77" i="3"/>
  <c r="B77" i="3"/>
  <c r="B77" i="5" s="1"/>
  <c r="E76" i="3"/>
  <c r="D76" i="3"/>
  <c r="C76" i="3"/>
  <c r="B76" i="3"/>
  <c r="B76" i="5" s="1"/>
  <c r="E75" i="3"/>
  <c r="D75" i="3"/>
  <c r="C75" i="3"/>
  <c r="B75" i="3"/>
  <c r="B75" i="5" s="1"/>
  <c r="E74" i="3"/>
  <c r="D74" i="3"/>
  <c r="C74" i="3"/>
  <c r="B74" i="3"/>
  <c r="B74" i="5" s="1"/>
  <c r="E73" i="3"/>
  <c r="D73" i="3"/>
  <c r="C73" i="3"/>
  <c r="B73" i="3"/>
  <c r="B73" i="5" s="1"/>
  <c r="E72" i="3"/>
  <c r="D72" i="3"/>
  <c r="C72" i="3"/>
  <c r="B72" i="3"/>
  <c r="B72" i="5" s="1"/>
  <c r="E71" i="3"/>
  <c r="D71" i="3"/>
  <c r="C71" i="3"/>
  <c r="B71" i="3"/>
  <c r="B71" i="5" s="1"/>
  <c r="E70" i="3"/>
  <c r="D70" i="3"/>
  <c r="C70" i="3"/>
  <c r="B70" i="3"/>
  <c r="B70" i="5" s="1"/>
  <c r="E69" i="3"/>
  <c r="D69" i="3"/>
  <c r="C69" i="3"/>
  <c r="B69" i="3"/>
  <c r="B69" i="5" s="1"/>
  <c r="E68" i="3"/>
  <c r="D68" i="3"/>
  <c r="C68" i="3"/>
  <c r="B68" i="3"/>
  <c r="B68" i="5" s="1"/>
  <c r="E67" i="3"/>
  <c r="D67" i="3"/>
  <c r="C67" i="3"/>
  <c r="B67" i="3"/>
  <c r="B67" i="5" s="1"/>
  <c r="E66" i="3"/>
  <c r="D66" i="3"/>
  <c r="C66" i="3"/>
  <c r="B66" i="3"/>
  <c r="B66" i="5" s="1"/>
  <c r="E65" i="3"/>
  <c r="D65" i="3"/>
  <c r="C65" i="3"/>
  <c r="B65" i="3"/>
  <c r="B65" i="5" s="1"/>
  <c r="E64" i="3"/>
  <c r="D64" i="3"/>
  <c r="C64" i="3"/>
  <c r="B64" i="3"/>
  <c r="B64" i="5" s="1"/>
  <c r="E63" i="3"/>
  <c r="D63" i="3"/>
  <c r="C63" i="3"/>
  <c r="B63" i="3"/>
  <c r="B63" i="5" s="1"/>
  <c r="E62" i="3"/>
  <c r="D62" i="3"/>
  <c r="C62" i="3"/>
  <c r="B62" i="3"/>
  <c r="B62" i="5" s="1"/>
  <c r="E61" i="3"/>
  <c r="D61" i="3"/>
  <c r="C61" i="3"/>
  <c r="B61" i="3"/>
  <c r="B61" i="5" s="1"/>
  <c r="E60" i="3"/>
  <c r="D60" i="3"/>
  <c r="C60" i="3"/>
  <c r="B60" i="3"/>
  <c r="B60" i="5" s="1"/>
  <c r="E59" i="3"/>
  <c r="D59" i="3"/>
  <c r="C59" i="3"/>
  <c r="B59" i="3"/>
  <c r="B59" i="5" s="1"/>
  <c r="E58" i="3"/>
  <c r="D58" i="3"/>
  <c r="C58" i="3"/>
  <c r="B58" i="3"/>
  <c r="B58" i="5" s="1"/>
  <c r="E57" i="3"/>
  <c r="D57" i="3"/>
  <c r="C57" i="3"/>
  <c r="B57" i="3"/>
  <c r="B57" i="5" s="1"/>
  <c r="E56" i="3"/>
  <c r="D56" i="3"/>
  <c r="C56" i="3"/>
  <c r="B56" i="3"/>
  <c r="B56" i="5" s="1"/>
  <c r="E55" i="3"/>
  <c r="D55" i="3"/>
  <c r="C55" i="3"/>
  <c r="B55" i="3"/>
  <c r="B55" i="5" s="1"/>
  <c r="E54" i="3"/>
  <c r="D54" i="3"/>
  <c r="C54" i="3"/>
  <c r="B54" i="3"/>
  <c r="B54" i="5" s="1"/>
  <c r="E53" i="3"/>
  <c r="D53" i="3"/>
  <c r="C53" i="3"/>
  <c r="B53" i="3"/>
  <c r="B53" i="5" s="1"/>
  <c r="E52" i="3"/>
  <c r="D52" i="3"/>
  <c r="C52" i="3"/>
  <c r="B52" i="3"/>
  <c r="B52" i="5" s="1"/>
  <c r="E51" i="3"/>
  <c r="D51" i="3"/>
  <c r="C51" i="3"/>
  <c r="B51" i="3"/>
  <c r="B51" i="5" s="1"/>
  <c r="E50" i="3"/>
  <c r="D50" i="3"/>
  <c r="C50" i="3"/>
  <c r="B50" i="3"/>
  <c r="B50" i="5" s="1"/>
  <c r="E49" i="3"/>
  <c r="D49" i="3"/>
  <c r="C49" i="3"/>
  <c r="B49" i="3"/>
  <c r="B49" i="5" s="1"/>
  <c r="E48" i="3"/>
  <c r="D48" i="3"/>
  <c r="C48" i="3"/>
  <c r="B48" i="3"/>
  <c r="B48" i="5" s="1"/>
  <c r="E47" i="3"/>
  <c r="D47" i="3"/>
  <c r="C47" i="3"/>
  <c r="B47" i="3"/>
  <c r="B47" i="5" s="1"/>
  <c r="E46" i="3"/>
  <c r="D46" i="3"/>
  <c r="C46" i="3"/>
  <c r="B46" i="3"/>
  <c r="B46" i="5" s="1"/>
  <c r="E45" i="3"/>
  <c r="D45" i="3"/>
  <c r="C45" i="3"/>
  <c r="B45" i="3"/>
  <c r="B45" i="5" s="1"/>
  <c r="E44" i="3"/>
  <c r="D44" i="3"/>
  <c r="C44" i="3"/>
  <c r="B44" i="3"/>
  <c r="B44" i="5" s="1"/>
  <c r="E43" i="3"/>
  <c r="D43" i="3"/>
  <c r="C43" i="3"/>
  <c r="B43" i="3"/>
  <c r="B43" i="5" s="1"/>
  <c r="E42" i="3"/>
  <c r="D42" i="3"/>
  <c r="C42" i="3"/>
  <c r="B42" i="3"/>
  <c r="B42" i="5" s="1"/>
  <c r="E41" i="3"/>
  <c r="D41" i="3"/>
  <c r="C41" i="3"/>
  <c r="B41" i="3"/>
  <c r="B41" i="5" s="1"/>
  <c r="E40" i="3"/>
  <c r="D40" i="3"/>
  <c r="C40" i="3"/>
  <c r="B40" i="3"/>
  <c r="B40" i="5" s="1"/>
  <c r="E39" i="3"/>
  <c r="D39" i="3"/>
  <c r="C39" i="3"/>
  <c r="B39" i="3"/>
  <c r="B39" i="5" s="1"/>
  <c r="E38" i="3"/>
  <c r="D38" i="3"/>
  <c r="C38" i="3"/>
  <c r="B38" i="3"/>
  <c r="B38" i="5" s="1"/>
  <c r="E37" i="3"/>
  <c r="D37" i="3"/>
  <c r="C37" i="3"/>
  <c r="B37" i="3"/>
  <c r="B37" i="5" s="1"/>
  <c r="E36" i="3"/>
  <c r="D36" i="3"/>
  <c r="C36" i="3"/>
  <c r="B36" i="3"/>
  <c r="B36" i="5" s="1"/>
  <c r="E35" i="3"/>
  <c r="D35" i="3"/>
  <c r="C35" i="3"/>
  <c r="B35" i="3"/>
  <c r="B35" i="5" s="1"/>
  <c r="E34" i="3"/>
  <c r="D34" i="3"/>
  <c r="C34" i="3"/>
  <c r="B34" i="3"/>
  <c r="B34" i="5" s="1"/>
  <c r="E33" i="3"/>
  <c r="D33" i="3"/>
  <c r="C33" i="3"/>
  <c r="B33" i="3"/>
  <c r="B33" i="5" s="1"/>
  <c r="E32" i="3"/>
  <c r="D32" i="3"/>
  <c r="C32" i="3"/>
  <c r="B32" i="3"/>
  <c r="B32" i="5" s="1"/>
  <c r="E31" i="3"/>
  <c r="D31" i="3"/>
  <c r="C31" i="3"/>
  <c r="B31" i="3"/>
  <c r="B31" i="5" s="1"/>
  <c r="E30" i="3"/>
  <c r="D30" i="3"/>
  <c r="C30" i="3"/>
  <c r="B30" i="3"/>
  <c r="B30" i="5" s="1"/>
  <c r="E29" i="3"/>
  <c r="D29" i="3"/>
  <c r="C29" i="3"/>
  <c r="B29" i="3"/>
  <c r="B29" i="5" s="1"/>
  <c r="E28" i="3"/>
  <c r="D28" i="3"/>
  <c r="C28" i="3"/>
  <c r="B28" i="3"/>
  <c r="B28" i="5" s="1"/>
  <c r="E27" i="3"/>
  <c r="D27" i="3"/>
  <c r="C27" i="3"/>
  <c r="B27" i="3"/>
  <c r="B27" i="5" s="1"/>
  <c r="E26" i="3"/>
  <c r="D26" i="3"/>
  <c r="C26" i="3"/>
  <c r="B26" i="3"/>
  <c r="B26" i="5" s="1"/>
  <c r="E25" i="3"/>
  <c r="D25" i="3"/>
  <c r="C25" i="3"/>
  <c r="B25" i="3"/>
  <c r="B25" i="5" s="1"/>
  <c r="E24" i="3"/>
  <c r="D24" i="3"/>
  <c r="C24" i="3"/>
  <c r="B24" i="3"/>
  <c r="B24" i="5" s="1"/>
  <c r="E23" i="3"/>
  <c r="D23" i="3"/>
  <c r="C23" i="3"/>
  <c r="B23" i="3"/>
  <c r="B23" i="5" s="1"/>
  <c r="E22" i="3"/>
  <c r="D22" i="3"/>
  <c r="C22" i="3"/>
  <c r="B22" i="3"/>
  <c r="B22" i="5" s="1"/>
  <c r="E21" i="3"/>
  <c r="D21" i="3"/>
  <c r="C21" i="3"/>
  <c r="B21" i="3"/>
  <c r="B21" i="5" s="1"/>
  <c r="E20" i="3"/>
  <c r="D20" i="3"/>
  <c r="C20" i="3"/>
  <c r="B20" i="3"/>
  <c r="B20" i="5" s="1"/>
  <c r="E19" i="3"/>
  <c r="D19" i="3"/>
  <c r="C19" i="3"/>
  <c r="B19" i="3"/>
  <c r="B19" i="5" s="1"/>
  <c r="E18" i="3"/>
  <c r="D18" i="3"/>
  <c r="C18" i="3"/>
  <c r="B18" i="3"/>
  <c r="B18" i="5" s="1"/>
  <c r="E17" i="3"/>
  <c r="D17" i="3"/>
  <c r="C17" i="3"/>
  <c r="B17" i="3"/>
  <c r="B17" i="5" s="1"/>
  <c r="E16" i="3"/>
  <c r="D16" i="3"/>
  <c r="C16" i="3"/>
  <c r="B16" i="3"/>
  <c r="B16" i="5" s="1"/>
  <c r="E15" i="3"/>
  <c r="D15" i="3"/>
  <c r="C15" i="3"/>
  <c r="B15" i="3"/>
  <c r="B15" i="5" s="1"/>
  <c r="E14" i="3"/>
  <c r="D14" i="3"/>
  <c r="C14" i="3"/>
  <c r="B14" i="3"/>
  <c r="B14" i="5" s="1"/>
  <c r="E13" i="3"/>
  <c r="D13" i="3"/>
  <c r="C13" i="3"/>
  <c r="B13" i="3"/>
  <c r="B13" i="5" s="1"/>
  <c r="E12" i="3"/>
  <c r="D12" i="3"/>
  <c r="C12" i="3"/>
  <c r="B12" i="3"/>
  <c r="B12" i="5" s="1"/>
  <c r="E11" i="3"/>
  <c r="D11" i="3"/>
  <c r="C11" i="3"/>
  <c r="B11" i="3"/>
  <c r="B11" i="5" s="1"/>
  <c r="E10" i="3"/>
  <c r="D10" i="3"/>
  <c r="C10" i="3"/>
  <c r="B10" i="3"/>
  <c r="B10" i="5" s="1"/>
  <c r="E9" i="3"/>
  <c r="D9" i="3"/>
  <c r="C9" i="3"/>
  <c r="B9" i="3"/>
  <c r="B9" i="5" s="1"/>
  <c r="E8" i="3"/>
  <c r="D8" i="3"/>
  <c r="C8" i="3"/>
  <c r="B8" i="3"/>
  <c r="B8" i="5" s="1"/>
  <c r="E7" i="3"/>
  <c r="D7" i="3"/>
  <c r="C7" i="3"/>
  <c r="B7" i="3"/>
  <c r="B7" i="5" s="1"/>
  <c r="E6" i="3"/>
  <c r="E1384" i="3" s="1"/>
  <c r="E1387" i="3" s="1"/>
  <c r="C11" i="4" s="1"/>
  <c r="D6" i="3"/>
  <c r="C6" i="3"/>
  <c r="B6" i="3"/>
  <c r="B6" i="5" s="1"/>
  <c r="E5" i="3"/>
  <c r="D5" i="3"/>
  <c r="C5" i="3"/>
  <c r="B5" i="3"/>
  <c r="B5" i="5" s="1"/>
  <c r="E4" i="3"/>
  <c r="D4" i="3"/>
  <c r="C4" i="3"/>
  <c r="B4" i="3"/>
  <c r="C1392" i="3" s="1"/>
  <c r="B714" i="5" l="1"/>
  <c r="B717" i="5"/>
  <c r="B729" i="5"/>
  <c r="E1392" i="3"/>
  <c r="D1392" i="3"/>
  <c r="B4" i="5"/>
  <c r="B1394" i="3"/>
  <c r="B1384" i="3"/>
  <c r="B1387" i="3" s="1"/>
  <c r="C8" i="4" s="1"/>
  <c r="B1383" i="3"/>
  <c r="C1393" i="3"/>
  <c r="C1383" i="3"/>
  <c r="C1386" i="3" s="1"/>
  <c r="B9" i="4" s="1"/>
  <c r="C17" i="4" s="1"/>
  <c r="B1393" i="3"/>
  <c r="C1401" i="3"/>
  <c r="C1394" i="3"/>
  <c r="C1384" i="3"/>
  <c r="C1387" i="3" s="1"/>
  <c r="C9" i="4" s="1"/>
  <c r="E1393" i="3"/>
  <c r="D1393" i="3"/>
  <c r="E1402" i="3"/>
  <c r="D1385" i="3"/>
  <c r="E1394" i="3"/>
  <c r="D1394" i="3"/>
  <c r="D1384" i="3"/>
  <c r="D1387" i="3" s="1"/>
  <c r="C10" i="4" s="1"/>
  <c r="D1383" i="3"/>
  <c r="B1385" i="3"/>
  <c r="C1385" i="3"/>
  <c r="B1392" i="3"/>
  <c r="E1383" i="3"/>
  <c r="E1386" i="3" s="1"/>
  <c r="B11" i="4" s="1"/>
  <c r="C19" i="4" s="1"/>
  <c r="E1403" i="3"/>
  <c r="B720" i="5"/>
  <c r="B723" i="5"/>
  <c r="B732" i="5"/>
  <c r="B735" i="5"/>
  <c r="B738" i="5"/>
  <c r="B741" i="5"/>
  <c r="B744" i="5"/>
  <c r="B747" i="5"/>
  <c r="B750" i="5"/>
  <c r="B753" i="5"/>
  <c r="B768" i="5"/>
  <c r="B780" i="5"/>
  <c r="B789" i="5"/>
  <c r="B792" i="5"/>
  <c r="B798" i="5"/>
  <c r="B801" i="5"/>
  <c r="B804" i="5"/>
  <c r="B810" i="5"/>
  <c r="B819" i="5"/>
  <c r="B825" i="5"/>
  <c r="B831" i="5"/>
  <c r="B849" i="5"/>
  <c r="B900" i="5"/>
  <c r="B903" i="5"/>
  <c r="B909" i="5"/>
  <c r="B915" i="5"/>
  <c r="B924" i="5"/>
  <c r="B933" i="5"/>
  <c r="B942" i="5"/>
  <c r="B951" i="5"/>
  <c r="B957" i="5"/>
  <c r="B966" i="5"/>
  <c r="B975" i="5"/>
  <c r="B987" i="5"/>
  <c r="B996" i="5"/>
  <c r="B1002" i="5"/>
  <c r="B1008" i="5"/>
  <c r="B1011" i="5"/>
  <c r="B1014" i="5"/>
  <c r="B1017" i="5"/>
  <c r="B1020" i="5"/>
  <c r="B1023" i="5"/>
  <c r="B1026" i="5"/>
  <c r="B1029" i="5"/>
  <c r="B1038" i="5"/>
  <c r="B1041" i="5"/>
  <c r="B1044" i="5"/>
  <c r="B1047" i="5"/>
  <c r="B1050" i="5"/>
  <c r="B1053" i="5"/>
  <c r="B1056" i="5"/>
  <c r="B1059" i="5"/>
  <c r="B1062" i="5"/>
  <c r="B1065" i="5"/>
  <c r="B1068" i="5"/>
  <c r="B1071" i="5"/>
  <c r="B1074" i="5"/>
  <c r="B1077" i="5"/>
  <c r="B1080" i="5"/>
  <c r="B1083" i="5"/>
  <c r="B1086" i="5"/>
  <c r="B1089" i="5"/>
  <c r="B1092" i="5"/>
  <c r="B1095" i="5"/>
  <c r="B1098" i="5"/>
  <c r="B1101" i="5"/>
  <c r="B1104" i="5"/>
  <c r="B1107" i="5"/>
  <c r="B1110" i="5"/>
  <c r="B1113" i="5"/>
  <c r="B1116" i="5"/>
  <c r="B1119" i="5"/>
  <c r="B1122" i="5"/>
  <c r="B1125" i="5"/>
  <c r="B1128" i="5"/>
  <c r="B1131" i="5"/>
  <c r="B1134" i="5"/>
  <c r="B1137" i="5"/>
  <c r="B1140" i="5"/>
  <c r="B1143" i="5"/>
  <c r="B1146" i="5"/>
  <c r="B1149" i="5"/>
  <c r="B1152" i="5"/>
  <c r="B1155" i="5"/>
  <c r="B1158" i="5"/>
  <c r="B1161" i="5"/>
  <c r="B1164" i="5"/>
  <c r="B1167" i="5"/>
  <c r="B1170" i="5"/>
  <c r="B1173" i="5"/>
  <c r="B1176" i="5"/>
  <c r="B1179" i="5"/>
  <c r="B1182" i="5"/>
  <c r="B1185" i="5"/>
  <c r="B1188" i="5"/>
  <c r="B1191" i="5"/>
  <c r="B1194" i="5"/>
  <c r="B1197" i="5"/>
  <c r="B1200" i="5"/>
  <c r="B1203" i="5"/>
  <c r="B1206" i="5"/>
  <c r="B1209" i="5"/>
  <c r="B1212" i="5"/>
  <c r="B1215" i="5"/>
  <c r="B1218" i="5"/>
  <c r="B1221" i="5"/>
  <c r="B1224" i="5"/>
  <c r="B1227" i="5"/>
  <c r="B1230" i="5"/>
  <c r="B1233" i="5"/>
  <c r="B1236" i="5"/>
  <c r="B1239" i="5"/>
  <c r="B1242" i="5"/>
  <c r="B1245" i="5"/>
  <c r="B1248" i="5"/>
  <c r="B1251" i="5"/>
  <c r="B1254" i="5"/>
  <c r="B1257" i="5"/>
  <c r="B1260" i="5"/>
  <c r="B1263" i="5"/>
  <c r="B1266" i="5"/>
  <c r="B1269" i="5"/>
  <c r="B1272" i="5"/>
  <c r="B1275" i="5"/>
  <c r="B1278" i="5"/>
  <c r="B1281" i="5"/>
  <c r="B1284" i="5"/>
  <c r="B1287" i="5"/>
  <c r="B1290" i="5"/>
  <c r="B1293" i="5"/>
  <c r="B1296" i="5"/>
  <c r="B1299" i="5"/>
  <c r="B1302" i="5"/>
  <c r="B1305" i="5"/>
  <c r="B1308" i="5"/>
  <c r="B1311" i="5"/>
  <c r="B1314" i="5"/>
  <c r="B1317" i="5"/>
  <c r="B1320" i="5"/>
  <c r="B1323" i="5"/>
  <c r="B1326" i="5"/>
  <c r="B1329" i="5"/>
  <c r="B1332" i="5"/>
  <c r="B1335" i="5"/>
  <c r="B1338" i="5"/>
  <c r="B1341" i="5"/>
  <c r="B1344" i="5"/>
  <c r="B1347" i="5"/>
  <c r="B1350" i="5"/>
  <c r="B1353" i="5"/>
  <c r="B1356" i="5"/>
  <c r="B1359" i="5"/>
  <c r="B1362" i="5"/>
  <c r="B1365" i="5"/>
  <c r="B1368" i="5"/>
  <c r="B1371" i="5"/>
  <c r="B1374" i="5"/>
  <c r="B1377" i="5"/>
  <c r="B726" i="5"/>
  <c r="B771" i="5"/>
  <c r="B777" i="5"/>
  <c r="B786" i="5"/>
  <c r="B795" i="5"/>
  <c r="B807" i="5"/>
  <c r="B834" i="5"/>
  <c r="B840" i="5"/>
  <c r="B843" i="5"/>
  <c r="B852" i="5"/>
  <c r="B858" i="5"/>
  <c r="B867" i="5"/>
  <c r="B873" i="5"/>
  <c r="B891" i="5"/>
  <c r="B894" i="5"/>
  <c r="B918" i="5"/>
  <c r="B927" i="5"/>
  <c r="B936" i="5"/>
  <c r="B945" i="5"/>
  <c r="B954" i="5"/>
  <c r="B963" i="5"/>
  <c r="B972" i="5"/>
  <c r="B978" i="5"/>
  <c r="B984" i="5"/>
  <c r="B993" i="5"/>
  <c r="B1005" i="5"/>
  <c r="B1032" i="5"/>
  <c r="B756" i="5"/>
  <c r="B759" i="5"/>
  <c r="B762" i="5"/>
  <c r="B765" i="5"/>
  <c r="B774" i="5"/>
  <c r="B783" i="5"/>
  <c r="B813" i="5"/>
  <c r="B816" i="5"/>
  <c r="B822" i="5"/>
  <c r="B828" i="5"/>
  <c r="B837" i="5"/>
  <c r="B846" i="5"/>
  <c r="B855" i="5"/>
  <c r="B861" i="5"/>
  <c r="B864" i="5"/>
  <c r="B870" i="5"/>
  <c r="B876" i="5"/>
  <c r="B879" i="5"/>
  <c r="B882" i="5"/>
  <c r="B885" i="5"/>
  <c r="B888" i="5"/>
  <c r="B897" i="5"/>
  <c r="B906" i="5"/>
  <c r="B912" i="5"/>
  <c r="B921" i="5"/>
  <c r="B930" i="5"/>
  <c r="B939" i="5"/>
  <c r="B948" i="5"/>
  <c r="B960" i="5"/>
  <c r="B969" i="5"/>
  <c r="B981" i="5"/>
  <c r="B990" i="5"/>
  <c r="B999" i="5"/>
  <c r="B1035" i="5"/>
  <c r="B1395" i="3"/>
  <c r="C1395" i="3"/>
  <c r="D1395" i="3"/>
  <c r="E1385" i="3"/>
  <c r="E1395" i="3"/>
  <c r="D41" i="10"/>
  <c r="E41" i="10"/>
  <c r="B27" i="10"/>
  <c r="C27" i="10" s="1"/>
  <c r="B30" i="10"/>
  <c r="C30" i="10" s="1"/>
  <c r="B33" i="10"/>
  <c r="C33" i="10" s="1"/>
  <c r="B36" i="10"/>
  <c r="C36" i="10" s="1"/>
  <c r="B39" i="10"/>
  <c r="C39" i="10" s="1"/>
  <c r="B42" i="10"/>
  <c r="C42" i="10" s="1"/>
  <c r="B28" i="10"/>
  <c r="C28" i="10" s="1"/>
  <c r="B31" i="10"/>
  <c r="C31" i="10" s="1"/>
  <c r="B34" i="10"/>
  <c r="C34" i="10" s="1"/>
  <c r="B37" i="10"/>
  <c r="C37" i="10" s="1"/>
  <c r="B40" i="10"/>
  <c r="C40" i="10" s="1"/>
  <c r="B26" i="10"/>
  <c r="C26" i="10" s="1"/>
  <c r="B29" i="10"/>
  <c r="C29" i="10" s="1"/>
  <c r="B32" i="10"/>
  <c r="C32" i="10" s="1"/>
  <c r="B35" i="10"/>
  <c r="C35" i="10" s="1"/>
  <c r="B38" i="10"/>
  <c r="C38" i="10" s="1"/>
  <c r="D26" i="10" l="1"/>
  <c r="C43" i="10"/>
  <c r="B17" i="10" s="1"/>
  <c r="E26" i="10"/>
  <c r="B1386" i="3"/>
  <c r="B8" i="4" s="1"/>
  <c r="B1400" i="3"/>
  <c r="E40" i="10"/>
  <c r="D40" i="10"/>
  <c r="D1400" i="3"/>
  <c r="B1401" i="3"/>
  <c r="E31" i="10"/>
  <c r="D31" i="10"/>
  <c r="E42" i="10"/>
  <c r="D42" i="10"/>
  <c r="E37" i="10"/>
  <c r="D37" i="10"/>
  <c r="D1403" i="3"/>
  <c r="E1400" i="3"/>
  <c r="E34" i="10"/>
  <c r="D34" i="10"/>
  <c r="E28" i="10"/>
  <c r="D28" i="10"/>
  <c r="D1402" i="3"/>
  <c r="C1402" i="3"/>
  <c r="B1402" i="3"/>
  <c r="D1386" i="3"/>
  <c r="B10" i="4" s="1"/>
  <c r="C18" i="4" s="1"/>
  <c r="E1401" i="3"/>
  <c r="C1400" i="3"/>
  <c r="B1403" i="3"/>
  <c r="B5" i="6"/>
  <c r="B4" i="6"/>
  <c r="C9" i="7"/>
  <c r="D9" i="7" s="1"/>
  <c r="C5" i="9" s="1"/>
  <c r="C11" i="9" s="1"/>
  <c r="C8" i="7"/>
  <c r="D8" i="7" s="1"/>
  <c r="B5" i="9" s="1"/>
  <c r="B11" i="9" s="1"/>
  <c r="E39" i="10"/>
  <c r="D39" i="10"/>
  <c r="D1401" i="3"/>
  <c r="D38" i="10"/>
  <c r="E38" i="10"/>
  <c r="E36" i="10"/>
  <c r="D36" i="10"/>
  <c r="D35" i="10"/>
  <c r="E35" i="10"/>
  <c r="E33" i="10"/>
  <c r="D33" i="10"/>
  <c r="D32" i="10"/>
  <c r="E32" i="10"/>
  <c r="E30" i="10"/>
  <c r="D30" i="10"/>
  <c r="C1403" i="3"/>
  <c r="D29" i="10"/>
  <c r="E29" i="10"/>
  <c r="E27" i="10"/>
  <c r="D27" i="10"/>
  <c r="B23" i="4" l="1"/>
  <c r="B24" i="4" s="1"/>
  <c r="A71" i="4" s="1"/>
  <c r="B41" i="4"/>
  <c r="B42" i="4" s="1"/>
  <c r="B40" i="4"/>
  <c r="C16" i="4"/>
  <c r="B22" i="4" s="1"/>
  <c r="E43" i="10"/>
  <c r="B22" i="10" s="1"/>
  <c r="D9" i="6"/>
  <c r="E9" i="6" s="1"/>
  <c r="C4" i="9" s="1"/>
  <c r="C10" i="9" s="1"/>
  <c r="D8" i="6"/>
  <c r="E8" i="6" s="1"/>
  <c r="B4" i="9" s="1"/>
  <c r="B10" i="9" s="1"/>
  <c r="D43" i="10"/>
  <c r="B20" i="10" s="1"/>
  <c r="B21" i="10" s="1"/>
  <c r="B25" i="4" l="1"/>
  <c r="B71" i="4"/>
  <c r="B48" i="10"/>
  <c r="B49" i="10" s="1"/>
  <c r="B50" i="10" s="1"/>
  <c r="B47" i="10"/>
</calcChain>
</file>

<file path=xl/sharedStrings.xml><?xml version="1.0" encoding="utf-8"?>
<sst xmlns="http://schemas.openxmlformats.org/spreadsheetml/2006/main" count="2904" uniqueCount="1467">
  <si>
    <t>Date</t>
  </si>
  <si>
    <t>VTI</t>
  </si>
  <si>
    <t>EFA</t>
  </si>
  <si>
    <t>VNQ</t>
  </si>
  <si>
    <t>AGG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</si>
  <si>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</si>
  <si>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</si>
  <si>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</si>
  <si>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</si>
  <si>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</si>
  <si>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</si>
  <si>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</si>
  <si>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</si>
  <si>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</si>
  <si>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</si>
  <si>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</si>
  <si>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</si>
  <si>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</si>
  <si>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</si>
  <si>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</si>
  <si>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</si>
  <si>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</si>
  <si>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</si>
  <si>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</si>
  <si>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</si>
  <si>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</si>
  <si>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</si>
  <si>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</si>
  <si>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</si>
  <si>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</si>
  <si>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</si>
  <si>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</si>
  <si>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</si>
  <si>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</si>
  <si>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</si>
  <si>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</si>
  <si>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</si>
  <si>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</si>
  <si>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</si>
  <si>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</si>
  <si>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</si>
  <si>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</si>
  <si>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</si>
  <si>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</si>
  <si>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</si>
  <si>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</si>
  <si>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</si>
  <si>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</si>
  <si>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</si>
  <si>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</si>
  <si>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</si>
  <si>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</si>
  <si>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</si>
  <si>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</si>
  <si>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</si>
  <si>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</si>
  <si>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</si>
  <si>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</si>
  <si>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</si>
  <si>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</si>
  <si>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</si>
  <si>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</si>
  <si>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</si>
  <si>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</si>
  <si>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</si>
  <si>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</si>
  <si>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</si>
  <si>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</si>
  <si>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</si>
  <si>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</si>
  <si>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</si>
  <si>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</si>
  <si>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</si>
  <si>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</si>
  <si>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</si>
  <si>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</si>
  <si>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</si>
  <si>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</si>
  <si>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</si>
  <si>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</si>
  <si>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</si>
  <si>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</si>
  <si>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</si>
  <si>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</si>
  <si>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</si>
  <si>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</si>
  <si>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</si>
  <si>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</si>
  <si>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</si>
  <si>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</si>
  <si>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</si>
  <si>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</si>
  <si>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</si>
  <si>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</si>
  <si>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</si>
  <si>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</si>
  <si>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</si>
  <si>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</si>
  <si>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</si>
  <si>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</si>
  <si>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</si>
  <si>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</si>
  <si>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</si>
  <si>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</si>
  <si>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</si>
  <si>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</si>
  <si>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</si>
  <si>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</si>
  <si>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</si>
  <si>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</si>
  <si>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</si>
  <si>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</si>
  <si>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</si>
  <si>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</si>
  <si>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</si>
  <si>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</si>
  <si>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</si>
  <si>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</si>
  <si>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</si>
  <si>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</si>
  <si>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</si>
  <si>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</si>
  <si>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</si>
  <si>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</si>
  <si>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</si>
  <si>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</si>
  <si>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</si>
  <si>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</si>
  <si>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</si>
  <si>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</si>
  <si>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</si>
  <si>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</si>
  <si>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</si>
  <si>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</si>
  <si>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</si>
  <si>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</si>
  <si>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</si>
  <si>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</si>
  <si>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</si>
  <si>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</si>
  <si>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</si>
  <si>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</si>
  <si>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</si>
  <si>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</si>
  <si>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</si>
  <si>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</si>
  <si>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</si>
  <si>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</si>
  <si>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</si>
  <si>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</si>
  <si>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</si>
  <si>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</si>
  <si>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</si>
  <si>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</si>
  <si>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</si>
  <si>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</si>
  <si>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</si>
  <si>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</si>
  <si>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</si>
  <si>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</si>
  <si>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</si>
  <si>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</si>
  <si>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</si>
  <si>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</si>
  <si>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</si>
  <si>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</si>
  <si>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</si>
  <si>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</si>
  <si>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</si>
  <si>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</si>
  <si>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</si>
  <si>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</si>
  <si>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</si>
  <si>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</si>
  <si>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</si>
  <si>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</si>
  <si>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</si>
  <si>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</si>
  <si>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</si>
  <si>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</si>
  <si>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</si>
  <si>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</si>
  <si>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</si>
  <si>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</si>
  <si>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</si>
  <si>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</si>
  <si>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</si>
  <si>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</si>
  <si>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</si>
  <si>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</si>
  <si>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</si>
  <si>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</si>
  <si>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</si>
  <si>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</si>
  <si>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</si>
  <si>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</si>
  <si>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</si>
  <si>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</si>
  <si>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</si>
  <si>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</si>
  <si>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</si>
  <si>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</si>
  <si>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</si>
  <si>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</si>
  <si>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</si>
  <si>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</si>
  <si>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</si>
  <si>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</si>
  <si>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</si>
  <si>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</si>
  <si>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</si>
  <si>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</si>
  <si>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</si>
  <si>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</si>
  <si>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</si>
  <si>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</si>
  <si>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</si>
  <si>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</si>
  <si>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</si>
  <si>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</si>
  <si>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</si>
  <si>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</si>
  <si>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</si>
  <si>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</si>
  <si>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</si>
  <si>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</si>
  <si>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</si>
  <si>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</si>
  <si>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</si>
  <si>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</si>
  <si>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</si>
  <si>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</si>
  <si>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</si>
  <si>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</si>
  <si>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</si>
  <si>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</si>
  <si>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</si>
  <si>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</si>
  <si>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</si>
  <si>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</si>
  <si>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</si>
  <si>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</si>
  <si>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</si>
  <si>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</si>
  <si>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</si>
  <si>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</si>
  <si>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</si>
  <si>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</si>
  <si>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</si>
  <si>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</si>
  <si>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</si>
  <si>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</si>
  <si>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</si>
  <si>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</si>
  <si>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</si>
  <si>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</si>
  <si>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</si>
  <si>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</si>
  <si>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</si>
  <si>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</si>
  <si>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</si>
  <si>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</si>
  <si>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</si>
  <si>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</si>
  <si>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</si>
  <si>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</si>
  <si>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</si>
  <si>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</si>
  <si>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</si>
  <si>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</si>
  <si>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</si>
  <si>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</si>
  <si>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</si>
  <si>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</si>
  <si>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</si>
  <si>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</si>
  <si>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</si>
  <si>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</si>
  <si>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</si>
  <si>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</si>
  <si>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</si>
  <si>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</si>
  <si>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</si>
  <si>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</si>
  <si>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</si>
  <si>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</si>
  <si>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</si>
  <si>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</si>
  <si>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</si>
  <si>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</si>
  <si>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</si>
  <si>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</si>
  <si>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</si>
  <si>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</si>
  <si>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</si>
  <si>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</si>
  <si>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</si>
  <si>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</si>
  <si>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</si>
  <si>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</si>
  <si>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</si>
  <si>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</si>
  <si>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</si>
  <si>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</si>
  <si>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</si>
  <si>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</si>
  <si>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</si>
  <si>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</si>
  <si>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</si>
  <si>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</si>
  <si>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</si>
  <si>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</si>
  <si>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</si>
  <si>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</si>
  <si>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</si>
  <si>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</si>
  <si>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</si>
  <si>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</si>
  <si>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</si>
  <si>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</si>
  <si>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</si>
  <si>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</si>
  <si>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</si>
  <si>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</si>
  <si>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</si>
  <si>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</si>
  <si>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</si>
  <si>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</si>
  <si>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</si>
  <si>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</si>
  <si>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</si>
  <si>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</si>
  <si>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</si>
  <si>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</si>
  <si>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</si>
  <si>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</si>
  <si>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</si>
  <si>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</si>
  <si>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</si>
  <si>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</si>
  <si>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</si>
  <si>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</si>
  <si>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</si>
  <si>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</si>
  <si>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</si>
  <si>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</si>
  <si>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</si>
  <si>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</si>
  <si>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</si>
  <si>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</si>
  <si>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</si>
  <si>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</si>
  <si>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</si>
  <si>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</si>
  <si>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</si>
  <si>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</si>
  <si>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</si>
  <si>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</si>
  <si>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</si>
  <si>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</si>
  <si>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</si>
  <si>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</si>
  <si>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</si>
  <si>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</si>
  <si>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</si>
  <si>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</si>
  <si>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</si>
  <si>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</si>
  <si>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</si>
  <si>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</si>
  <si>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</si>
  <si>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</si>
  <si>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</si>
  <si>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</si>
  <si>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</si>
  <si>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</si>
  <si>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</si>
  <si>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</si>
  <si>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</si>
  <si>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</si>
  <si>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</si>
  <si>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</si>
  <si>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</si>
  <si>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</si>
  <si>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</si>
  <si>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</si>
  <si>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</si>
  <si>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</si>
  <si>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</si>
  <si>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</si>
  <si>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</si>
  <si>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</si>
  <si>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</si>
  <si>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</si>
  <si>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</si>
  <si>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</si>
  <si>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</si>
  <si>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</si>
  <si>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</si>
  <si>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</si>
  <si>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</si>
  <si>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</si>
  <si>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</si>
  <si>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</si>
  <si>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</si>
  <si>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</si>
  <si>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</si>
  <si>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</si>
  <si>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</si>
  <si>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</si>
  <si>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</si>
  <si>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</si>
  <si>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</si>
  <si>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</si>
  <si>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</si>
  <si>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</si>
  <si>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</si>
  <si>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</si>
  <si>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</si>
  <si>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</si>
  <si>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</si>
  <si>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</si>
  <si>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</si>
  <si>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</si>
  <si>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</si>
  <si>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</si>
  <si>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</si>
  <si>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</si>
  <si>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</si>
  <si>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</si>
  <si>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</si>
  <si>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</si>
  <si>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</si>
  <si>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</si>
  <si>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</si>
  <si>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</si>
  <si>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</si>
  <si>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</si>
  <si>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</si>
  <si>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</si>
  <si>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</si>
  <si>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</si>
  <si>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</si>
  <si>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</si>
  <si>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</si>
  <si>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</si>
  <si>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</si>
  <si>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</si>
  <si>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</si>
  <si>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</si>
  <si>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</si>
  <si>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</si>
  <si>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</si>
  <si>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</si>
  <si>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</si>
  <si>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</si>
  <si>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</si>
  <si>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</si>
  <si>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</si>
  <si>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</si>
  <si>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</si>
  <si>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</si>
  <si>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</si>
  <si>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</si>
  <si>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</si>
  <si>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</si>
  <si>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</si>
  <si>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</si>
  <si>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</si>
  <si>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</si>
  <si>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</si>
  <si>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</si>
  <si>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</si>
  <si>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</si>
  <si>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</si>
  <si>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</si>
  <si>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</si>
  <si>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</si>
  <si>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</si>
  <si>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</si>
  <si>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</si>
  <si>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</si>
  <si>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</si>
  <si>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</si>
  <si>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</si>
  <si>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</si>
  <si>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</si>
  <si>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</si>
  <si>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</si>
  <si>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</si>
  <si>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</si>
  <si>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</si>
  <si>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</si>
  <si>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</si>
  <si>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</si>
  <si>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</si>
  <si>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</si>
  <si>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</si>
  <si>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</si>
  <si>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</si>
  <si>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</si>
  <si>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</si>
  <si>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</si>
  <si>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</si>
  <si>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</si>
  <si>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</si>
  <si>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</si>
  <si>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</si>
  <si>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</si>
  <si>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</si>
  <si>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</si>
  <si>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</si>
  <si>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</si>
  <si>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</si>
  <si>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</si>
  <si>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</si>
  <si>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</si>
  <si>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</si>
  <si>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</si>
  <si>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</si>
  <si>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</si>
  <si>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</si>
  <si>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</si>
  <si>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</si>
  <si>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</si>
  <si>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</si>
  <si>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</si>
  <si>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</si>
  <si>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</si>
  <si>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</si>
  <si>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</si>
  <si>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</si>
  <si>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</si>
  <si>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</si>
  <si>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</si>
  <si>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</si>
  <si>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</si>
  <si>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</si>
  <si>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</si>
  <si>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</si>
  <si>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</si>
  <si>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</si>
  <si>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</si>
  <si>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</si>
  <si>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</si>
  <si>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</si>
  <si>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</si>
  <si>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</si>
  <si>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</si>
  <si>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</si>
  <si>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</si>
  <si>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</si>
  <si>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</si>
  <si>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</si>
  <si>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</si>
  <si>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</si>
  <si>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</si>
  <si>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</si>
  <si>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</si>
  <si>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</si>
  <si>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</si>
  <si>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</si>
  <si>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</si>
  <si>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</si>
  <si>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</si>
  <si>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</si>
  <si>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</si>
  <si>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</si>
  <si>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</si>
  <si>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</si>
  <si>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</si>
  <si>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</si>
  <si>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</si>
  <si>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</si>
  <si>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</si>
  <si>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</si>
  <si>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</si>
  <si>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</si>
  <si>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</si>
  <si>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</si>
  <si>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</si>
  <si>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</si>
  <si>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</si>
  <si>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</si>
  <si>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</si>
  <si>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</si>
  <si>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</si>
  <si>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</si>
  <si>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</si>
  <si>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</si>
  <si>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</si>
  <si>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</si>
  <si>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</si>
  <si>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</si>
  <si>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</si>
  <si>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</si>
  <si>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</si>
  <si>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</si>
  <si>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</si>
  <si>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</si>
  <si>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</si>
  <si>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</si>
  <si>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</si>
  <si>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</si>
  <si>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</si>
  <si>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</si>
  <si>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</si>
  <si>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</si>
  <si>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</si>
  <si>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</si>
  <si>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</si>
  <si>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</si>
  <si>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</si>
  <si>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</si>
  <si>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</si>
  <si>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</si>
  <si>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</si>
  <si>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</si>
  <si>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</si>
  <si>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</si>
  <si>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</si>
  <si>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</si>
  <si>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</si>
  <si>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</si>
  <si>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</si>
  <si>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</si>
  <si>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</si>
  <si>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</si>
  <si>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</si>
  <si>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</si>
  <si>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</si>
  <si>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</si>
  <si>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</si>
  <si>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</si>
  <si>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</si>
  <si>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</si>
  <si>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</si>
  <si>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</si>
  <si>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</si>
  <si>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</si>
  <si>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</si>
  <si>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</si>
  <si>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</si>
  <si>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</si>
  <si>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</si>
  <si>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</si>
  <si>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</si>
  <si>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</si>
  <si>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</si>
  <si>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</si>
  <si>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</si>
  <si>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</si>
  <si>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</si>
  <si>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</si>
  <si>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</si>
  <si>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</si>
  <si>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</si>
  <si>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</si>
  <si>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</si>
  <si>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</si>
  <si>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</si>
  <si>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</si>
  <si>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</si>
  <si>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</si>
  <si>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</si>
  <si>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</si>
  <si>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</si>
  <si>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</si>
  <si>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</si>
  <si>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</si>
  <si>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</si>
  <si>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</si>
  <si>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</si>
  <si>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</si>
  <si>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</si>
  <si>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</si>
  <si>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</si>
  <si>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</si>
  <si>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</si>
  <si>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</si>
  <si>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</si>
  <si>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</si>
  <si>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</si>
  <si>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</si>
  <si>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</si>
  <si>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</si>
  <si>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</si>
  <si>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</si>
  <si>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</si>
  <si>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</si>
  <si>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</si>
  <si>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</si>
  <si>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</si>
  <si>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</si>
  <si>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</si>
  <si>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</si>
  <si>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</si>
  <si>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</si>
  <si>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</si>
  <si>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</si>
  <si>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</si>
  <si>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</si>
  <si>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</si>
  <si>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</si>
  <si>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</si>
  <si>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</si>
  <si>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</si>
  <si>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</si>
  <si>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</si>
  <si>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</si>
  <si>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</si>
  <si>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</si>
  <si>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</si>
  <si>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</si>
  <si>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</si>
  <si>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</si>
  <si>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</si>
  <si>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</si>
  <si>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</si>
  <si>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</si>
  <si>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</si>
  <si>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</si>
  <si>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</si>
  <si>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</si>
  <si>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</si>
  <si>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</si>
  <si>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</si>
  <si>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</si>
  <si>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</si>
  <si>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</si>
  <si>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</si>
  <si>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</si>
  <si>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</si>
  <si>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</si>
  <si>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</si>
  <si>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</si>
  <si>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</si>
  <si>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</si>
  <si>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</si>
  <si>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</si>
  <si>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</si>
  <si>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</si>
  <si>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</si>
  <si>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</si>
  <si>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</si>
  <si>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</si>
  <si>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</si>
  <si>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</si>
  <si>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</si>
  <si>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</si>
  <si>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</si>
  <si>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</si>
  <si>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</si>
  <si>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</si>
  <si>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</si>
  <si>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</si>
  <si>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</si>
  <si>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</si>
  <si>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</si>
  <si>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</si>
  <si>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</si>
  <si>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</si>
  <si>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</si>
  <si>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</si>
  <si>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</si>
  <si>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</si>
  <si>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</si>
  <si>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</si>
  <si>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</si>
  <si>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</si>
  <si>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</si>
  <si>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</si>
  <si>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</si>
  <si>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</si>
  <si>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</si>
  <si>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</si>
  <si>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</si>
  <si>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</si>
  <si>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</si>
  <si>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</si>
  <si>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</si>
  <si>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</si>
  <si>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</si>
  <si>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</si>
  <si>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</si>
  <si>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</si>
  <si>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</si>
  <si>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</si>
  <si>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</si>
  <si>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</si>
  <si>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</si>
  <si>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</si>
  <si>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</si>
  <si>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</si>
  <si>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</si>
  <si>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</si>
  <si>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</si>
  <si>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</si>
  <si>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</si>
  <si>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</si>
  <si>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</si>
  <si>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</si>
  <si>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</si>
  <si>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</si>
  <si>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</si>
  <si>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</si>
  <si>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</si>
  <si>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</si>
  <si>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</si>
  <si>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</si>
  <si>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</si>
  <si>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</si>
  <si>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</si>
  <si>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</si>
  <si>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</si>
  <si>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</si>
  <si>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</si>
  <si>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</si>
  <si>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</si>
  <si>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</si>
  <si>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</si>
  <si>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</si>
  <si>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</si>
  <si>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</si>
  <si>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</si>
  <si>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</si>
  <si>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</si>
  <si>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</si>
  <si>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</si>
  <si>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</si>
  <si>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</si>
  <si>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</si>
  <si>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</si>
  <si>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</si>
  <si>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</si>
  <si>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</si>
  <si>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</si>
  <si>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</si>
  <si>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</si>
  <si>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</si>
  <si>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</si>
  <si>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</si>
  <si>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</si>
  <si>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</si>
  <si>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</si>
  <si>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</si>
  <si>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</si>
  <si>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</si>
  <si>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</si>
  <si>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</si>
  <si>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</si>
  <si>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</si>
  <si>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</si>
  <si>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</si>
  <si>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</si>
  <si>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</si>
  <si>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</si>
  <si>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</si>
  <si>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</si>
  <si>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</si>
  <si>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</si>
  <si>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</si>
  <si>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</si>
  <si>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</si>
  <si>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</si>
  <si>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</si>
  <si>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</si>
  <si>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</si>
  <si>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</si>
  <si>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</si>
  <si>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</si>
  <si>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</si>
  <si>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</si>
  <si>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</si>
  <si>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</si>
  <si>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</si>
  <si>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</si>
  <si>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</si>
  <si>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</si>
  <si>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</si>
  <si>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</si>
  <si>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</si>
  <si>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</si>
  <si>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</si>
  <si>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</si>
  <si>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</si>
  <si>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</si>
  <si>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</si>
  <si>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</si>
  <si>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</si>
  <si>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</si>
  <si>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</si>
  <si>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</si>
  <si>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</si>
  <si>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</si>
  <si>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</si>
  <si>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</si>
  <si>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</si>
  <si>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</si>
  <si>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</si>
  <si>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</si>
  <si>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</si>
  <si>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</si>
  <si>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</si>
  <si>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</si>
  <si>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</si>
  <si>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</si>
  <si>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</si>
  <si>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</si>
  <si>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</si>
  <si>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</si>
  <si>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</si>
  <si>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</si>
  <si>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</si>
  <si>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</si>
  <si>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</si>
  <si>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</si>
  <si>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</si>
  <si>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</si>
  <si>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</si>
  <si>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</si>
  <si>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</si>
  <si>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</si>
  <si>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</si>
  <si>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</si>
  <si>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</si>
  <si>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</si>
  <si>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</si>
  <si>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</si>
  <si>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</si>
  <si>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</si>
  <si>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</si>
  <si>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</si>
  <si>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</si>
  <si>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</si>
  <si>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</si>
  <si>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</si>
  <si>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</si>
  <si>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</si>
  <si>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</si>
  <si>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</si>
  <si>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</si>
  <si>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</si>
  <si>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</si>
  <si>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</si>
  <si>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</si>
  <si>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</si>
  <si>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</si>
  <si>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</si>
  <si>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</si>
  <si>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</si>
  <si>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</si>
  <si>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</si>
  <si>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</si>
  <si>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</si>
  <si>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</si>
  <si>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</si>
  <si>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</si>
  <si>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</si>
  <si>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</si>
  <si>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</si>
  <si>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</si>
  <si>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</si>
  <si>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</si>
  <si>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</si>
  <si>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</si>
  <si>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</si>
  <si>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</si>
  <si>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</si>
  <si>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</si>
  <si>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</si>
  <si>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</si>
  <si>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</si>
  <si>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</si>
  <si>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</si>
  <si>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</si>
  <si>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</si>
  <si>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</si>
  <si>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</si>
  <si>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</si>
  <si>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</si>
  <si>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</si>
  <si>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</si>
  <si>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</si>
  <si>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</si>
  <si>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</si>
  <si>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</si>
  <si>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</si>
  <si>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</si>
  <si>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</si>
  <si>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</si>
  <si>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</si>
  <si>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</si>
  <si>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</si>
  <si>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</si>
  <si>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</si>
  <si>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</si>
  <si>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</si>
  <si>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</si>
  <si>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</si>
  <si>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</si>
  <si>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</si>
  <si>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</si>
  <si>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</si>
  <si>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</si>
  <si>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</si>
  <si>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</si>
  <si>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</si>
  <si>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</si>
  <si>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</si>
  <si>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</si>
  <si>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</si>
  <si>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</si>
  <si>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</si>
  <si>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</si>
  <si>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</si>
  <si>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</si>
  <si>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</si>
  <si>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</si>
  <si>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</si>
  <si>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</si>
  <si>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</si>
  <si>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</si>
  <si>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</si>
  <si>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</si>
  <si>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</si>
  <si>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</si>
  <si>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</si>
  <si>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</si>
  <si>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</si>
  <si>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</si>
  <si>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</si>
  <si>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</si>
  <si>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</si>
  <si>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</si>
  <si>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</si>
  <si>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</si>
  <si>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</si>
  <si>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</si>
  <si>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</si>
  <si>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</si>
  <si>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</si>
  <si>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</si>
  <si>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</si>
  <si>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</si>
  <si>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</si>
  <si>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</si>
  <si>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</si>
  <si>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</si>
  <si>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</si>
  <si>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</si>
  <si>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</si>
  <si>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</si>
  <si>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</si>
  <si>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</si>
  <si>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</si>
  <si>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</si>
  <si>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</si>
  <si>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</si>
  <si>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</si>
  <si>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</si>
  <si>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</si>
  <si>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</si>
  <si>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</si>
  <si>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</si>
  <si>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</si>
  <si>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</si>
  <si>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</si>
  <si>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</si>
  <si>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</si>
  <si>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</si>
  <si>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</si>
  <si>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</si>
  <si>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</si>
  <si>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</si>
  <si>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</si>
  <si>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</si>
  <si>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</si>
  <si>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</si>
  <si>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</si>
  <si>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</si>
  <si>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</si>
  <si>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</si>
  <si>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</si>
  <si>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</si>
  <si>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</si>
  <si>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</si>
  <si>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</si>
  <si>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</si>
  <si>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</si>
  <si>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</si>
  <si>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</si>
  <si>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</si>
  <si>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</si>
  <si>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</si>
  <si>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</si>
  <si>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</si>
  <si>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</si>
  <si>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</si>
  <si>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</si>
  <si>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</si>
  <si>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</si>
  <si>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</si>
  <si>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</si>
  <si>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</si>
  <si>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</si>
  <si>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</si>
  <si>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</si>
  <si>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</si>
  <si>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</si>
  <si>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</si>
  <si>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</si>
  <si>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</si>
  <si>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</si>
  <si>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</si>
  <si>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</si>
  <si>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</si>
  <si>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</si>
  <si>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</si>
  <si>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</si>
  <si>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</si>
  <si>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</si>
  <si>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</si>
  <si>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</si>
  <si>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</si>
  <si>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</si>
  <si>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</si>
  <si>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</si>
  <si>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</si>
  <si>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</si>
  <si>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</si>
  <si>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</si>
  <si>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</si>
  <si>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</si>
  <si>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</si>
  <si>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</si>
  <si>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</si>
  <si>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</si>
  <si>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</si>
  <si>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</si>
  <si>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</si>
  <si>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</si>
  <si>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</si>
  <si>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</si>
  <si>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</si>
  <si>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</si>
  <si>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</si>
  <si>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</si>
  <si>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</si>
  <si>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</si>
  <si>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</si>
  <si>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</si>
  <si>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</si>
  <si>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</si>
  <si>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</si>
  <si>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</si>
  <si>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</si>
  <si>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</si>
  <si>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</si>
  <si>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</si>
  <si>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</si>
  <si>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</si>
  <si>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</si>
  <si>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</si>
  <si>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</si>
  <si>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</si>
  <si>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</si>
  <si>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</si>
  <si>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</si>
  <si>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</si>
  <si>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</si>
  <si>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</si>
  <si>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</si>
  <si>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</si>
  <si>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</si>
  <si>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</si>
  <si>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</si>
  <si>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</si>
  <si>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</si>
  <si>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</si>
  <si>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</si>
  <si>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</si>
  <si>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</si>
  <si>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</si>
  <si>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</si>
  <si>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</si>
  <si>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</si>
  <si>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</si>
  <si>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</si>
  <si>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</si>
  <si>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</si>
  <si>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</si>
  <si>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</si>
  <si>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</si>
  <si>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</si>
  <si>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</si>
  <si>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</si>
  <si>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</si>
  <si>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</si>
  <si>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</si>
  <si>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</si>
  <si>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</si>
  <si>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</si>
  <si>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</si>
  <si>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</si>
  <si>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</si>
  <si>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</si>
  <si>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</si>
  <si>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</si>
  <si>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</si>
  <si>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</si>
  <si>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</si>
  <si>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</si>
  <si>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</si>
  <si>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</si>
  <si>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</si>
  <si>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</si>
  <si>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</si>
  <si>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</si>
  <si>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</si>
  <si>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</si>
  <si>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</si>
  <si>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</si>
  <si>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</si>
  <si>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</si>
  <si>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</si>
  <si>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</si>
  <si>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</si>
  <si>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</si>
  <si>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</si>
  <si>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</si>
  <si>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</si>
  <si>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</si>
  <si>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</si>
  <si>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</si>
  <si>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</si>
  <si>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</si>
  <si>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</si>
  <si>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</si>
  <si>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</si>
  <si>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</si>
  <si>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</si>
  <si>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</si>
  <si>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</si>
  <si>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</si>
  <si>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</si>
  <si>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</si>
  <si>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</si>
  <si>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</si>
  <si>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</si>
  <si>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</si>
  <si>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</si>
  <si>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</si>
  <si>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</si>
  <si>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</si>
  <si>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</si>
  <si>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</si>
  <si>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</si>
  <si>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</si>
  <si>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</si>
  <si>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</si>
  <si>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</si>
  <si>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</si>
  <si>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</si>
  <si>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</si>
  <si>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</si>
  <si>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</si>
  <si>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</si>
  <si>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</si>
  <si>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</si>
  <si>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</si>
  <si>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</si>
  <si>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</si>
  <si>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</si>
  <si>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</si>
  <si>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</si>
  <si>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</si>
  <si>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</si>
  <si>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</si>
  <si>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</si>
  <si>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</si>
  <si>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</si>
  <si>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</si>
  <si>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</si>
  <si>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</si>
  <si>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</si>
  <si>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</si>
  <si>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</si>
  <si>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</si>
  <si>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</si>
  <si>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</si>
  <si>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</si>
  <si>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</si>
  <si>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</si>
  <si>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</si>
  <si>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</si>
  <si>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</si>
  <si>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</si>
  <si>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</si>
  <si>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</si>
  <si>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</si>
  <si>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</si>
  <si>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</si>
  <si>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</si>
  <si>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</si>
  <si>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</si>
  <si>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</si>
  <si>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</si>
  <si>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</si>
  <si>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</si>
  <si>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</si>
  <si>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</si>
  <si>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</si>
  <si>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</si>
  <si>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</si>
  <si>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</si>
  <si>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</si>
  <si>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</si>
  <si>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</si>
  <si>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</si>
  <si>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</si>
  <si>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</si>
  <si>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</si>
  <si>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</si>
  <si>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</si>
  <si>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</si>
  <si>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</si>
  <si>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</si>
  <si>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</si>
  <si>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</si>
  <si>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</si>
  <si>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</si>
  <si>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</si>
  <si>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</si>
  <si>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</si>
  <si>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</si>
  <si>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</si>
  <si>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</si>
  <si>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</si>
  <si>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</si>
  <si>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</si>
  <si>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</si>
  <si>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</si>
  <si>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</si>
  <si>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</si>
  <si>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</si>
  <si>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</si>
  <si>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</si>
  <si>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</si>
  <si>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</si>
  <si>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</si>
  <si>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</si>
  <si>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</si>
  <si>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</si>
  <si>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</si>
  <si>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</si>
  <si>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</si>
  <si>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</si>
  <si>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</si>
  <si>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</si>
  <si>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</si>
  <si>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</si>
  <si>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</si>
  <si>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</si>
  <si>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</si>
  <si>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</si>
  <si>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</si>
  <si>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</si>
  <si>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</si>
  <si>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</si>
  <si>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</si>
  <si>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</si>
  <si>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</si>
  <si>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</si>
  <si>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</si>
  <si>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</si>
  <si>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</si>
  <si>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</si>
  <si>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</si>
  <si>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</si>
  <si>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</si>
  <si>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Summary Statistics</t>
  </si>
  <si>
    <t>Mean Daily Return</t>
  </si>
  <si>
    <t>Daily Std Dev</t>
  </si>
  <si>
    <t>Daily Variance</t>
  </si>
  <si>
    <t>Annualised Return (×252)</t>
  </si>
  <si>
    <t>Annualised Std Dev (×√252)</t>
  </si>
  <si>
    <t>Correlation Matrix</t>
  </si>
  <si>
    <t>Variance-Covariance Matrix (Annualised)</t>
  </si>
  <si>
    <t>Portfolio value (USD)</t>
  </si>
  <si>
    <t>Risk-free rate (Fed funds upper bound, proxy)</t>
  </si>
  <si>
    <t>Asset-Level Annualised Statistics</t>
  </si>
  <si>
    <t>Asset</t>
  </si>
  <si>
    <t>Annualised Return</t>
  </si>
  <si>
    <t>Annualised Std Dev</t>
  </si>
  <si>
    <t>Optimal Portfolio — Maximum Sharpe Ratio (Solver-derived weights)</t>
  </si>
  <si>
    <t>Weight</t>
  </si>
  <si>
    <t>Weighted Return Contribution</t>
  </si>
  <si>
    <t>Total</t>
  </si>
  <si>
    <t>Portfolio Expected Return</t>
  </si>
  <si>
    <t>Portfolio Variance (Annualised)</t>
  </si>
  <si>
    <t>Portfolio Std Dev (Volatility)</t>
  </si>
  <si>
    <t>Sharpe Ratio</t>
  </si>
  <si>
    <t>USD Allocation (of $20m)</t>
  </si>
  <si>
    <t>Comparator — Minimum Variance Portfolio</t>
  </si>
  <si>
    <t>Portfolio Return</t>
  </si>
  <si>
    <t>Portfolio Variance</t>
  </si>
  <si>
    <t>Portfolio Std Dev</t>
  </si>
  <si>
    <t>Efficient Frontier (simulated points)</t>
  </si>
  <si>
    <t>Volatility (Std Dev)</t>
  </si>
  <si>
    <t>Expected Return</t>
  </si>
  <si>
    <t>Marker</t>
  </si>
  <si>
    <t>Portfolio Daily Return</t>
  </si>
  <si>
    <t>Portfolio Value (USD)</t>
  </si>
  <si>
    <t>Portfolio Daily Mean Return</t>
  </si>
  <si>
    <t>Portfolio Daily Std Dev</t>
  </si>
  <si>
    <t>Confidence Level</t>
  </si>
  <si>
    <t>95%</t>
  </si>
  <si>
    <t>z-score</t>
  </si>
  <si>
    <t>VaR (%)</t>
  </si>
  <si>
    <t>VaR (USD)</t>
  </si>
  <si>
    <t>95% confidence</t>
  </si>
  <si>
    <t>99% confidence</t>
  </si>
  <si>
    <t>Percentile</t>
  </si>
  <si>
    <t>Simulated Portfolio Returns (raw draws)</t>
  </si>
  <si>
    <t>Simulations</t>
  </si>
  <si>
    <t>Method</t>
  </si>
  <si>
    <t>VaR @ 95% (1-day)</t>
  </si>
  <si>
    <t>VaR @ 99% (1-day)</t>
  </si>
  <si>
    <t>Normal (Parametric) VaR</t>
  </si>
  <si>
    <t>Historical Simulation VaR</t>
  </si>
  <si>
    <t>Monte Carlo Simulation VaR</t>
  </si>
  <si>
    <t>As % of Portfolio Value</t>
  </si>
  <si>
    <t>VaR @ 95%</t>
  </si>
  <si>
    <t>VaR @ 99%</t>
  </si>
  <si>
    <t>Bond Inputs</t>
  </si>
  <si>
    <t>Issuer</t>
  </si>
  <si>
    <t>Microsoft Corporation</t>
  </si>
  <si>
    <t>ISIN</t>
  </si>
  <si>
    <t>US594918BC73</t>
  </si>
  <si>
    <t>Coupon Rate (annual)</t>
  </si>
  <si>
    <t>Payment Frequency (per year)</t>
  </si>
  <si>
    <t>Face Value (per $100 nominal)</t>
  </si>
  <si>
    <t>Yield to Maturity (market, current)</t>
  </si>
  <si>
    <t>Years to Maturity (approx. from mid-2026)</t>
  </si>
  <si>
    <t>N (number of coupon periods)</t>
  </si>
  <si>
    <t>Coupon payment per period</t>
  </si>
  <si>
    <t>Periodic yield (y)</t>
  </si>
  <si>
    <t>Bond Price (via PV of Cash Flows)</t>
  </si>
  <si>
    <t>Bond Price</t>
  </si>
  <si>
    <t>Duration and Convexity</t>
  </si>
  <si>
    <t>Macaulay Duration (years)</t>
  </si>
  <si>
    <t>Modified Duration (years)</t>
  </si>
  <si>
    <t>Convexity</t>
  </si>
  <si>
    <t>Cash Flow Schedule (used to derive Macaulay Duration and Convexity)</t>
  </si>
  <si>
    <t>Period (t)</t>
  </si>
  <si>
    <t>Cash Flow</t>
  </si>
  <si>
    <t>PV of Cash Flow</t>
  </si>
  <si>
    <t>PV × t</t>
  </si>
  <si>
    <t>PV × t × (t+1)</t>
  </si>
  <si>
    <t>Sum</t>
  </si>
  <si>
    <t>Interest Rate Sensitivity — Unanticipated 25bp Fed Rate Cut</t>
  </si>
  <si>
    <t>Change in Yield (Δy)</t>
  </si>
  <si>
    <t>% Price Change (Duration only)</t>
  </si>
  <si>
    <t>% Price Change (Duration + Convexity)</t>
  </si>
  <si>
    <t>New Estimated Bond Price (Duration + Convexity)</t>
  </si>
  <si>
    <t>Estimated $ Gain per $100 Face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</si>
</sst>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%"/>
    <numFmt numFmtId="165" formatCode="0.000000"/>
    <numFmt numFmtId="166" formatCode="0.000"/>
    <numFmt numFmtId="167" formatCode="\$#,##0"/>
    <numFmt numFmtId="168" formatCode="\$#,##0.00"/>
    <numFmt numFmtId="169" formatCode="0.0"/>
    <numFmt numFmtId="170" formatCode="0.0000"/>
  </numFmts>
  <fonts count="14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b/>
      <sz val="13"/>
      <color rgb="FF1F4E78"/>
      <name val="Arial"/>
      <family val="2"/>
    </font>
    <font>
      <sz val="10"/>
      <color rgb="FF008000"/>
      <name val="Arial"/>
      <family val="2"/>
    </font>
    <font>
      <i/>
      <sz val="9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0" borderId="0" xfId="0" applyFont="1" applyAlignment="1">
      <alignment wrapText="1"/>
    </xf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4" fontId="2" fillId="0" borderId="0" xfId="0" applyNumberFormat="1" applyFont="1"/>
    <xf numFmtId="165" fontId="2" fillId="0" borderId="0" xfId="0" applyNumberFormat="1" applyFont="1"/>
    <xf numFmtId="10" fontId="2" fillId="0" borderId="0" xfId="0" applyNumberFormat="1" applyFont="1"/>
    <xf numFmtId="166" fontId="2" fillId="0" borderId="0" xfId="0" applyNumberFormat="1" applyFont="1"/>
    <xf numFmtId="167" fontId="5" fillId="0" borderId="0" xfId="0" applyNumberFormat="1" applyFont="1"/>
    <xf numFmtId="10" fontId="5" fillId="0" borderId="0" xfId="0" applyNumberFormat="1" applyFont="1"/>
    <xf numFmtId="10" fontId="7" fillId="0" borderId="0" xfId="0" applyNumberFormat="1" applyFont="1"/>
    <xf numFmtId="10" fontId="3" fillId="0" borderId="0" xfId="0" applyNumberFormat="1" applyFont="1"/>
    <xf numFmtId="167" fontId="2" fillId="0" borderId="0" xfId="0" applyNumberFormat="1" applyFont="1"/>
    <xf numFmtId="10" fontId="0" fillId="0" borderId="0" xfId="0" applyNumberFormat="1"/>
    <xf numFmtId="167" fontId="7" fillId="0" borderId="0" xfId="0" applyNumberFormat="1" applyFont="1"/>
    <xf numFmtId="9" fontId="5" fillId="0" borderId="0" xfId="0" applyNumberFormat="1" applyFont="1"/>
    <xf numFmtId="164" fontId="0" fillId="0" borderId="0" xfId="0" applyNumberFormat="1"/>
    <xf numFmtId="0" fontId="5" fillId="0" borderId="0" xfId="0" applyFont="1"/>
    <xf numFmtId="0" fontId="8" fillId="0" borderId="0" xfId="0" applyFont="1"/>
    <xf numFmtId="1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" fontId="2" fillId="0" borderId="0" xfId="0" applyNumberFormat="1" applyFont="1"/>
    <xf numFmtId="170" fontId="2" fillId="0" borderId="0" xfId="0" applyNumberFormat="1" applyFont="1"/>
    <xf numFmtId="166" fontId="0" fillId="0" borderId="0" xfId="0" applyNumberFormat="1"/>
    <xf numFmtId="0" fontId="4" fillId="2" borderId="0" xfId="0" applyFont="1" applyFill="1" applyAlignment="1">
      <alignment horizontal="center" vertical="center"/>
    </xf>
    <xf numFmtId="170" fontId="3" fillId="0" borderId="0" xfId="0" applyNumberFormat="1" applyFont="1"/>
    <xf numFmtId="0" fontId="9" fillId="0" borderId="0" xfId="0" applyFont="1"/>
    <xf numFmtId="0" fontId="0" fillId="0" borderId="0" xfId="0" applyFont="1"/>
    <xf numFmtId="0" fontId="10" fillId="0" borderId="0" xfId="0" applyFont="1"/>
    <xf numFmtId="4" fontId="10" fillId="0" borderId="0" xfId="0" applyNumberFormat="1" applyFont="1"/>
    <xf numFmtId="0" fontId="11" fillId="0" borderId="0" xfId="0" applyFont="1"/>
    <xf numFmtId="164" fontId="10" fillId="0" borderId="0" xfId="0" applyNumberFormat="1" applyFont="1"/>
    <xf numFmtId="0" fontId="12" fillId="2" borderId="1" xfId="0" applyFont="1" applyFill="1" applyBorder="1" applyAlignment="1">
      <alignment horizontal="center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-1" baseline="0">
                <a:solidFill>
                  <a:srgbClr val="000000"/>
                </a:solidFill>
                <a:latin typeface="Calibri"/>
              </a:rPr>
              <a:t>Efficient Frontier — Risk vs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'MPT Optimisation'!$A$46</c:f>
              <c:strCache>
                <c:ptCount val="1"/>
                <c:pt idx="0">
                  <c:v>Volatility (Std Dev)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'MPT Optimisation'!$A$47:$A$69</c:f>
              <c:numCache>
                <c:formatCode>0.00%</c:formatCode>
                <c:ptCount val="23"/>
                <c:pt idx="0">
                  <c:v>8.1645018882817499E-2</c:v>
                </c:pt>
                <c:pt idx="1">
                  <c:v>8.0362303658166698E-2</c:v>
                </c:pt>
                <c:pt idx="2">
                  <c:v>8.0341813800797898E-2</c:v>
                </c:pt>
                <c:pt idx="3">
                  <c:v>8.1246549486293895E-2</c:v>
                </c:pt>
                <c:pt idx="4">
                  <c:v>8.3531718548321393E-2</c:v>
                </c:pt>
                <c:pt idx="5">
                  <c:v>8.6515611652352095E-2</c:v>
                </c:pt>
                <c:pt idx="6">
                  <c:v>8.9603145247233604E-2</c:v>
                </c:pt>
                <c:pt idx="7">
                  <c:v>9.2783973468265099E-2</c:v>
                </c:pt>
                <c:pt idx="8">
                  <c:v>9.6048827965526995E-2</c:v>
                </c:pt>
                <c:pt idx="9">
                  <c:v>9.9389428485174403E-2</c:v>
                </c:pt>
                <c:pt idx="10">
                  <c:v>0.102798390851626</c:v>
                </c:pt>
                <c:pt idx="11">
                  <c:v>0.10626913640869901</c:v>
                </c:pt>
                <c:pt idx="12">
                  <c:v>0.109795806180069</c:v>
                </c:pt>
                <c:pt idx="13">
                  <c:v>0.113373181479337</c:v>
                </c:pt>
                <c:pt idx="14">
                  <c:v>0.116996611186186</c:v>
                </c:pt>
                <c:pt idx="15">
                  <c:v>0.120661946291855</c:v>
                </c:pt>
                <c:pt idx="16">
                  <c:v>0.12457052055503</c:v>
                </c:pt>
                <c:pt idx="17">
                  <c:v>0.12872971653061599</c:v>
                </c:pt>
                <c:pt idx="18">
                  <c:v>0.132990431119731</c:v>
                </c:pt>
                <c:pt idx="19">
                  <c:v>0.137343216550214</c:v>
                </c:pt>
                <c:pt idx="20">
                  <c:v>0.14177959315270999</c:v>
                </c:pt>
                <c:pt idx="21">
                  <c:v>0.14629195618850399</c:v>
                </c:pt>
                <c:pt idx="22">
                  <c:v>0.15087348800369199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C-2347-B8A5-7AC5F11A4692}"/>
            </c:ext>
          </c:extLst>
        </c:ser>
        <c:ser>
          <c:idx val="1"/>
          <c:order val="1"/>
          <c:tx>
            <c:strRef>
              <c:f>'MPT Optimisation'!$B$46</c:f>
              <c:strCache>
                <c:ptCount val="1"/>
                <c:pt idx="0">
                  <c:v>Expected Return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'MPT Optimisation'!$B$47:$B$69</c:f>
              <c:numCache>
                <c:formatCode>0.00%</c:formatCode>
                <c:ptCount val="23"/>
                <c:pt idx="0">
                  <c:v>4.0964785092121897E-2</c:v>
                </c:pt>
                <c:pt idx="1">
                  <c:v>4.4616957383791997E-2</c:v>
                </c:pt>
                <c:pt idx="2">
                  <c:v>4.8269129675462E-2</c:v>
                </c:pt>
                <c:pt idx="3">
                  <c:v>5.19213019671321E-2</c:v>
                </c:pt>
                <c:pt idx="4">
                  <c:v>5.5573474258802102E-2</c:v>
                </c:pt>
                <c:pt idx="5">
                  <c:v>5.9225646550472098E-2</c:v>
                </c:pt>
                <c:pt idx="6">
                  <c:v>6.2877818842142205E-2</c:v>
                </c:pt>
                <c:pt idx="7">
                  <c:v>6.6529991133812194E-2</c:v>
                </c:pt>
                <c:pt idx="8">
                  <c:v>7.0182163425482294E-2</c:v>
                </c:pt>
                <c:pt idx="9">
                  <c:v>7.3834335717152297E-2</c:v>
                </c:pt>
                <c:pt idx="10">
                  <c:v>7.7486508008822397E-2</c:v>
                </c:pt>
                <c:pt idx="11">
                  <c:v>8.11386803004924E-2</c:v>
                </c:pt>
                <c:pt idx="12">
                  <c:v>8.4790852592162499E-2</c:v>
                </c:pt>
                <c:pt idx="13">
                  <c:v>8.8443024883832502E-2</c:v>
                </c:pt>
                <c:pt idx="14">
                  <c:v>9.2095197175502602E-2</c:v>
                </c:pt>
                <c:pt idx="15">
                  <c:v>9.5747369467172605E-2</c:v>
                </c:pt>
                <c:pt idx="16">
                  <c:v>9.9399541758842705E-2</c:v>
                </c:pt>
                <c:pt idx="17">
                  <c:v>0.103051714050513</c:v>
                </c:pt>
                <c:pt idx="18">
                  <c:v>0.106703886342183</c:v>
                </c:pt>
                <c:pt idx="19">
                  <c:v>0.110356058633853</c:v>
                </c:pt>
                <c:pt idx="20">
                  <c:v>0.11400823092552299</c:v>
                </c:pt>
                <c:pt idx="21">
                  <c:v>0.117660403217193</c:v>
                </c:pt>
                <c:pt idx="22">
                  <c:v>0.121312575508863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C-2347-B8A5-7AC5F11A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241743"/>
        <c:axId val="934244735"/>
      </c:barChart>
      <c:catAx>
        <c:axId val="9342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44735"/>
        <c:crosses val="autoZero"/>
        <c:auto val="1"/>
        <c:lblAlgn val="ctr"/>
        <c:lblOffset val="100"/>
        <c:noMultiLvlLbl val="0"/>
      </c:catAx>
      <c:valAx>
        <c:axId val="9342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4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1409700</xdr:colOff>
      <xdr:row>43</xdr:row>
      <xdr:rowOff>38100</xdr:rowOff>
    </xdr:from>
    <xdr:to>
      <xdr:col>9</xdr:col>
      <xdr:colOff>190500</xdr:colOff>
      <xdr:row>57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B54E4C-F40C-440C-B09D-03E8F328A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9"/>
  <sheetViews>
    <sheetView tabSelected="1" zoomScaleNormal="100" workbookViewId="0">
      <pane ySplit="3" topLeftCell="A4" activePane="bottomLeft" state="frozen"/>
      <selection pane="bottomLeft" activeCell="M17" sqref="M17"/>
    </sheetView>
  </sheetViews>
  <sheetFormatPr baseColWidth="10" defaultColWidth="8.6640625" defaultRowHeight="15" x14ac:dyDescent="0.2"/>
  <cols>
    <col min="1" max="1" width="14" style="31" customWidth="1"/>
    <col min="2" max="5" width="12" style="31" customWidth="1"/>
    <col min="6" max="16384" width="8.6640625" style="31"/>
  </cols>
  <sheetData>
    <row r="1" spans="1:5" ht="15" customHeight="1" x14ac:dyDescent="0.2">
      <c r="A1" s="30"/>
    </row>
    <row r="3" spans="1:5" s="37" customFormat="1" ht="15" customHeight="1" x14ac:dyDescent="0.2">
      <c r="A3" s="36" t="s">
        <v>0</v>
      </c>
      <c r="B3" s="36" t="s">
        <v>1</v>
      </c>
      <c r="C3" s="36" t="s">
        <v>2</v>
      </c>
      <c r="D3" s="36" t="s">
        <v>3</v>
      </c>
      <c r="E3" s="36" t="s">
        <v>4</v>
      </c>
    </row>
    <row r="4" spans="1:5" ht="15" customHeight="1" x14ac:dyDescent="0.2">
      <c r="A4" s="32" t="s">
        <v>5</v>
      </c>
      <c r="B4" s="33">
        <v>180.78649902343801</v>
      </c>
      <c r="C4" s="33">
        <v>63.165077209472699</v>
      </c>
      <c r="D4" s="33">
        <v>67.145843505859403</v>
      </c>
      <c r="E4" s="33">
        <v>99.167175292968807</v>
      </c>
    </row>
    <row r="5" spans="1:5" ht="15" customHeight="1" x14ac:dyDescent="0.2">
      <c r="A5" s="32" t="s">
        <v>6</v>
      </c>
      <c r="B5" s="33">
        <v>183.68600463867199</v>
      </c>
      <c r="C5" s="33">
        <v>63.232509613037102</v>
      </c>
      <c r="D5" s="33">
        <v>67.0155029296875</v>
      </c>
      <c r="E5" s="33">
        <v>99.065765380859403</v>
      </c>
    </row>
    <row r="6" spans="1:5" ht="15" customHeight="1" x14ac:dyDescent="0.2">
      <c r="A6" s="32" t="s">
        <v>7</v>
      </c>
      <c r="B6" s="33">
        <v>184.57528686523401</v>
      </c>
      <c r="C6" s="33">
        <v>63.822444915771499</v>
      </c>
      <c r="D6" s="33">
        <v>67.667160034179702</v>
      </c>
      <c r="E6" s="33">
        <v>98.947433471679702</v>
      </c>
    </row>
    <row r="7" spans="1:5" ht="15" customHeight="1" x14ac:dyDescent="0.2">
      <c r="A7" s="32" t="s">
        <v>8</v>
      </c>
      <c r="B7" s="33">
        <v>183.47293090820301</v>
      </c>
      <c r="C7" s="33">
        <v>62.988090515136697</v>
      </c>
      <c r="D7" s="33">
        <v>66.771125793457003</v>
      </c>
      <c r="E7" s="33">
        <v>98.786857604980497</v>
      </c>
    </row>
    <row r="8" spans="1:5" ht="15" customHeight="1" x14ac:dyDescent="0.2">
      <c r="A8" s="32" t="s">
        <v>9</v>
      </c>
      <c r="B8" s="33">
        <v>184.12136840820301</v>
      </c>
      <c r="C8" s="33">
        <v>63.2746391296387</v>
      </c>
      <c r="D8" s="33">
        <v>66.925895690917997</v>
      </c>
      <c r="E8" s="33">
        <v>98.871391296386705</v>
      </c>
    </row>
    <row r="9" spans="1:5" ht="15" customHeight="1" x14ac:dyDescent="0.2">
      <c r="A9" s="32" t="s">
        <v>10</v>
      </c>
      <c r="B9" s="33">
        <v>184.3251953125</v>
      </c>
      <c r="C9" s="33">
        <v>63.190372467041001</v>
      </c>
      <c r="D9" s="33">
        <v>67.740478515625</v>
      </c>
      <c r="E9" s="33">
        <v>99.18408203125</v>
      </c>
    </row>
    <row r="10" spans="1:5" ht="15" customHeight="1" x14ac:dyDescent="0.2">
      <c r="A10" s="32" t="s">
        <v>11</v>
      </c>
      <c r="B10" s="33">
        <v>184.149169921875</v>
      </c>
      <c r="C10" s="33">
        <v>63.696033477783203</v>
      </c>
      <c r="D10" s="33">
        <v>68.139610290527301</v>
      </c>
      <c r="E10" s="33">
        <v>98.989685058593807</v>
      </c>
    </row>
    <row r="11" spans="1:5" ht="15" customHeight="1" x14ac:dyDescent="0.2">
      <c r="A11" s="32" t="s">
        <v>12</v>
      </c>
      <c r="B11" s="33">
        <v>182.54661560058599</v>
      </c>
      <c r="C11" s="33">
        <v>62.701564788818402</v>
      </c>
      <c r="D11" s="33">
        <v>68.921607971191406</v>
      </c>
      <c r="E11" s="33">
        <v>99.091117858886705</v>
      </c>
    </row>
    <row r="12" spans="1:5" ht="15" customHeight="1" x14ac:dyDescent="0.2">
      <c r="A12" s="32" t="s">
        <v>13</v>
      </c>
      <c r="B12" s="33">
        <v>184.21403503418</v>
      </c>
      <c r="C12" s="33">
        <v>63.156661987304702</v>
      </c>
      <c r="D12" s="33">
        <v>68.726127624511705</v>
      </c>
      <c r="E12" s="33">
        <v>99.226356506347699</v>
      </c>
    </row>
    <row r="13" spans="1:5" ht="15" customHeight="1" x14ac:dyDescent="0.2">
      <c r="A13" s="32" t="s">
        <v>14</v>
      </c>
      <c r="B13" s="33">
        <v>186.53916931152301</v>
      </c>
      <c r="C13" s="33">
        <v>63.586456298828097</v>
      </c>
      <c r="D13" s="33">
        <v>70.037590026855497</v>
      </c>
      <c r="E13" s="33">
        <v>99.234809875488295</v>
      </c>
    </row>
    <row r="14" spans="1:5" ht="15" customHeight="1" x14ac:dyDescent="0.2">
      <c r="A14" s="32" t="s">
        <v>15</v>
      </c>
      <c r="B14" s="33">
        <v>186.40016174316401</v>
      </c>
      <c r="C14" s="33">
        <v>63.637031555175803</v>
      </c>
      <c r="D14" s="33">
        <v>69.703605651855497</v>
      </c>
      <c r="E14" s="33">
        <v>99.091117858886705</v>
      </c>
    </row>
    <row r="15" spans="1:5" ht="15" customHeight="1" x14ac:dyDescent="0.2">
      <c r="A15" s="32" t="s">
        <v>16</v>
      </c>
      <c r="B15" s="33">
        <v>186.09455871582</v>
      </c>
      <c r="C15" s="33">
        <v>63.333633422851598</v>
      </c>
      <c r="D15" s="33">
        <v>69.866531372070298</v>
      </c>
      <c r="E15" s="33">
        <v>99.091117858886705</v>
      </c>
    </row>
    <row r="16" spans="1:5" ht="15" customHeight="1" x14ac:dyDescent="0.2">
      <c r="A16" s="32" t="s">
        <v>17</v>
      </c>
      <c r="B16" s="33">
        <v>186.62252807617199</v>
      </c>
      <c r="C16" s="33">
        <v>63.2577934265137</v>
      </c>
      <c r="D16" s="33">
        <v>70.396003723144503</v>
      </c>
      <c r="E16" s="33">
        <v>99.344680786132798</v>
      </c>
    </row>
    <row r="17" spans="1:5" ht="15" customHeight="1" x14ac:dyDescent="0.2">
      <c r="A17" s="32" t="s">
        <v>18</v>
      </c>
      <c r="B17" s="33">
        <v>185.94630432128901</v>
      </c>
      <c r="C17" s="33">
        <v>63.350490570068402</v>
      </c>
      <c r="D17" s="33">
        <v>70.892883300781307</v>
      </c>
      <c r="E17" s="33">
        <v>99.310874938964801</v>
      </c>
    </row>
    <row r="18" spans="1:5" ht="15" customHeight="1" x14ac:dyDescent="0.2">
      <c r="A18" s="32" t="s">
        <v>19</v>
      </c>
      <c r="B18" s="33">
        <v>181.48130798339801</v>
      </c>
      <c r="C18" s="33">
        <v>61.900943756103501</v>
      </c>
      <c r="D18" s="33">
        <v>69.638458251953097</v>
      </c>
      <c r="E18" s="33">
        <v>99.319313049316406</v>
      </c>
    </row>
    <row r="19" spans="1:5" ht="15" customHeight="1" x14ac:dyDescent="0.2">
      <c r="A19" s="32" t="s">
        <v>20</v>
      </c>
      <c r="B19" s="33">
        <v>182.90786743164099</v>
      </c>
      <c r="C19" s="33">
        <v>62.297035217285199</v>
      </c>
      <c r="D19" s="33">
        <v>70.013145446777301</v>
      </c>
      <c r="E19" s="33">
        <v>99.251701354980497</v>
      </c>
    </row>
    <row r="20" spans="1:5" ht="15" customHeight="1" x14ac:dyDescent="0.2">
      <c r="A20" s="32" t="s">
        <v>21</v>
      </c>
      <c r="B20" s="33">
        <v>179.70266723632801</v>
      </c>
      <c r="C20" s="33">
        <v>61.007602691650398</v>
      </c>
      <c r="D20" s="33">
        <v>69.206703186035199</v>
      </c>
      <c r="E20" s="33">
        <v>99.141860961914105</v>
      </c>
    </row>
    <row r="21" spans="1:5" ht="15" customHeight="1" x14ac:dyDescent="0.2">
      <c r="A21" s="32" t="s">
        <v>22</v>
      </c>
      <c r="B21" s="33">
        <v>182.76889038085901</v>
      </c>
      <c r="C21" s="33">
        <v>61.732391357421903</v>
      </c>
      <c r="D21" s="33">
        <v>70.7869873046875</v>
      </c>
      <c r="E21" s="33">
        <v>99.236663818359403</v>
      </c>
    </row>
    <row r="22" spans="1:5" ht="15" customHeight="1" x14ac:dyDescent="0.2">
      <c r="A22" s="32" t="s">
        <v>23</v>
      </c>
      <c r="B22" s="33">
        <v>185.39051818847699</v>
      </c>
      <c r="C22" s="33">
        <v>62.356033325195298</v>
      </c>
      <c r="D22" s="33">
        <v>71.210586547851605</v>
      </c>
      <c r="E22" s="33">
        <v>99.084236145019503</v>
      </c>
    </row>
    <row r="23" spans="1:5" ht="15" customHeight="1" x14ac:dyDescent="0.2">
      <c r="A23" s="32" t="s">
        <v>24</v>
      </c>
      <c r="B23" s="33">
        <v>185.668380737305</v>
      </c>
      <c r="C23" s="33">
        <v>62.507720947265597</v>
      </c>
      <c r="D23" s="33">
        <v>71.031387329101605</v>
      </c>
      <c r="E23" s="33">
        <v>98.965721130371094</v>
      </c>
    </row>
    <row r="24" spans="1:5" ht="15" customHeight="1" x14ac:dyDescent="0.2">
      <c r="A24" s="32" t="s">
        <v>25</v>
      </c>
      <c r="B24" s="33">
        <v>188.02134704589801</v>
      </c>
      <c r="C24" s="33">
        <v>62.575141906738303</v>
      </c>
      <c r="D24" s="33">
        <v>71.520111083984403</v>
      </c>
      <c r="E24" s="33">
        <v>98.923416137695298</v>
      </c>
    </row>
    <row r="25" spans="1:5" ht="15" customHeight="1" x14ac:dyDescent="0.2">
      <c r="A25" s="32" t="s">
        <v>26</v>
      </c>
      <c r="B25" s="33">
        <v>189.07737731933599</v>
      </c>
      <c r="C25" s="33">
        <v>62.962821960449197</v>
      </c>
      <c r="D25" s="33">
        <v>71.772644042968807</v>
      </c>
      <c r="E25" s="33">
        <v>98.796455383300795</v>
      </c>
    </row>
    <row r="26" spans="1:5" ht="15" customHeight="1" x14ac:dyDescent="0.2">
      <c r="A26" s="32" t="s">
        <v>27</v>
      </c>
      <c r="B26" s="33">
        <v>190.77258300781301</v>
      </c>
      <c r="C26" s="33">
        <v>63.401073455810597</v>
      </c>
      <c r="D26" s="33">
        <v>72.163650512695298</v>
      </c>
      <c r="E26" s="33">
        <v>98.898063659667997</v>
      </c>
    </row>
    <row r="27" spans="1:5" ht="15" customHeight="1" x14ac:dyDescent="0.2">
      <c r="A27" s="32" t="s">
        <v>28</v>
      </c>
      <c r="B27" s="33">
        <v>190.84666442871099</v>
      </c>
      <c r="C27" s="33">
        <v>63.746585845947301</v>
      </c>
      <c r="D27" s="33">
        <v>72.416160583496094</v>
      </c>
      <c r="E27" s="33">
        <v>98.940345764160199</v>
      </c>
    </row>
    <row r="28" spans="1:5" ht="15" customHeight="1" x14ac:dyDescent="0.2">
      <c r="A28" s="32" t="s">
        <v>29</v>
      </c>
      <c r="B28" s="33">
        <v>190.76329040527301</v>
      </c>
      <c r="C28" s="33">
        <v>63.527469635009801</v>
      </c>
      <c r="D28" s="33">
        <v>72.807167053222699</v>
      </c>
      <c r="E28" s="33">
        <v>99.033508300781193</v>
      </c>
    </row>
    <row r="29" spans="1:5" ht="15" customHeight="1" x14ac:dyDescent="0.2">
      <c r="A29" s="32" t="s">
        <v>30</v>
      </c>
      <c r="B29" s="33">
        <v>191.21725463867199</v>
      </c>
      <c r="C29" s="33">
        <v>63.957290649414098</v>
      </c>
      <c r="D29" s="33">
        <v>72.961944580078097</v>
      </c>
      <c r="E29" s="33">
        <v>98.914993286132798</v>
      </c>
    </row>
    <row r="30" spans="1:5" ht="15" customHeight="1" x14ac:dyDescent="0.2">
      <c r="A30" s="32" t="s">
        <v>31</v>
      </c>
      <c r="B30" s="33">
        <v>192.208419799805</v>
      </c>
      <c r="C30" s="33">
        <v>64.311241149902301</v>
      </c>
      <c r="D30" s="33">
        <v>72.978225708007798</v>
      </c>
      <c r="E30" s="33">
        <v>98.686416625976605</v>
      </c>
    </row>
    <row r="31" spans="1:5" ht="15" customHeight="1" x14ac:dyDescent="0.2">
      <c r="A31" s="32" t="s">
        <v>32</v>
      </c>
      <c r="B31" s="33">
        <v>191.865646362305</v>
      </c>
      <c r="C31" s="33">
        <v>64.774765014648395</v>
      </c>
      <c r="D31" s="33">
        <v>72.416160583496094</v>
      </c>
      <c r="E31" s="33">
        <v>98.2208251953125</v>
      </c>
    </row>
    <row r="32" spans="1:5" ht="15" customHeight="1" x14ac:dyDescent="0.2">
      <c r="A32" s="32" t="s">
        <v>33</v>
      </c>
      <c r="B32" s="33">
        <v>191.46731567382801</v>
      </c>
      <c r="C32" s="33">
        <v>64.395515441894503</v>
      </c>
      <c r="D32" s="33">
        <v>72.326568603515597</v>
      </c>
      <c r="E32" s="33">
        <v>98.415504455566406</v>
      </c>
    </row>
    <row r="33" spans="1:5" ht="15" customHeight="1" x14ac:dyDescent="0.2">
      <c r="A33" s="32" t="s">
        <v>34</v>
      </c>
      <c r="B33" s="33">
        <v>190.36497497558599</v>
      </c>
      <c r="C33" s="33">
        <v>64.075263977050795</v>
      </c>
      <c r="D33" s="33">
        <v>72.017028808593807</v>
      </c>
      <c r="E33" s="33">
        <v>98.364753723144503</v>
      </c>
    </row>
    <row r="34" spans="1:5" ht="15" customHeight="1" x14ac:dyDescent="0.2">
      <c r="A34" s="32" t="s">
        <v>35</v>
      </c>
      <c r="B34" s="33">
        <v>190.800369262695</v>
      </c>
      <c r="C34" s="33">
        <v>64.260673522949205</v>
      </c>
      <c r="D34" s="33">
        <v>72.432464599609403</v>
      </c>
      <c r="E34" s="33">
        <v>98.059967041015597</v>
      </c>
    </row>
    <row r="35" spans="1:5" ht="15" customHeight="1" x14ac:dyDescent="0.2">
      <c r="A35" s="32" t="s">
        <v>36</v>
      </c>
      <c r="B35" s="33">
        <v>188.98472595214801</v>
      </c>
      <c r="C35" s="33">
        <v>64.100540161132798</v>
      </c>
      <c r="D35" s="33">
        <v>73.035247802734403</v>
      </c>
      <c r="E35" s="33">
        <v>97.7552490234375</v>
      </c>
    </row>
    <row r="36" spans="1:5" ht="15" customHeight="1" x14ac:dyDescent="0.2">
      <c r="A36" s="32" t="s">
        <v>37</v>
      </c>
      <c r="B36" s="33">
        <v>188.95692443847699</v>
      </c>
      <c r="C36" s="33">
        <v>64.159538269042997</v>
      </c>
      <c r="D36" s="33">
        <v>73.491409301757798</v>
      </c>
      <c r="E36" s="33">
        <v>97.780662536621094</v>
      </c>
    </row>
    <row r="37" spans="1:5" ht="15" customHeight="1" x14ac:dyDescent="0.2">
      <c r="A37" s="32" t="s">
        <v>38</v>
      </c>
      <c r="B37" s="33">
        <v>191.07826232910199</v>
      </c>
      <c r="C37" s="33">
        <v>64.361808776855497</v>
      </c>
      <c r="D37" s="33">
        <v>74.053482055664105</v>
      </c>
      <c r="E37" s="33">
        <v>97.746757507324205</v>
      </c>
    </row>
    <row r="38" spans="1:5" ht="15" customHeight="1" x14ac:dyDescent="0.2">
      <c r="A38" s="32" t="s">
        <v>39</v>
      </c>
      <c r="B38" s="33">
        <v>186.08525085449199</v>
      </c>
      <c r="C38" s="33">
        <v>63.266212463378899</v>
      </c>
      <c r="D38" s="33">
        <v>72.636093139648395</v>
      </c>
      <c r="E38" s="33">
        <v>96.849472045898395</v>
      </c>
    </row>
    <row r="39" spans="1:5" ht="15" customHeight="1" x14ac:dyDescent="0.2">
      <c r="A39" s="32" t="s">
        <v>40</v>
      </c>
      <c r="B39" s="33">
        <v>185.34417724609401</v>
      </c>
      <c r="C39" s="33">
        <v>62.372890472412102</v>
      </c>
      <c r="D39" s="33">
        <v>71.5771484375</v>
      </c>
      <c r="E39" s="33">
        <v>97.636711120605497</v>
      </c>
    </row>
    <row r="40" spans="1:5" ht="15" customHeight="1" x14ac:dyDescent="0.2">
      <c r="A40" s="32" t="s">
        <v>41</v>
      </c>
      <c r="B40" s="33">
        <v>190.10560607910199</v>
      </c>
      <c r="C40" s="33">
        <v>63.544326782226598</v>
      </c>
      <c r="D40" s="33">
        <v>71.894828796386705</v>
      </c>
      <c r="E40" s="33">
        <v>97.585830688476605</v>
      </c>
    </row>
    <row r="41" spans="1:5" ht="15" customHeight="1" x14ac:dyDescent="0.2">
      <c r="A41" s="32" t="s">
        <v>42</v>
      </c>
      <c r="B41" s="33">
        <v>188.31771850585901</v>
      </c>
      <c r="C41" s="33">
        <v>63.476905822753899</v>
      </c>
      <c r="D41" s="33">
        <v>71.202445983886705</v>
      </c>
      <c r="E41" s="33">
        <v>97.602821350097699</v>
      </c>
    </row>
    <row r="42" spans="1:5" ht="15" customHeight="1" x14ac:dyDescent="0.2">
      <c r="A42" s="32" t="s">
        <v>43</v>
      </c>
      <c r="B42" s="33">
        <v>185.60353088378901</v>
      </c>
      <c r="C42" s="33">
        <v>63.089225769042997</v>
      </c>
      <c r="D42" s="33">
        <v>70.795150756835895</v>
      </c>
      <c r="E42" s="33">
        <v>97.246696472167997</v>
      </c>
    </row>
    <row r="43" spans="1:5" ht="15" customHeight="1" x14ac:dyDescent="0.2">
      <c r="A43" s="32" t="s">
        <v>44</v>
      </c>
      <c r="B43" s="33">
        <v>182.66700744628901</v>
      </c>
      <c r="C43" s="33">
        <v>62.490882873535199</v>
      </c>
      <c r="D43" s="33">
        <v>69.988700866699205</v>
      </c>
      <c r="E43" s="33">
        <v>96.966873168945298</v>
      </c>
    </row>
    <row r="44" spans="1:5" ht="15" customHeight="1" x14ac:dyDescent="0.2">
      <c r="A44" s="32" t="s">
        <v>45</v>
      </c>
      <c r="B44" s="33">
        <v>185.96478271484401</v>
      </c>
      <c r="C44" s="33">
        <v>62.895401000976598</v>
      </c>
      <c r="D44" s="33">
        <v>70.754432678222699</v>
      </c>
      <c r="E44" s="33">
        <v>96.8990478515625</v>
      </c>
    </row>
    <row r="45" spans="1:5" ht="15" customHeight="1" x14ac:dyDescent="0.2">
      <c r="A45" s="32" t="s">
        <v>46</v>
      </c>
      <c r="B45" s="33">
        <v>185.05699157714801</v>
      </c>
      <c r="C45" s="33">
        <v>62.676280975341797</v>
      </c>
      <c r="D45" s="33">
        <v>71.365341186523395</v>
      </c>
      <c r="E45" s="33">
        <v>96.517517089843807</v>
      </c>
    </row>
    <row r="46" spans="1:5" ht="15" customHeight="1" x14ac:dyDescent="0.2">
      <c r="A46" s="32" t="s">
        <v>47</v>
      </c>
      <c r="B46" s="33">
        <v>187.92864990234401</v>
      </c>
      <c r="C46" s="33">
        <v>63.51904296875</v>
      </c>
      <c r="D46" s="33">
        <v>71.837814331054702</v>
      </c>
      <c r="E46" s="33">
        <v>96.882064819335895</v>
      </c>
    </row>
    <row r="47" spans="1:5" ht="15" customHeight="1" x14ac:dyDescent="0.2">
      <c r="A47" s="32" t="s">
        <v>48</v>
      </c>
      <c r="B47" s="33">
        <v>189.27188110351599</v>
      </c>
      <c r="C47" s="33">
        <v>63.788730621337898</v>
      </c>
      <c r="D47" s="33">
        <v>72.554641723632798</v>
      </c>
      <c r="E47" s="33">
        <v>97.043205261230497</v>
      </c>
    </row>
    <row r="48" spans="1:5" ht="15" customHeight="1" x14ac:dyDescent="0.2">
      <c r="A48" s="32" t="s">
        <v>49</v>
      </c>
      <c r="B48" s="33">
        <v>191.74522399902301</v>
      </c>
      <c r="C48" s="33">
        <v>64.125823974609403</v>
      </c>
      <c r="D48" s="33">
        <v>73.401824951171903</v>
      </c>
      <c r="E48" s="33">
        <v>97.034713745117202</v>
      </c>
    </row>
    <row r="49" spans="1:5" ht="15" customHeight="1" x14ac:dyDescent="0.2">
      <c r="A49" s="32" t="s">
        <v>50</v>
      </c>
      <c r="B49" s="33">
        <v>192.12503051757801</v>
      </c>
      <c r="C49" s="33">
        <v>64.285957336425795</v>
      </c>
      <c r="D49" s="33">
        <v>74.631843566894503</v>
      </c>
      <c r="E49" s="33">
        <v>96.483558654785199</v>
      </c>
    </row>
    <row r="50" spans="1:5" ht="15" customHeight="1" x14ac:dyDescent="0.2">
      <c r="A50" s="32" t="s">
        <v>51</v>
      </c>
      <c r="B50" s="33">
        <v>193.46826171875</v>
      </c>
      <c r="C50" s="33">
        <v>64.336524963378906</v>
      </c>
      <c r="D50" s="33">
        <v>75.739646911621094</v>
      </c>
      <c r="E50" s="33">
        <v>96.585342407226605</v>
      </c>
    </row>
    <row r="51" spans="1:5" ht="15" customHeight="1" x14ac:dyDescent="0.2">
      <c r="A51" s="32" t="s">
        <v>52</v>
      </c>
      <c r="B51" s="33">
        <v>192.69009399414099</v>
      </c>
      <c r="C51" s="33">
        <v>64.446083068847699</v>
      </c>
      <c r="D51" s="33">
        <v>75.430114746093807</v>
      </c>
      <c r="E51" s="33">
        <v>96.551429748535199</v>
      </c>
    </row>
    <row r="52" spans="1:5" ht="15" customHeight="1" x14ac:dyDescent="0.2">
      <c r="A52" s="32" t="s">
        <v>53</v>
      </c>
      <c r="B52" s="33">
        <v>193.42196655273401</v>
      </c>
      <c r="C52" s="33">
        <v>64.825325012207003</v>
      </c>
      <c r="D52" s="33">
        <v>75.495285034179702</v>
      </c>
      <c r="E52" s="33">
        <v>96.542961120605497</v>
      </c>
    </row>
    <row r="53" spans="1:5" ht="15" customHeight="1" x14ac:dyDescent="0.2">
      <c r="A53" s="32" t="s">
        <v>54</v>
      </c>
      <c r="B53" s="33">
        <v>189.90182495117199</v>
      </c>
      <c r="C53" s="33">
        <v>64.235404968261705</v>
      </c>
      <c r="D53" s="33">
        <v>74.729583740234403</v>
      </c>
      <c r="E53" s="33">
        <v>96.169845581054702</v>
      </c>
    </row>
    <row r="54" spans="1:5" ht="15" customHeight="1" x14ac:dyDescent="0.2">
      <c r="A54" s="32" t="s">
        <v>55</v>
      </c>
      <c r="B54" s="33">
        <v>190.142654418945</v>
      </c>
      <c r="C54" s="33">
        <v>64.412384033203097</v>
      </c>
      <c r="D54" s="33">
        <v>73.711341857910199</v>
      </c>
      <c r="E54" s="33">
        <v>96.246185302734403</v>
      </c>
    </row>
    <row r="55" spans="1:5" ht="15" customHeight="1" x14ac:dyDescent="0.2">
      <c r="A55" s="32" t="s">
        <v>56</v>
      </c>
      <c r="B55" s="33">
        <v>191.17091369628901</v>
      </c>
      <c r="C55" s="33">
        <v>64.471359252929702</v>
      </c>
      <c r="D55" s="33">
        <v>74.232673645019503</v>
      </c>
      <c r="E55" s="33">
        <v>96.432693481445298</v>
      </c>
    </row>
    <row r="56" spans="1:5" ht="15" customHeight="1" x14ac:dyDescent="0.2">
      <c r="A56" s="32" t="s">
        <v>57</v>
      </c>
      <c r="B56" s="33">
        <v>188.99398803710901</v>
      </c>
      <c r="C56" s="33">
        <v>63.578044891357401</v>
      </c>
      <c r="D56" s="33">
        <v>74.126808166503906</v>
      </c>
      <c r="E56" s="33">
        <v>96.678596496582102</v>
      </c>
    </row>
    <row r="57" spans="1:5" ht="15" customHeight="1" x14ac:dyDescent="0.2">
      <c r="A57" s="32" t="s">
        <v>58</v>
      </c>
      <c r="B57" s="33">
        <v>187.42842102050801</v>
      </c>
      <c r="C57" s="33">
        <v>63.2577934265137</v>
      </c>
      <c r="D57" s="33">
        <v>73.711341857910199</v>
      </c>
      <c r="E57" s="33">
        <v>96.797317504882798</v>
      </c>
    </row>
    <row r="58" spans="1:5" ht="15" customHeight="1" x14ac:dyDescent="0.2">
      <c r="A58" s="32" t="s">
        <v>59</v>
      </c>
      <c r="B58" s="33">
        <v>188.81517028808599</v>
      </c>
      <c r="C58" s="33">
        <v>63.729736328125</v>
      </c>
      <c r="D58" s="33">
        <v>74.461860656738295</v>
      </c>
      <c r="E58" s="33">
        <v>96.746429443359403</v>
      </c>
    </row>
    <row r="59" spans="1:5" ht="15" customHeight="1" x14ac:dyDescent="0.2">
      <c r="A59" s="32" t="s">
        <v>60</v>
      </c>
      <c r="B59" s="33">
        <v>191.90087890625</v>
      </c>
      <c r="C59" s="33">
        <v>64.555641174316406</v>
      </c>
      <c r="D59" s="33">
        <v>76.067771911621094</v>
      </c>
      <c r="E59" s="33">
        <v>96.585342407226605</v>
      </c>
    </row>
    <row r="60" spans="1:5" ht="15" customHeight="1" x14ac:dyDescent="0.2">
      <c r="A60" s="32" t="s">
        <v>61</v>
      </c>
      <c r="B60" s="33">
        <v>190.99932861328099</v>
      </c>
      <c r="C60" s="33">
        <v>64.302818298339801</v>
      </c>
      <c r="D60" s="33">
        <v>75.625343322753906</v>
      </c>
      <c r="E60" s="33">
        <v>96.424224853515597</v>
      </c>
    </row>
    <row r="61" spans="1:5" ht="15" customHeight="1" x14ac:dyDescent="0.2">
      <c r="A61" s="32" t="s">
        <v>62</v>
      </c>
      <c r="B61" s="33">
        <v>190.94357299804699</v>
      </c>
      <c r="C61" s="33">
        <v>64.218528747558594</v>
      </c>
      <c r="D61" s="33">
        <v>75.723670959472699</v>
      </c>
      <c r="E61" s="33">
        <v>96.500534057617202</v>
      </c>
    </row>
    <row r="62" spans="1:5" ht="15" customHeight="1" x14ac:dyDescent="0.2">
      <c r="A62" s="32" t="s">
        <v>63</v>
      </c>
      <c r="B62" s="33">
        <v>192.10534667968801</v>
      </c>
      <c r="C62" s="33">
        <v>63.940418243408203</v>
      </c>
      <c r="D62" s="33">
        <v>75.264839172363295</v>
      </c>
      <c r="E62" s="33">
        <v>96.517517089843807</v>
      </c>
    </row>
    <row r="63" spans="1:5" ht="15" customHeight="1" x14ac:dyDescent="0.2">
      <c r="A63" s="32" t="s">
        <v>64</v>
      </c>
      <c r="B63" s="33">
        <v>194.512619018555</v>
      </c>
      <c r="C63" s="33">
        <v>64.774765014648395</v>
      </c>
      <c r="D63" s="33">
        <v>76.633117675781307</v>
      </c>
      <c r="E63" s="33">
        <v>96.841880798339801</v>
      </c>
    </row>
    <row r="64" spans="1:5" ht="15" customHeight="1" x14ac:dyDescent="0.2">
      <c r="A64" s="32" t="s">
        <v>65</v>
      </c>
      <c r="B64" s="33">
        <v>196.78039550781301</v>
      </c>
      <c r="C64" s="33">
        <v>65.718658447265597</v>
      </c>
      <c r="D64" s="33">
        <v>76.928077697753906</v>
      </c>
      <c r="E64" s="33">
        <v>96.646583557128906</v>
      </c>
    </row>
    <row r="65" spans="1:5" ht="15" customHeight="1" x14ac:dyDescent="0.2">
      <c r="A65" s="32" t="s">
        <v>66</v>
      </c>
      <c r="B65" s="33">
        <v>196.85482788085901</v>
      </c>
      <c r="C65" s="33">
        <v>65.019172668457003</v>
      </c>
      <c r="D65" s="33">
        <v>77.124732971191406</v>
      </c>
      <c r="E65" s="33">
        <v>96.986244201660199</v>
      </c>
    </row>
    <row r="66" spans="1:5" ht="15" customHeight="1" x14ac:dyDescent="0.2">
      <c r="A66" s="32" t="s">
        <v>67</v>
      </c>
      <c r="B66" s="33">
        <v>196.6875</v>
      </c>
      <c r="C66" s="33">
        <v>65.154014587402301</v>
      </c>
      <c r="D66" s="33">
        <v>77.182060241699205</v>
      </c>
      <c r="E66" s="33">
        <v>96.833396911621094</v>
      </c>
    </row>
    <row r="67" spans="1:5" ht="15" customHeight="1" x14ac:dyDescent="0.2">
      <c r="A67" s="32" t="s">
        <v>68</v>
      </c>
      <c r="B67" s="33">
        <v>197.83070373535199</v>
      </c>
      <c r="C67" s="33">
        <v>65.524826049804702</v>
      </c>
      <c r="D67" s="33">
        <v>76.895309448242202</v>
      </c>
      <c r="E67" s="33">
        <v>97.071182250976605</v>
      </c>
    </row>
    <row r="68" spans="1:5" ht="15" customHeight="1" x14ac:dyDescent="0.2">
      <c r="A68" s="32" t="s">
        <v>69</v>
      </c>
      <c r="B68" s="33">
        <v>199.02966308593801</v>
      </c>
      <c r="C68" s="33">
        <v>65.727096557617202</v>
      </c>
      <c r="D68" s="33">
        <v>76.80517578125</v>
      </c>
      <c r="E68" s="33">
        <v>96.960784912109403</v>
      </c>
    </row>
    <row r="69" spans="1:5" ht="15" customHeight="1" x14ac:dyDescent="0.2">
      <c r="A69" s="32" t="s">
        <v>70</v>
      </c>
      <c r="B69" s="33">
        <v>199.08544921875</v>
      </c>
      <c r="C69" s="33">
        <v>65.364700317382798</v>
      </c>
      <c r="D69" s="33">
        <v>77.255821228027301</v>
      </c>
      <c r="E69" s="33">
        <v>96.935310363769503</v>
      </c>
    </row>
    <row r="70" spans="1:5" ht="15" customHeight="1" x14ac:dyDescent="0.2">
      <c r="A70" s="32" t="s">
        <v>71</v>
      </c>
      <c r="B70" s="33">
        <v>199.64309692382801</v>
      </c>
      <c r="C70" s="33">
        <v>65.743934631347699</v>
      </c>
      <c r="D70" s="33">
        <v>77.640907287597699</v>
      </c>
      <c r="E70" s="33">
        <v>97.215522766113295</v>
      </c>
    </row>
    <row r="71" spans="1:5" ht="15" customHeight="1" x14ac:dyDescent="0.2">
      <c r="A71" s="32" t="s">
        <v>72</v>
      </c>
      <c r="B71" s="33">
        <v>199.19699096679699</v>
      </c>
      <c r="C71" s="33">
        <v>65.794494628906307</v>
      </c>
      <c r="D71" s="33">
        <v>77.231239318847699</v>
      </c>
      <c r="E71" s="33">
        <v>97.139099121093807</v>
      </c>
    </row>
    <row r="72" spans="1:5" ht="15" customHeight="1" x14ac:dyDescent="0.2">
      <c r="A72" s="32" t="s">
        <v>73</v>
      </c>
      <c r="B72" s="33">
        <v>201.31611633300801</v>
      </c>
      <c r="C72" s="33">
        <v>66.342300415039105</v>
      </c>
      <c r="D72" s="33">
        <v>78.583190917968807</v>
      </c>
      <c r="E72" s="33">
        <v>97.521240234375</v>
      </c>
    </row>
    <row r="73" spans="1:5" ht="15" customHeight="1" x14ac:dyDescent="0.2">
      <c r="A73" s="32" t="s">
        <v>74</v>
      </c>
      <c r="B73" s="33">
        <v>201.82723999023401</v>
      </c>
      <c r="C73" s="33">
        <v>66.822677612304702</v>
      </c>
      <c r="D73" s="33">
        <v>78.755233764648395</v>
      </c>
      <c r="E73" s="33">
        <v>97.266464233398395</v>
      </c>
    </row>
    <row r="74" spans="1:5" ht="15" customHeight="1" x14ac:dyDescent="0.2">
      <c r="A74" s="32" t="s">
        <v>75</v>
      </c>
      <c r="B74" s="33">
        <v>200.50752258300801</v>
      </c>
      <c r="C74" s="33">
        <v>66.704689025878906</v>
      </c>
      <c r="D74" s="33">
        <v>78.910903930664105</v>
      </c>
      <c r="E74" s="33">
        <v>97.190078735351605</v>
      </c>
    </row>
    <row r="75" spans="1:5" ht="15" customHeight="1" x14ac:dyDescent="0.2">
      <c r="A75" s="32" t="s">
        <v>76</v>
      </c>
      <c r="B75" s="33">
        <v>198.66719055175801</v>
      </c>
      <c r="C75" s="33">
        <v>65.507965087890597</v>
      </c>
      <c r="D75" s="33">
        <v>79.558181762695298</v>
      </c>
      <c r="E75" s="33">
        <v>97.342872619628906</v>
      </c>
    </row>
    <row r="76" spans="1:5" ht="15" customHeight="1" x14ac:dyDescent="0.2">
      <c r="A76" s="32" t="s">
        <v>77</v>
      </c>
      <c r="B76" s="33">
        <v>201.03723144531301</v>
      </c>
      <c r="C76" s="33">
        <v>66.182174682617202</v>
      </c>
      <c r="D76" s="33">
        <v>80.082550048828097</v>
      </c>
      <c r="E76" s="33">
        <v>97.436347961425795</v>
      </c>
    </row>
    <row r="77" spans="1:5" ht="15" customHeight="1" x14ac:dyDescent="0.2">
      <c r="A77" s="32" t="s">
        <v>78</v>
      </c>
      <c r="B77" s="33">
        <v>199.46652221679699</v>
      </c>
      <c r="C77" s="33">
        <v>65.963050842285199</v>
      </c>
      <c r="D77" s="33">
        <v>79.6483154296875</v>
      </c>
      <c r="E77" s="33">
        <v>97.461769104003906</v>
      </c>
    </row>
    <row r="78" spans="1:5" ht="15" customHeight="1" x14ac:dyDescent="0.2">
      <c r="A78" s="32" t="s">
        <v>79</v>
      </c>
      <c r="B78" s="33">
        <v>201.88307189941401</v>
      </c>
      <c r="C78" s="33">
        <v>66.637268066406307</v>
      </c>
      <c r="D78" s="33">
        <v>80.115310668945298</v>
      </c>
      <c r="E78" s="33">
        <v>97.444816589355497</v>
      </c>
    </row>
    <row r="79" spans="1:5" ht="15" customHeight="1" x14ac:dyDescent="0.2">
      <c r="A79" s="32" t="s">
        <v>80</v>
      </c>
      <c r="B79" s="33">
        <v>202.61729431152301</v>
      </c>
      <c r="C79" s="33">
        <v>66.687835693359403</v>
      </c>
      <c r="D79" s="33">
        <v>80.352943420410199</v>
      </c>
      <c r="E79" s="33">
        <v>97.359909057617202</v>
      </c>
    </row>
    <row r="80" spans="1:5" ht="15" customHeight="1" x14ac:dyDescent="0.2">
      <c r="A80" s="32" t="s">
        <v>81</v>
      </c>
      <c r="B80" s="33">
        <v>202.52436828613301</v>
      </c>
      <c r="C80" s="33">
        <v>66.468727111816406</v>
      </c>
      <c r="D80" s="33">
        <v>80.344757080078097</v>
      </c>
      <c r="E80" s="33">
        <v>97.122123718261705</v>
      </c>
    </row>
    <row r="81" spans="1:5" ht="15" customHeight="1" x14ac:dyDescent="0.2">
      <c r="A81" s="32" t="s">
        <v>82</v>
      </c>
      <c r="B81" s="33">
        <v>202.49647521972699</v>
      </c>
      <c r="C81" s="33">
        <v>66.637268066406307</v>
      </c>
      <c r="D81" s="33">
        <v>80.172698974609403</v>
      </c>
      <c r="E81" s="33">
        <v>97.173034667968807</v>
      </c>
    </row>
    <row r="82" spans="1:5" ht="15" customHeight="1" x14ac:dyDescent="0.2">
      <c r="A82" s="32" t="s">
        <v>83</v>
      </c>
      <c r="B82" s="33">
        <v>203.26791381835901</v>
      </c>
      <c r="C82" s="33">
        <v>66.662544250488295</v>
      </c>
      <c r="D82" s="33">
        <v>80.860946655273395</v>
      </c>
      <c r="E82" s="33">
        <v>97.122123718261705</v>
      </c>
    </row>
    <row r="83" spans="1:5" ht="15" customHeight="1" x14ac:dyDescent="0.2">
      <c r="A83" s="32" t="s">
        <v>84</v>
      </c>
      <c r="B83" s="33">
        <v>201.78082275390599</v>
      </c>
      <c r="C83" s="33">
        <v>65.828224182128906</v>
      </c>
      <c r="D83" s="33">
        <v>81.180488586425795</v>
      </c>
      <c r="E83" s="33">
        <v>97.223991394042997</v>
      </c>
    </row>
    <row r="84" spans="1:5" ht="15" customHeight="1" x14ac:dyDescent="0.2">
      <c r="A84" s="32" t="s">
        <v>85</v>
      </c>
      <c r="B84" s="33">
        <v>202.13401794433599</v>
      </c>
      <c r="C84" s="33">
        <v>66.552993774414105</v>
      </c>
      <c r="D84" s="33">
        <v>81.024810791015597</v>
      </c>
      <c r="E84" s="33">
        <v>97.286109924316406</v>
      </c>
    </row>
    <row r="85" spans="1:5" ht="15" customHeight="1" x14ac:dyDescent="0.2">
      <c r="A85" s="32" t="s">
        <v>86</v>
      </c>
      <c r="B85" s="33">
        <v>200.61900329589801</v>
      </c>
      <c r="C85" s="33">
        <v>65.566963195800795</v>
      </c>
      <c r="D85" s="33">
        <v>80.500434875488295</v>
      </c>
      <c r="E85" s="33">
        <v>97.405166625976605</v>
      </c>
    </row>
    <row r="86" spans="1:5" ht="15" customHeight="1" x14ac:dyDescent="0.2">
      <c r="A86" s="32" t="s">
        <v>87</v>
      </c>
      <c r="B86" s="33">
        <v>200.58184814453099</v>
      </c>
      <c r="C86" s="33">
        <v>66.460304260253906</v>
      </c>
      <c r="D86" s="33">
        <v>79.164894104003906</v>
      </c>
      <c r="E86" s="33">
        <v>97.481719970703097</v>
      </c>
    </row>
    <row r="87" spans="1:5" ht="15" customHeight="1" x14ac:dyDescent="0.2">
      <c r="A87" s="32" t="s">
        <v>88</v>
      </c>
      <c r="B87" s="33">
        <v>201.60420227050801</v>
      </c>
      <c r="C87" s="33">
        <v>67.008094787597699</v>
      </c>
      <c r="D87" s="33">
        <v>79.607353210449205</v>
      </c>
      <c r="E87" s="33">
        <v>97.498725891113295</v>
      </c>
    </row>
    <row r="88" spans="1:5" ht="15" customHeight="1" x14ac:dyDescent="0.2">
      <c r="A88" s="32" t="s">
        <v>89</v>
      </c>
      <c r="B88" s="33">
        <v>203.314376831055</v>
      </c>
      <c r="C88" s="33">
        <v>67.766563415527301</v>
      </c>
      <c r="D88" s="33">
        <v>80.656105041503906</v>
      </c>
      <c r="E88" s="33">
        <v>97.473182678222699</v>
      </c>
    </row>
    <row r="89" spans="1:5" ht="15" customHeight="1" x14ac:dyDescent="0.2">
      <c r="A89" s="32" t="s">
        <v>90</v>
      </c>
      <c r="B89" s="33">
        <v>200.92572021484401</v>
      </c>
      <c r="C89" s="33">
        <v>67.404182434082003</v>
      </c>
      <c r="D89" s="33">
        <v>80.631530761718807</v>
      </c>
      <c r="E89" s="33">
        <v>97.320137023925795</v>
      </c>
    </row>
    <row r="90" spans="1:5" ht="15" customHeight="1" x14ac:dyDescent="0.2">
      <c r="A90" s="32" t="s">
        <v>91</v>
      </c>
      <c r="B90" s="33">
        <v>199.308517456055</v>
      </c>
      <c r="C90" s="33">
        <v>66.519287109375</v>
      </c>
      <c r="D90" s="33">
        <v>79.615524291992202</v>
      </c>
      <c r="E90" s="33">
        <v>97.107505798339801</v>
      </c>
    </row>
    <row r="91" spans="1:5" ht="15" customHeight="1" x14ac:dyDescent="0.2">
      <c r="A91" s="32" t="s">
        <v>92</v>
      </c>
      <c r="B91" s="33">
        <v>194.8193359375</v>
      </c>
      <c r="C91" s="33">
        <v>65.4573974609375</v>
      </c>
      <c r="D91" s="33">
        <v>77.599929809570298</v>
      </c>
      <c r="E91" s="33">
        <v>96.767303466796903</v>
      </c>
    </row>
    <row r="92" spans="1:5" ht="15" customHeight="1" x14ac:dyDescent="0.2">
      <c r="A92" s="32" t="s">
        <v>93</v>
      </c>
      <c r="B92" s="33">
        <v>196.96633911132801</v>
      </c>
      <c r="C92" s="33">
        <v>65.946205139160199</v>
      </c>
      <c r="D92" s="33">
        <v>78.607727050781307</v>
      </c>
      <c r="E92" s="33">
        <v>96.988441467285199</v>
      </c>
    </row>
    <row r="93" spans="1:5" ht="15" customHeight="1" x14ac:dyDescent="0.2">
      <c r="A93" s="32" t="s">
        <v>94</v>
      </c>
      <c r="B93" s="33">
        <v>200.33090209960901</v>
      </c>
      <c r="C93" s="33">
        <v>67.050224304199205</v>
      </c>
      <c r="D93" s="33">
        <v>79.541793823242202</v>
      </c>
      <c r="E93" s="33">
        <v>97.209564208984403</v>
      </c>
    </row>
    <row r="94" spans="1:5" ht="15" customHeight="1" x14ac:dyDescent="0.2">
      <c r="A94" s="32" t="s">
        <v>95</v>
      </c>
      <c r="B94" s="33">
        <v>199.90333557128901</v>
      </c>
      <c r="C94" s="33">
        <v>66.923805236816406</v>
      </c>
      <c r="D94" s="33">
        <v>79.623718261718807</v>
      </c>
      <c r="E94" s="33">
        <v>97.124526977539105</v>
      </c>
    </row>
    <row r="95" spans="1:5" ht="15" customHeight="1" x14ac:dyDescent="0.2">
      <c r="A95" s="32" t="s">
        <v>96</v>
      </c>
      <c r="B95" s="33">
        <v>198.34188842773401</v>
      </c>
      <c r="C95" s="33">
        <v>67.067070007324205</v>
      </c>
      <c r="D95" s="33">
        <v>79.640106201171903</v>
      </c>
      <c r="E95" s="33">
        <v>97.005447387695298</v>
      </c>
    </row>
    <row r="96" spans="1:5" ht="15" customHeight="1" x14ac:dyDescent="0.2">
      <c r="A96" s="32" t="s">
        <v>97</v>
      </c>
      <c r="B96" s="33">
        <v>197.765625</v>
      </c>
      <c r="C96" s="33">
        <v>66.477134704589801</v>
      </c>
      <c r="D96" s="33">
        <v>79.386116027832003</v>
      </c>
      <c r="E96" s="33">
        <v>96.869377136230497</v>
      </c>
    </row>
    <row r="97" spans="1:5" ht="15" customHeight="1" x14ac:dyDescent="0.2">
      <c r="A97" s="32" t="s">
        <v>98</v>
      </c>
      <c r="B97" s="33">
        <v>199.91268920898401</v>
      </c>
      <c r="C97" s="33">
        <v>67.353622436523395</v>
      </c>
      <c r="D97" s="33">
        <v>80.279197692871094</v>
      </c>
      <c r="E97" s="33">
        <v>97.201034545898395</v>
      </c>
    </row>
    <row r="98" spans="1:5" ht="15" customHeight="1" x14ac:dyDescent="0.2">
      <c r="A98" s="32" t="s">
        <v>99</v>
      </c>
      <c r="B98" s="33">
        <v>199.80113220214801</v>
      </c>
      <c r="C98" s="33">
        <v>67.446311950683594</v>
      </c>
      <c r="D98" s="33">
        <v>80.197265625</v>
      </c>
      <c r="E98" s="33">
        <v>97.243598937988295</v>
      </c>
    </row>
    <row r="99" spans="1:5" ht="15" customHeight="1" x14ac:dyDescent="0.2">
      <c r="A99" s="32" t="s">
        <v>100</v>
      </c>
      <c r="B99" s="33">
        <v>201.81796264648401</v>
      </c>
      <c r="C99" s="33">
        <v>67.859268188476605</v>
      </c>
      <c r="D99" s="33">
        <v>81.196853637695298</v>
      </c>
      <c r="E99" s="33">
        <v>97.337142944335895</v>
      </c>
    </row>
    <row r="100" spans="1:5" ht="15" customHeight="1" x14ac:dyDescent="0.2">
      <c r="A100" s="32" t="s">
        <v>101</v>
      </c>
      <c r="B100" s="33">
        <v>201.26029968261699</v>
      </c>
      <c r="C100" s="33">
        <v>67.876121520996094</v>
      </c>
      <c r="D100" s="33">
        <v>81.172286987304702</v>
      </c>
      <c r="E100" s="33">
        <v>97.575294494628906</v>
      </c>
    </row>
    <row r="101" spans="1:5" ht="15" customHeight="1" x14ac:dyDescent="0.2">
      <c r="A101" s="32" t="s">
        <v>102</v>
      </c>
      <c r="B101" s="33">
        <v>201.98530578613301</v>
      </c>
      <c r="C101" s="33">
        <v>67.833984375</v>
      </c>
      <c r="D101" s="33">
        <v>81.532798767089801</v>
      </c>
      <c r="E101" s="33">
        <v>97.541267395019503</v>
      </c>
    </row>
    <row r="102" spans="1:5" ht="15" customHeight="1" x14ac:dyDescent="0.2">
      <c r="A102" s="32" t="s">
        <v>103</v>
      </c>
      <c r="B102" s="33">
        <v>202.35704040527301</v>
      </c>
      <c r="C102" s="33">
        <v>67.960411071777301</v>
      </c>
      <c r="D102" s="33">
        <v>81.344345092773395</v>
      </c>
      <c r="E102" s="33">
        <v>97.422172546386705</v>
      </c>
    </row>
    <row r="103" spans="1:5" ht="15" customHeight="1" x14ac:dyDescent="0.2">
      <c r="A103" s="32" t="s">
        <v>104</v>
      </c>
      <c r="B103" s="33">
        <v>202.70097351074199</v>
      </c>
      <c r="C103" s="33">
        <v>68.120536804199205</v>
      </c>
      <c r="D103" s="33">
        <v>81.835945129394503</v>
      </c>
      <c r="E103" s="33">
        <v>97.422172546386705</v>
      </c>
    </row>
    <row r="104" spans="1:5" ht="15" customHeight="1" x14ac:dyDescent="0.2">
      <c r="A104" s="32" t="s">
        <v>105</v>
      </c>
      <c r="B104" s="33">
        <v>202.784591674805</v>
      </c>
      <c r="C104" s="33">
        <v>68.364936828613295</v>
      </c>
      <c r="D104" s="33">
        <v>83.310783386230497</v>
      </c>
      <c r="E104" s="33">
        <v>97.377021789550795</v>
      </c>
    </row>
    <row r="105" spans="1:5" ht="15" customHeight="1" x14ac:dyDescent="0.2">
      <c r="A105" s="32" t="s">
        <v>106</v>
      </c>
      <c r="B105" s="33">
        <v>203.05413818359401</v>
      </c>
      <c r="C105" s="33">
        <v>68.592468261718807</v>
      </c>
      <c r="D105" s="33">
        <v>84.285774230957003</v>
      </c>
      <c r="E105" s="33">
        <v>97.504814147949205</v>
      </c>
    </row>
    <row r="106" spans="1:5" ht="15" customHeight="1" x14ac:dyDescent="0.2">
      <c r="A106" s="32" t="s">
        <v>107</v>
      </c>
      <c r="B106" s="33">
        <v>202.152587890625</v>
      </c>
      <c r="C106" s="33">
        <v>68.25537109375</v>
      </c>
      <c r="D106" s="33">
        <v>83.974426269531307</v>
      </c>
      <c r="E106" s="33">
        <v>97.274833679199205</v>
      </c>
    </row>
    <row r="107" spans="1:5" ht="15" customHeight="1" x14ac:dyDescent="0.2">
      <c r="A107" s="32" t="s">
        <v>108</v>
      </c>
      <c r="B107" s="33">
        <v>203.90924072265599</v>
      </c>
      <c r="C107" s="33">
        <v>68.836883544921903</v>
      </c>
      <c r="D107" s="33">
        <v>84.015403747558594</v>
      </c>
      <c r="E107" s="33">
        <v>97.675155639648395</v>
      </c>
    </row>
    <row r="108" spans="1:5" ht="15" customHeight="1" x14ac:dyDescent="0.2">
      <c r="A108" s="32" t="s">
        <v>109</v>
      </c>
      <c r="B108" s="33">
        <v>204.07653808593801</v>
      </c>
      <c r="C108" s="33">
        <v>69.064422607421903</v>
      </c>
      <c r="D108" s="33">
        <v>85.006790161132798</v>
      </c>
      <c r="E108" s="33">
        <v>97.606986999511705</v>
      </c>
    </row>
    <row r="109" spans="1:5" ht="15" customHeight="1" x14ac:dyDescent="0.2">
      <c r="A109" s="32" t="s">
        <v>110</v>
      </c>
      <c r="B109" s="33">
        <v>204.49475097656301</v>
      </c>
      <c r="C109" s="33">
        <v>69.030708312988295</v>
      </c>
      <c r="D109" s="33">
        <v>85.711441040039105</v>
      </c>
      <c r="E109" s="33">
        <v>97.785850524902301</v>
      </c>
    </row>
    <row r="110" spans="1:5" ht="15" customHeight="1" x14ac:dyDescent="0.2">
      <c r="A110" s="32" t="s">
        <v>111</v>
      </c>
      <c r="B110" s="33">
        <v>203.91851806640599</v>
      </c>
      <c r="C110" s="33">
        <v>68.845306396484403</v>
      </c>
      <c r="D110" s="33">
        <v>85.826148986816406</v>
      </c>
      <c r="E110" s="33">
        <v>97.981773376464801</v>
      </c>
    </row>
    <row r="111" spans="1:5" ht="15" customHeight="1" x14ac:dyDescent="0.2">
      <c r="A111" s="32" t="s">
        <v>112</v>
      </c>
      <c r="B111" s="33">
        <v>204.82003784179699</v>
      </c>
      <c r="C111" s="33">
        <v>69.034965515136705</v>
      </c>
      <c r="D111" s="33">
        <v>86.440658569335895</v>
      </c>
      <c r="E111" s="33">
        <v>98.186210632324205</v>
      </c>
    </row>
    <row r="112" spans="1:5" ht="15" customHeight="1" x14ac:dyDescent="0.2">
      <c r="A112" s="32" t="s">
        <v>113</v>
      </c>
      <c r="B112" s="33">
        <v>205.42420959472699</v>
      </c>
      <c r="C112" s="33">
        <v>69.197273254394503</v>
      </c>
      <c r="D112" s="33">
        <v>86.096534729003906</v>
      </c>
      <c r="E112" s="33">
        <v>98.143585205078097</v>
      </c>
    </row>
    <row r="113" spans="1:5" ht="15" customHeight="1" x14ac:dyDescent="0.2">
      <c r="A113" s="32" t="s">
        <v>114</v>
      </c>
      <c r="B113" s="33">
        <v>205.74021911621099</v>
      </c>
      <c r="C113" s="33">
        <v>69.316886901855497</v>
      </c>
      <c r="D113" s="33">
        <v>86.432441711425795</v>
      </c>
      <c r="E113" s="33">
        <v>97.896591186523395</v>
      </c>
    </row>
    <row r="114" spans="1:5" ht="15" customHeight="1" x14ac:dyDescent="0.2">
      <c r="A114" s="32" t="s">
        <v>115</v>
      </c>
      <c r="B114" s="33">
        <v>205.201171875</v>
      </c>
      <c r="C114" s="33">
        <v>69.402297973632798</v>
      </c>
      <c r="D114" s="33">
        <v>85.506599426269503</v>
      </c>
      <c r="E114" s="33">
        <v>97.939186096191406</v>
      </c>
    </row>
    <row r="115" spans="1:5" ht="15" customHeight="1" x14ac:dyDescent="0.2">
      <c r="A115" s="32" t="s">
        <v>116</v>
      </c>
      <c r="B115" s="33">
        <v>204.17875671386699</v>
      </c>
      <c r="C115" s="33">
        <v>68.975151062011705</v>
      </c>
      <c r="D115" s="33">
        <v>84.949462890625</v>
      </c>
      <c r="E115" s="33">
        <v>97.624046325683594</v>
      </c>
    </row>
    <row r="116" spans="1:5" ht="15" customHeight="1" x14ac:dyDescent="0.2">
      <c r="A116" s="32" t="s">
        <v>117</v>
      </c>
      <c r="B116" s="33">
        <v>203.98358154296901</v>
      </c>
      <c r="C116" s="33">
        <v>68.496757507324205</v>
      </c>
      <c r="D116" s="33">
        <v>84.842926025390597</v>
      </c>
      <c r="E116" s="33">
        <v>97.930656433105497</v>
      </c>
    </row>
    <row r="117" spans="1:5" ht="15" customHeight="1" x14ac:dyDescent="0.2">
      <c r="A117" s="32" t="s">
        <v>118</v>
      </c>
      <c r="B117" s="33">
        <v>201.45552062988301</v>
      </c>
      <c r="C117" s="33">
        <v>67.078643798828097</v>
      </c>
      <c r="D117" s="33">
        <v>83.400886535644503</v>
      </c>
      <c r="E117" s="33">
        <v>98.194686889648395</v>
      </c>
    </row>
    <row r="118" spans="1:5" ht="15" customHeight="1" x14ac:dyDescent="0.2">
      <c r="A118" s="32" t="s">
        <v>119</v>
      </c>
      <c r="B118" s="33">
        <v>204.23455810546901</v>
      </c>
      <c r="C118" s="33">
        <v>67.958557128906307</v>
      </c>
      <c r="D118" s="33">
        <v>85.121520996093807</v>
      </c>
      <c r="E118" s="33">
        <v>97.939186096191406</v>
      </c>
    </row>
    <row r="119" spans="1:5" ht="15" customHeight="1" x14ac:dyDescent="0.2">
      <c r="A119" s="32" t="s">
        <v>120</v>
      </c>
      <c r="B119" s="33">
        <v>205.39631652832</v>
      </c>
      <c r="C119" s="33">
        <v>67.967102050781307</v>
      </c>
      <c r="D119" s="33">
        <v>84.679054260253906</v>
      </c>
      <c r="E119" s="33">
        <v>98.041358947753906</v>
      </c>
    </row>
    <row r="120" spans="1:5" ht="15" customHeight="1" x14ac:dyDescent="0.2">
      <c r="A120" s="32" t="s">
        <v>121</v>
      </c>
      <c r="B120" s="33">
        <v>205.31269836425801</v>
      </c>
      <c r="C120" s="33">
        <v>67.531417846679702</v>
      </c>
      <c r="D120" s="33">
        <v>84.531593322753906</v>
      </c>
      <c r="E120" s="33">
        <v>97.990264892578097</v>
      </c>
    </row>
    <row r="121" spans="1:5" ht="15" customHeight="1" x14ac:dyDescent="0.2">
      <c r="A121" s="32" t="s">
        <v>122</v>
      </c>
      <c r="B121" s="33">
        <v>206.70645141601599</v>
      </c>
      <c r="C121" s="33">
        <v>68.180656433105497</v>
      </c>
      <c r="D121" s="33">
        <v>84.349220275878906</v>
      </c>
      <c r="E121" s="33">
        <v>98.024337768554702</v>
      </c>
    </row>
    <row r="122" spans="1:5" ht="15" customHeight="1" x14ac:dyDescent="0.2">
      <c r="A122" s="32" t="s">
        <v>123</v>
      </c>
      <c r="B122" s="33">
        <v>207.48023986816401</v>
      </c>
      <c r="C122" s="33">
        <v>68.325897216796903</v>
      </c>
      <c r="D122" s="33">
        <v>84.918594360351605</v>
      </c>
      <c r="E122" s="33">
        <v>97.828445434570298</v>
      </c>
    </row>
    <row r="123" spans="1:5" ht="15" customHeight="1" x14ac:dyDescent="0.2">
      <c r="A123" s="32" t="s">
        <v>124</v>
      </c>
      <c r="B123" s="33">
        <v>207.713302612305</v>
      </c>
      <c r="C123" s="33">
        <v>67.890220642089801</v>
      </c>
      <c r="D123" s="33">
        <v>84.671058654785199</v>
      </c>
      <c r="E123" s="33">
        <v>98.1094970703125</v>
      </c>
    </row>
    <row r="124" spans="1:5" ht="15" customHeight="1" x14ac:dyDescent="0.2">
      <c r="A124" s="32" t="s">
        <v>125</v>
      </c>
      <c r="B124" s="33">
        <v>207.72262573242199</v>
      </c>
      <c r="C124" s="33">
        <v>67.907295227050795</v>
      </c>
      <c r="D124" s="33">
        <v>84.439994812011705</v>
      </c>
      <c r="E124" s="33">
        <v>98.160614013671903</v>
      </c>
    </row>
    <row r="125" spans="1:5" ht="15" customHeight="1" x14ac:dyDescent="0.2">
      <c r="A125" s="32" t="s">
        <v>126</v>
      </c>
      <c r="B125" s="33">
        <v>207.73194885253901</v>
      </c>
      <c r="C125" s="33">
        <v>67.386177062988295</v>
      </c>
      <c r="D125" s="33">
        <v>83.994400024414105</v>
      </c>
      <c r="E125" s="33">
        <v>98.228744506835895</v>
      </c>
    </row>
    <row r="126" spans="1:5" ht="15" customHeight="1" x14ac:dyDescent="0.2">
      <c r="A126" s="32" t="s">
        <v>127</v>
      </c>
      <c r="B126" s="33">
        <v>208.86004638671901</v>
      </c>
      <c r="C126" s="33">
        <v>67.548492431640597</v>
      </c>
      <c r="D126" s="33">
        <v>84.357482910156307</v>
      </c>
      <c r="E126" s="33">
        <v>98.174148559570298</v>
      </c>
    </row>
    <row r="127" spans="1:5" ht="15" customHeight="1" x14ac:dyDescent="0.2">
      <c r="A127" s="32" t="s">
        <v>128</v>
      </c>
      <c r="B127" s="33">
        <v>210.01605224609401</v>
      </c>
      <c r="C127" s="33">
        <v>67.779159545898395</v>
      </c>
      <c r="D127" s="33">
        <v>84.613288879394503</v>
      </c>
      <c r="E127" s="33">
        <v>98.387390136718807</v>
      </c>
    </row>
    <row r="128" spans="1:5" ht="15" customHeight="1" x14ac:dyDescent="0.2">
      <c r="A128" s="32" t="s">
        <v>129</v>
      </c>
      <c r="B128" s="33">
        <v>209.55924987793</v>
      </c>
      <c r="C128" s="33">
        <v>67.334930419921903</v>
      </c>
      <c r="D128" s="33">
        <v>85.232154846191406</v>
      </c>
      <c r="E128" s="33">
        <v>98.702941894531193</v>
      </c>
    </row>
    <row r="129" spans="1:5" ht="15" customHeight="1" x14ac:dyDescent="0.2">
      <c r="A129" s="32" t="s">
        <v>130</v>
      </c>
      <c r="B129" s="33">
        <v>209.83895874023401</v>
      </c>
      <c r="C129" s="33">
        <v>67.702278137207003</v>
      </c>
      <c r="D129" s="33">
        <v>85.529220581054702</v>
      </c>
      <c r="E129" s="33">
        <v>98.87353515625</v>
      </c>
    </row>
    <row r="130" spans="1:5" ht="15" customHeight="1" x14ac:dyDescent="0.2">
      <c r="A130" s="32" t="s">
        <v>131</v>
      </c>
      <c r="B130" s="33">
        <v>208.06759643554699</v>
      </c>
      <c r="C130" s="33">
        <v>66.830902099609403</v>
      </c>
      <c r="D130" s="33">
        <v>85.2899169921875</v>
      </c>
      <c r="E130" s="33">
        <v>98.984382629394503</v>
      </c>
    </row>
    <row r="131" spans="1:5" ht="15" customHeight="1" x14ac:dyDescent="0.2">
      <c r="A131" s="32" t="s">
        <v>132</v>
      </c>
      <c r="B131" s="33">
        <v>210.58476257324199</v>
      </c>
      <c r="C131" s="33">
        <v>67.967102050781307</v>
      </c>
      <c r="D131" s="33">
        <v>86.692703247070298</v>
      </c>
      <c r="E131" s="33">
        <v>98.660316467285199</v>
      </c>
    </row>
    <row r="132" spans="1:5" ht="15" customHeight="1" x14ac:dyDescent="0.2">
      <c r="A132" s="32" t="s">
        <v>133</v>
      </c>
      <c r="B132" s="33">
        <v>211.17208862304699</v>
      </c>
      <c r="C132" s="33">
        <v>68.257545471191406</v>
      </c>
      <c r="D132" s="33">
        <v>87.435356140136705</v>
      </c>
      <c r="E132" s="33">
        <v>98.600631713867202</v>
      </c>
    </row>
    <row r="133" spans="1:5" ht="15" customHeight="1" x14ac:dyDescent="0.2">
      <c r="A133" s="32" t="s">
        <v>134</v>
      </c>
      <c r="B133" s="33">
        <v>209.99740600585901</v>
      </c>
      <c r="C133" s="33">
        <v>67.898765563964801</v>
      </c>
      <c r="D133" s="33">
        <v>86.214126586914105</v>
      </c>
      <c r="E133" s="33">
        <v>98.387390136718807</v>
      </c>
    </row>
    <row r="134" spans="1:5" ht="15" customHeight="1" x14ac:dyDescent="0.2">
      <c r="A134" s="32" t="s">
        <v>135</v>
      </c>
      <c r="B134" s="33">
        <v>209.70840454101599</v>
      </c>
      <c r="C134" s="33">
        <v>68.052520751953097</v>
      </c>
      <c r="D134" s="33">
        <v>86.816497802734403</v>
      </c>
      <c r="E134" s="33">
        <v>98.720008850097699</v>
      </c>
    </row>
    <row r="135" spans="1:5" ht="15" customHeight="1" x14ac:dyDescent="0.2">
      <c r="A135" s="32" t="s">
        <v>136</v>
      </c>
      <c r="B135" s="33">
        <v>208.97193908691401</v>
      </c>
      <c r="C135" s="33">
        <v>67.403274536132798</v>
      </c>
      <c r="D135" s="33">
        <v>86.956756591796903</v>
      </c>
      <c r="E135" s="33">
        <v>98.933219909667997</v>
      </c>
    </row>
    <row r="136" spans="1:5" ht="15" customHeight="1" x14ac:dyDescent="0.2">
      <c r="A136" s="32" t="s">
        <v>137</v>
      </c>
      <c r="B136" s="33">
        <v>207.33108520507801</v>
      </c>
      <c r="C136" s="33">
        <v>66.907791137695298</v>
      </c>
      <c r="D136" s="33">
        <v>86.899002075195298</v>
      </c>
      <c r="E136" s="33">
        <v>98.847969055175795</v>
      </c>
    </row>
    <row r="137" spans="1:5" ht="15" customHeight="1" x14ac:dyDescent="0.2">
      <c r="A137" s="32" t="s">
        <v>138</v>
      </c>
      <c r="B137" s="33">
        <v>204.38505554199199</v>
      </c>
      <c r="C137" s="33">
        <v>65.694694519042997</v>
      </c>
      <c r="D137" s="33">
        <v>85.314674377441406</v>
      </c>
      <c r="E137" s="33">
        <v>99.368225097656193</v>
      </c>
    </row>
    <row r="138" spans="1:5" ht="15" customHeight="1" x14ac:dyDescent="0.2">
      <c r="A138" s="32" t="s">
        <v>139</v>
      </c>
      <c r="B138" s="33">
        <v>207.91842651367199</v>
      </c>
      <c r="C138" s="33">
        <v>66.173088073730497</v>
      </c>
      <c r="D138" s="33">
        <v>87.328102111816406</v>
      </c>
      <c r="E138" s="33">
        <v>99.274368286132798</v>
      </c>
    </row>
    <row r="139" spans="1:5" ht="15" customHeight="1" x14ac:dyDescent="0.2">
      <c r="A139" s="32" t="s">
        <v>140</v>
      </c>
      <c r="B139" s="33">
        <v>209.78298950195301</v>
      </c>
      <c r="C139" s="33">
        <v>67.18115234375</v>
      </c>
      <c r="D139" s="33">
        <v>87.319847106933594</v>
      </c>
      <c r="E139" s="33">
        <v>98.950263977050795</v>
      </c>
    </row>
    <row r="140" spans="1:5" ht="15" customHeight="1" x14ac:dyDescent="0.2">
      <c r="A140" s="32" t="s">
        <v>141</v>
      </c>
      <c r="B140" s="33">
        <v>209.96012878418</v>
      </c>
      <c r="C140" s="33">
        <v>67.206779479980497</v>
      </c>
      <c r="D140" s="33">
        <v>86.626701354980497</v>
      </c>
      <c r="E140" s="33">
        <v>99.180564880371094</v>
      </c>
    </row>
    <row r="141" spans="1:5" ht="15" customHeight="1" x14ac:dyDescent="0.2">
      <c r="A141" s="32" t="s">
        <v>142</v>
      </c>
      <c r="B141" s="33">
        <v>212.05776977539099</v>
      </c>
      <c r="C141" s="33">
        <v>67.676643371582003</v>
      </c>
      <c r="D141" s="33">
        <v>87.3446044921875</v>
      </c>
      <c r="E141" s="33">
        <v>99.112342834472699</v>
      </c>
    </row>
    <row r="142" spans="1:5" ht="15" customHeight="1" x14ac:dyDescent="0.2">
      <c r="A142" s="32" t="s">
        <v>143</v>
      </c>
      <c r="B142" s="33">
        <v>212.48661804199199</v>
      </c>
      <c r="C142" s="33">
        <v>67.770599365234403</v>
      </c>
      <c r="D142" s="33">
        <v>87.3858642578125</v>
      </c>
      <c r="E142" s="33">
        <v>99.027061462402301</v>
      </c>
    </row>
    <row r="143" spans="1:5" ht="15" customHeight="1" x14ac:dyDescent="0.2">
      <c r="A143" s="32" t="s">
        <v>144</v>
      </c>
      <c r="B143" s="33">
        <v>211.33990478515599</v>
      </c>
      <c r="C143" s="33">
        <v>67.497238159179702</v>
      </c>
      <c r="D143" s="33">
        <v>87.880958557128906</v>
      </c>
      <c r="E143" s="33">
        <v>99.257339477539105</v>
      </c>
    </row>
    <row r="144" spans="1:5" ht="15" customHeight="1" x14ac:dyDescent="0.2">
      <c r="A144" s="32" t="s">
        <v>145</v>
      </c>
      <c r="B144" s="33">
        <v>211.66618347168</v>
      </c>
      <c r="C144" s="33">
        <v>67.787689208984403</v>
      </c>
      <c r="D144" s="33">
        <v>87.575637817382798</v>
      </c>
      <c r="E144" s="33">
        <v>99.351142883300795</v>
      </c>
    </row>
    <row r="145" spans="1:5" ht="15" customHeight="1" x14ac:dyDescent="0.2">
      <c r="A145" s="32" t="s">
        <v>146</v>
      </c>
      <c r="B145" s="33">
        <v>212.59851074218801</v>
      </c>
      <c r="C145" s="33">
        <v>68.257545471191406</v>
      </c>
      <c r="D145" s="33">
        <v>87.5921630859375</v>
      </c>
      <c r="E145" s="33">
        <v>99.1890869140625</v>
      </c>
    </row>
    <row r="146" spans="1:5" ht="15" customHeight="1" x14ac:dyDescent="0.2">
      <c r="A146" s="32" t="s">
        <v>147</v>
      </c>
      <c r="B146" s="33">
        <v>211.33990478515599</v>
      </c>
      <c r="C146" s="33">
        <v>67.907295227050795</v>
      </c>
      <c r="D146" s="33">
        <v>87.707687377929702</v>
      </c>
      <c r="E146" s="33">
        <v>99.325546264648395</v>
      </c>
    </row>
    <row r="147" spans="1:5" ht="15" customHeight="1" x14ac:dyDescent="0.2">
      <c r="A147" s="32" t="s">
        <v>148</v>
      </c>
      <c r="B147" s="33">
        <v>211.04154968261699</v>
      </c>
      <c r="C147" s="33">
        <v>68.2490234375</v>
      </c>
      <c r="D147" s="33">
        <v>87.517883300781307</v>
      </c>
      <c r="E147" s="33">
        <v>99.536514282226605</v>
      </c>
    </row>
    <row r="148" spans="1:5" ht="15" customHeight="1" x14ac:dyDescent="0.2">
      <c r="A148" s="32" t="s">
        <v>149</v>
      </c>
      <c r="B148" s="33">
        <v>212.55186462402301</v>
      </c>
      <c r="C148" s="33">
        <v>68.7359619140625</v>
      </c>
      <c r="D148" s="33">
        <v>87.625175476074205</v>
      </c>
      <c r="E148" s="33">
        <v>99.5706787109375</v>
      </c>
    </row>
    <row r="149" spans="1:5" ht="15" customHeight="1" x14ac:dyDescent="0.2">
      <c r="A149" s="32" t="s">
        <v>150</v>
      </c>
      <c r="B149" s="33">
        <v>211.60093688964801</v>
      </c>
      <c r="C149" s="33">
        <v>68.530921936035199</v>
      </c>
      <c r="D149" s="33">
        <v>87.352851867675795</v>
      </c>
      <c r="E149" s="33">
        <v>99.562118530273395</v>
      </c>
    </row>
    <row r="150" spans="1:5" ht="15" customHeight="1" x14ac:dyDescent="0.2">
      <c r="A150" s="32" t="s">
        <v>151</v>
      </c>
      <c r="B150" s="33">
        <v>213.111251831055</v>
      </c>
      <c r="C150" s="33">
        <v>68.864105224609403</v>
      </c>
      <c r="D150" s="33">
        <v>88.376075744628906</v>
      </c>
      <c r="E150" s="33">
        <v>99.340065002441406</v>
      </c>
    </row>
    <row r="151" spans="1:5" ht="15" customHeight="1" x14ac:dyDescent="0.2">
      <c r="A151" s="32" t="s">
        <v>152</v>
      </c>
      <c r="B151" s="33">
        <v>213.37228393554699</v>
      </c>
      <c r="C151" s="33">
        <v>68.607818603515597</v>
      </c>
      <c r="D151" s="33">
        <v>88.219284057617202</v>
      </c>
      <c r="E151" s="33">
        <v>98.895927429199205</v>
      </c>
    </row>
    <row r="152" spans="1:5" ht="15" customHeight="1" x14ac:dyDescent="0.2">
      <c r="A152" s="32" t="s">
        <v>153</v>
      </c>
      <c r="B152" s="33">
        <v>213.28839111328099</v>
      </c>
      <c r="C152" s="33">
        <v>68.573654174804702</v>
      </c>
      <c r="D152" s="33">
        <v>87.748931884765597</v>
      </c>
      <c r="E152" s="33">
        <v>98.716583251953097</v>
      </c>
    </row>
    <row r="153" spans="1:5" ht="15" customHeight="1" x14ac:dyDescent="0.2">
      <c r="A153" s="32" t="s">
        <v>154</v>
      </c>
      <c r="B153" s="33">
        <v>213.42822265625</v>
      </c>
      <c r="C153" s="33">
        <v>68.7274169921875</v>
      </c>
      <c r="D153" s="33">
        <v>86.915519714355497</v>
      </c>
      <c r="E153" s="33">
        <v>98.588485717773395</v>
      </c>
    </row>
    <row r="154" spans="1:5" ht="15" customHeight="1" x14ac:dyDescent="0.2">
      <c r="A154" s="32" t="s">
        <v>155</v>
      </c>
      <c r="B154" s="33">
        <v>213.84776306152301</v>
      </c>
      <c r="C154" s="33">
        <v>69.197273254394503</v>
      </c>
      <c r="D154" s="33">
        <v>87.427116394042997</v>
      </c>
      <c r="E154" s="33">
        <v>98.682418823242202</v>
      </c>
    </row>
    <row r="155" spans="1:5" ht="15" customHeight="1" x14ac:dyDescent="0.2">
      <c r="A155" s="32" t="s">
        <v>156</v>
      </c>
      <c r="B155" s="33">
        <v>214.44442749023401</v>
      </c>
      <c r="C155" s="33">
        <v>69.137481689453097</v>
      </c>
      <c r="D155" s="33">
        <v>87.616912841796903</v>
      </c>
      <c r="E155" s="33">
        <v>98.690963745117202</v>
      </c>
    </row>
    <row r="156" spans="1:5" ht="15" customHeight="1" x14ac:dyDescent="0.2">
      <c r="A156" s="32" t="s">
        <v>157</v>
      </c>
      <c r="B156" s="33">
        <v>214.56562805175801</v>
      </c>
      <c r="C156" s="33">
        <v>69.556076049804702</v>
      </c>
      <c r="D156" s="33">
        <v>88.095512390136705</v>
      </c>
      <c r="E156" s="33">
        <v>99.049674987792997</v>
      </c>
    </row>
    <row r="157" spans="1:5" ht="15" customHeight="1" x14ac:dyDescent="0.2">
      <c r="A157" s="32" t="s">
        <v>158</v>
      </c>
      <c r="B157" s="33">
        <v>214.64952087402301</v>
      </c>
      <c r="C157" s="33">
        <v>69.197273254394503</v>
      </c>
      <c r="D157" s="33">
        <v>87.988250732421903</v>
      </c>
      <c r="E157" s="33">
        <v>99.100929260253906</v>
      </c>
    </row>
    <row r="158" spans="1:5" ht="15" customHeight="1" x14ac:dyDescent="0.2">
      <c r="A158" s="32" t="s">
        <v>159</v>
      </c>
      <c r="B158" s="33">
        <v>213.05528259277301</v>
      </c>
      <c r="C158" s="33">
        <v>68.548034667968807</v>
      </c>
      <c r="D158" s="33">
        <v>87.8974609375</v>
      </c>
      <c r="E158" s="33">
        <v>99.024101257324205</v>
      </c>
    </row>
    <row r="159" spans="1:5" ht="15" customHeight="1" x14ac:dyDescent="0.2">
      <c r="A159" s="32" t="s">
        <v>160</v>
      </c>
      <c r="B159" s="33">
        <v>210.9296875</v>
      </c>
      <c r="C159" s="33">
        <v>68.283180236816406</v>
      </c>
      <c r="D159" s="33">
        <v>87.097061157226605</v>
      </c>
      <c r="E159" s="33">
        <v>99.032608032226605</v>
      </c>
    </row>
    <row r="160" spans="1:5" ht="15" customHeight="1" x14ac:dyDescent="0.2">
      <c r="A160" s="32" t="s">
        <v>161</v>
      </c>
      <c r="B160" s="33">
        <v>210.77119445800801</v>
      </c>
      <c r="C160" s="33">
        <v>67.608283996582003</v>
      </c>
      <c r="D160" s="33">
        <v>87.517883300781307</v>
      </c>
      <c r="E160" s="33">
        <v>99.203430175781193</v>
      </c>
    </row>
    <row r="161" spans="1:5" ht="15" customHeight="1" x14ac:dyDescent="0.2">
      <c r="A161" s="32" t="s">
        <v>162</v>
      </c>
      <c r="B161" s="33">
        <v>212.66374206543</v>
      </c>
      <c r="C161" s="33">
        <v>67.873123168945298</v>
      </c>
      <c r="D161" s="33">
        <v>87.955230712890597</v>
      </c>
      <c r="E161" s="33">
        <v>99.211990356445298</v>
      </c>
    </row>
    <row r="162" spans="1:5" ht="15" customHeight="1" x14ac:dyDescent="0.2">
      <c r="A162" s="32" t="s">
        <v>163</v>
      </c>
      <c r="B162" s="33">
        <v>214.72412109375</v>
      </c>
      <c r="C162" s="33">
        <v>68.505294799804702</v>
      </c>
      <c r="D162" s="33">
        <v>87.790199279785199</v>
      </c>
      <c r="E162" s="33">
        <v>99.211990356445298</v>
      </c>
    </row>
    <row r="163" spans="1:5" ht="15" customHeight="1" x14ac:dyDescent="0.2">
      <c r="A163" s="32" t="s">
        <v>164</v>
      </c>
      <c r="B163" s="33">
        <v>215.48857116699199</v>
      </c>
      <c r="C163" s="33">
        <v>68.650535583496094</v>
      </c>
      <c r="D163" s="33">
        <v>87.402366638183594</v>
      </c>
      <c r="E163" s="33">
        <v>99.066787719726605</v>
      </c>
    </row>
    <row r="164" spans="1:5" ht="15" customHeight="1" x14ac:dyDescent="0.2">
      <c r="A164" s="32" t="s">
        <v>165</v>
      </c>
      <c r="B164" s="33">
        <v>216.10391235351599</v>
      </c>
      <c r="C164" s="33">
        <v>68.676162719726605</v>
      </c>
      <c r="D164" s="33">
        <v>87.3446044921875</v>
      </c>
      <c r="E164" s="33">
        <v>98.878875732421903</v>
      </c>
    </row>
    <row r="165" spans="1:5" ht="15" customHeight="1" x14ac:dyDescent="0.2">
      <c r="A165" s="32" t="s">
        <v>166</v>
      </c>
      <c r="B165" s="33">
        <v>214.65884399414099</v>
      </c>
      <c r="C165" s="33">
        <v>68.317359924316406</v>
      </c>
      <c r="D165" s="33">
        <v>87.377624511718807</v>
      </c>
      <c r="E165" s="33">
        <v>98.887390136718807</v>
      </c>
    </row>
    <row r="166" spans="1:5" ht="15" customHeight="1" x14ac:dyDescent="0.2">
      <c r="A166" s="32" t="s">
        <v>167</v>
      </c>
      <c r="B166" s="33">
        <v>216.97088623046901</v>
      </c>
      <c r="C166" s="33">
        <v>68.940963745117202</v>
      </c>
      <c r="D166" s="33">
        <v>88.293548583984403</v>
      </c>
      <c r="E166" s="33">
        <v>99.160697937011705</v>
      </c>
    </row>
    <row r="167" spans="1:5" ht="15" customHeight="1" x14ac:dyDescent="0.2">
      <c r="A167" s="32" t="s">
        <v>168</v>
      </c>
      <c r="B167" s="33">
        <v>217.79132080078099</v>
      </c>
      <c r="C167" s="33">
        <v>68.923896789550795</v>
      </c>
      <c r="D167" s="33">
        <v>89.176506042480497</v>
      </c>
      <c r="E167" s="33">
        <v>99.271743774414105</v>
      </c>
    </row>
    <row r="168" spans="1:5" ht="15" customHeight="1" x14ac:dyDescent="0.2">
      <c r="A168" s="32" t="s">
        <v>169</v>
      </c>
      <c r="B168" s="33">
        <v>217.38113403320301</v>
      </c>
      <c r="C168" s="33">
        <v>68.889732360839801</v>
      </c>
      <c r="D168" s="33">
        <v>89.597335815429702</v>
      </c>
      <c r="E168" s="33">
        <v>99.126533508300795</v>
      </c>
    </row>
    <row r="169" spans="1:5" ht="15" customHeight="1" x14ac:dyDescent="0.2">
      <c r="A169" s="32" t="s">
        <v>170</v>
      </c>
      <c r="B169" s="33">
        <v>217.76335144043</v>
      </c>
      <c r="C169" s="33">
        <v>69.513351440429702</v>
      </c>
      <c r="D169" s="33">
        <v>91.033103942871094</v>
      </c>
      <c r="E169" s="33">
        <v>99.158210754394503</v>
      </c>
    </row>
    <row r="170" spans="1:5" ht="15" customHeight="1" x14ac:dyDescent="0.2">
      <c r="A170" s="32" t="s">
        <v>171</v>
      </c>
      <c r="B170" s="33">
        <v>218.49986267089801</v>
      </c>
      <c r="C170" s="33">
        <v>69.795272827148395</v>
      </c>
      <c r="D170" s="33">
        <v>91.51171875</v>
      </c>
      <c r="E170" s="33">
        <v>99.260841369628906</v>
      </c>
    </row>
    <row r="171" spans="1:5" ht="15" customHeight="1" x14ac:dyDescent="0.2">
      <c r="A171" s="32" t="s">
        <v>172</v>
      </c>
      <c r="B171" s="33">
        <v>218.42524719238301</v>
      </c>
      <c r="C171" s="33">
        <v>70.111358642578097</v>
      </c>
      <c r="D171" s="33">
        <v>91.528236389160199</v>
      </c>
      <c r="E171" s="33">
        <v>99.089767456054702</v>
      </c>
    </row>
    <row r="172" spans="1:5" ht="15" customHeight="1" x14ac:dyDescent="0.2">
      <c r="A172" s="32" t="s">
        <v>173</v>
      </c>
      <c r="B172" s="33">
        <v>217.48367309570301</v>
      </c>
      <c r="C172" s="33">
        <v>70.162620544433594</v>
      </c>
      <c r="D172" s="33">
        <v>90.496772766113295</v>
      </c>
      <c r="E172" s="33">
        <v>98.824623107910199</v>
      </c>
    </row>
    <row r="173" spans="1:5" ht="15" customHeight="1" x14ac:dyDescent="0.2">
      <c r="A173" s="32" t="s">
        <v>174</v>
      </c>
      <c r="B173" s="33">
        <v>216.97088623046901</v>
      </c>
      <c r="C173" s="33">
        <v>69.607337951660199</v>
      </c>
      <c r="D173" s="33">
        <v>90.950622558593807</v>
      </c>
      <c r="E173" s="33">
        <v>98.987121582031193</v>
      </c>
    </row>
    <row r="174" spans="1:5" ht="15" customHeight="1" x14ac:dyDescent="0.2">
      <c r="A174" s="32" t="s">
        <v>175</v>
      </c>
      <c r="B174" s="33">
        <v>216.21575927734401</v>
      </c>
      <c r="C174" s="33">
        <v>69.487716674804702</v>
      </c>
      <c r="D174" s="33">
        <v>89.102218627929702</v>
      </c>
      <c r="E174" s="33">
        <v>99.303604125976605</v>
      </c>
    </row>
    <row r="175" spans="1:5" ht="15" customHeight="1" x14ac:dyDescent="0.2">
      <c r="A175" s="32" t="s">
        <v>176</v>
      </c>
      <c r="B175" s="33">
        <v>214.50036621093801</v>
      </c>
      <c r="C175" s="33">
        <v>69.333961486816406</v>
      </c>
      <c r="D175" s="33">
        <v>87.798454284667997</v>
      </c>
      <c r="E175" s="33">
        <v>99.106872558593807</v>
      </c>
    </row>
    <row r="176" spans="1:5" ht="15" customHeight="1" x14ac:dyDescent="0.2">
      <c r="A176" s="32" t="s">
        <v>177</v>
      </c>
      <c r="B176" s="33">
        <v>214.98515319824199</v>
      </c>
      <c r="C176" s="33">
        <v>69.880699157714801</v>
      </c>
      <c r="D176" s="33">
        <v>88.392578125</v>
      </c>
      <c r="E176" s="33">
        <v>99.235168457031193</v>
      </c>
    </row>
    <row r="177" spans="1:5" ht="15" customHeight="1" x14ac:dyDescent="0.2">
      <c r="A177" s="32" t="s">
        <v>178</v>
      </c>
      <c r="B177" s="33">
        <v>213.68931579589801</v>
      </c>
      <c r="C177" s="33">
        <v>69.590248107910199</v>
      </c>
      <c r="D177" s="33">
        <v>88.235794067382798</v>
      </c>
      <c r="E177" s="33">
        <v>99.457557678222699</v>
      </c>
    </row>
    <row r="178" spans="1:5" ht="15" customHeight="1" x14ac:dyDescent="0.2">
      <c r="A178" s="32" t="s">
        <v>179</v>
      </c>
      <c r="B178" s="33">
        <v>215.45129394531301</v>
      </c>
      <c r="C178" s="33">
        <v>69.795272827148395</v>
      </c>
      <c r="D178" s="33">
        <v>88.516342163085895</v>
      </c>
      <c r="E178" s="33">
        <v>99.363471984863295</v>
      </c>
    </row>
    <row r="179" spans="1:5" ht="15" customHeight="1" x14ac:dyDescent="0.2">
      <c r="A179" s="32" t="s">
        <v>180</v>
      </c>
      <c r="B179" s="33">
        <v>215.25550842285199</v>
      </c>
      <c r="C179" s="33">
        <v>69.684211730957003</v>
      </c>
      <c r="D179" s="33">
        <v>88.590621948242202</v>
      </c>
      <c r="E179" s="33">
        <v>99.192420959472699</v>
      </c>
    </row>
    <row r="180" spans="1:5" ht="15" customHeight="1" x14ac:dyDescent="0.2">
      <c r="A180" s="32" t="s">
        <v>181</v>
      </c>
      <c r="B180" s="33">
        <v>213.53076171875</v>
      </c>
      <c r="C180" s="33">
        <v>68.770126342773395</v>
      </c>
      <c r="D180" s="33">
        <v>87.798454284667997</v>
      </c>
      <c r="E180" s="33">
        <v>99.106872558593807</v>
      </c>
    </row>
    <row r="181" spans="1:5" ht="15" customHeight="1" x14ac:dyDescent="0.2">
      <c r="A181" s="32" t="s">
        <v>182</v>
      </c>
      <c r="B181" s="33">
        <v>209.82963562011699</v>
      </c>
      <c r="C181" s="33">
        <v>67.497238159179702</v>
      </c>
      <c r="D181" s="33">
        <v>87.262077331542997</v>
      </c>
      <c r="E181" s="33">
        <v>99.295059204101605</v>
      </c>
    </row>
    <row r="182" spans="1:5" ht="15" customHeight="1" x14ac:dyDescent="0.2">
      <c r="A182" s="32" t="s">
        <v>183</v>
      </c>
      <c r="B182" s="33">
        <v>209.81097412109401</v>
      </c>
      <c r="C182" s="33">
        <v>68.163589477539105</v>
      </c>
      <c r="D182" s="33">
        <v>87.3033447265625</v>
      </c>
      <c r="E182" s="33">
        <v>99.337821960449205</v>
      </c>
    </row>
    <row r="183" spans="1:5" ht="15" customHeight="1" x14ac:dyDescent="0.2">
      <c r="A183" s="32" t="s">
        <v>184</v>
      </c>
      <c r="B183" s="33">
        <v>211.92723083496099</v>
      </c>
      <c r="C183" s="33">
        <v>68.505294799804702</v>
      </c>
      <c r="D183" s="33">
        <v>88.153266906738295</v>
      </c>
      <c r="E183" s="33">
        <v>99.372009277343807</v>
      </c>
    </row>
    <row r="184" spans="1:5" ht="15" customHeight="1" x14ac:dyDescent="0.2">
      <c r="A184" s="32" t="s">
        <v>185</v>
      </c>
      <c r="B184" s="33">
        <v>214.50965881347699</v>
      </c>
      <c r="C184" s="33">
        <v>69.248527526855497</v>
      </c>
      <c r="D184" s="33">
        <v>87.979972839355497</v>
      </c>
      <c r="E184" s="33">
        <v>98.884506225585895</v>
      </c>
    </row>
    <row r="185" spans="1:5" ht="15" customHeight="1" x14ac:dyDescent="0.2">
      <c r="A185" s="32" t="s">
        <v>186</v>
      </c>
      <c r="B185" s="33">
        <v>214.76591491699199</v>
      </c>
      <c r="C185" s="33">
        <v>68.599288940429702</v>
      </c>
      <c r="D185" s="33">
        <v>87.039283752441406</v>
      </c>
      <c r="E185" s="33">
        <v>98.713432312011705</v>
      </c>
    </row>
    <row r="186" spans="1:5" ht="15" customHeight="1" x14ac:dyDescent="0.2">
      <c r="A186" s="32" t="s">
        <v>187</v>
      </c>
      <c r="B186" s="33">
        <v>214.29833984375</v>
      </c>
      <c r="C186" s="33">
        <v>68.556541442871094</v>
      </c>
      <c r="D186" s="33">
        <v>85.868560791015597</v>
      </c>
      <c r="E186" s="33">
        <v>98.576576232910199</v>
      </c>
    </row>
    <row r="187" spans="1:5" ht="15" customHeight="1" x14ac:dyDescent="0.2">
      <c r="A187" s="32" t="s">
        <v>188</v>
      </c>
      <c r="B187" s="33">
        <v>209.80918884277301</v>
      </c>
      <c r="C187" s="33">
        <v>67.061553955078097</v>
      </c>
      <c r="D187" s="33">
        <v>85.287353515625</v>
      </c>
      <c r="E187" s="33">
        <v>98.165992736816406</v>
      </c>
    </row>
    <row r="188" spans="1:5" ht="15" customHeight="1" x14ac:dyDescent="0.2">
      <c r="A188" s="32" t="s">
        <v>189</v>
      </c>
      <c r="B188" s="33">
        <v>209.94950866699199</v>
      </c>
      <c r="C188" s="33">
        <v>66.907791137695298</v>
      </c>
      <c r="D188" s="33">
        <v>85.926681518554702</v>
      </c>
      <c r="E188" s="33">
        <v>98.234451293945298</v>
      </c>
    </row>
    <row r="189" spans="1:5" ht="15" customHeight="1" x14ac:dyDescent="0.2">
      <c r="A189" s="32" t="s">
        <v>190</v>
      </c>
      <c r="B189" s="33">
        <v>207.67694091796901</v>
      </c>
      <c r="C189" s="33">
        <v>66.642951965332003</v>
      </c>
      <c r="D189" s="33">
        <v>84.506874084472699</v>
      </c>
      <c r="E189" s="33">
        <v>98.217338562011705</v>
      </c>
    </row>
    <row r="190" spans="1:5" ht="15" customHeight="1" x14ac:dyDescent="0.2">
      <c r="A190" s="32" t="s">
        <v>191</v>
      </c>
      <c r="B190" s="33">
        <v>210.53868103027301</v>
      </c>
      <c r="C190" s="33">
        <v>66.805274963378906</v>
      </c>
      <c r="D190" s="33">
        <v>85.702507019042997</v>
      </c>
      <c r="E190" s="33">
        <v>98.517173767089801</v>
      </c>
    </row>
    <row r="191" spans="1:5" ht="15" customHeight="1" x14ac:dyDescent="0.2">
      <c r="A191" s="32" t="s">
        <v>192</v>
      </c>
      <c r="B191" s="33">
        <v>207.36827087402301</v>
      </c>
      <c r="C191" s="33">
        <v>66.104736328125</v>
      </c>
      <c r="D191" s="33">
        <v>85.719131469726605</v>
      </c>
      <c r="E191" s="33">
        <v>98.448616027832102</v>
      </c>
    </row>
    <row r="192" spans="1:5" ht="15" customHeight="1" x14ac:dyDescent="0.2">
      <c r="A192" s="32" t="s">
        <v>193</v>
      </c>
      <c r="B192" s="33">
        <v>209.30416870117199</v>
      </c>
      <c r="C192" s="33">
        <v>66.557533264160199</v>
      </c>
      <c r="D192" s="33">
        <v>85.129608154296903</v>
      </c>
      <c r="E192" s="33">
        <v>98.217323303222699</v>
      </c>
    </row>
    <row r="193" spans="1:5" ht="15" customHeight="1" x14ac:dyDescent="0.2">
      <c r="A193" s="32" t="s">
        <v>194</v>
      </c>
      <c r="B193" s="33">
        <v>210.173904418945</v>
      </c>
      <c r="C193" s="33">
        <v>66.113296508789105</v>
      </c>
      <c r="D193" s="33">
        <v>85.943275451660199</v>
      </c>
      <c r="E193" s="33">
        <v>98.260177612304702</v>
      </c>
    </row>
    <row r="194" spans="1:5" ht="15" customHeight="1" x14ac:dyDescent="0.2">
      <c r="A194" s="32" t="s">
        <v>195</v>
      </c>
      <c r="B194" s="33">
        <v>212.19404602050801</v>
      </c>
      <c r="C194" s="33">
        <v>66.625885009765597</v>
      </c>
      <c r="D194" s="33">
        <v>86.175758361816406</v>
      </c>
      <c r="E194" s="33">
        <v>97.986022949218807</v>
      </c>
    </row>
    <row r="195" spans="1:5" ht="15" customHeight="1" x14ac:dyDescent="0.2">
      <c r="A195" s="32" t="s">
        <v>196</v>
      </c>
      <c r="B195" s="33">
        <v>211.72644042968801</v>
      </c>
      <c r="C195" s="33">
        <v>66.617332458496094</v>
      </c>
      <c r="D195" s="33">
        <v>85.362083435058594</v>
      </c>
      <c r="E195" s="33">
        <v>97.771888732910199</v>
      </c>
    </row>
    <row r="196" spans="1:5" ht="15" customHeight="1" x14ac:dyDescent="0.2">
      <c r="A196" s="32" t="s">
        <v>197</v>
      </c>
      <c r="B196" s="33">
        <v>210.20198059082</v>
      </c>
      <c r="C196" s="33">
        <v>66.403755187988295</v>
      </c>
      <c r="D196" s="33">
        <v>85.577949523925795</v>
      </c>
      <c r="E196" s="33">
        <v>97.617660522460895</v>
      </c>
    </row>
    <row r="197" spans="1:5" ht="15" customHeight="1" x14ac:dyDescent="0.2">
      <c r="A197" s="32" t="s">
        <v>198</v>
      </c>
      <c r="B197" s="33">
        <v>210.05235290527301</v>
      </c>
      <c r="C197" s="33">
        <v>66.437927246093807</v>
      </c>
      <c r="D197" s="33">
        <v>86.698844909667997</v>
      </c>
      <c r="E197" s="33">
        <v>97.977500915527301</v>
      </c>
    </row>
    <row r="198" spans="1:5" ht="15" customHeight="1" x14ac:dyDescent="0.2">
      <c r="A198" s="32" t="s">
        <v>199</v>
      </c>
      <c r="B198" s="33">
        <v>211.00628662109401</v>
      </c>
      <c r="C198" s="33">
        <v>67.095741271972699</v>
      </c>
      <c r="D198" s="33">
        <v>87.329872131347699</v>
      </c>
      <c r="E198" s="33">
        <v>98.200187683105497</v>
      </c>
    </row>
    <row r="199" spans="1:5" ht="15" customHeight="1" x14ac:dyDescent="0.2">
      <c r="A199" s="32" t="s">
        <v>200</v>
      </c>
      <c r="B199" s="33">
        <v>214.51341247558599</v>
      </c>
      <c r="C199" s="33">
        <v>67.762069702148395</v>
      </c>
      <c r="D199" s="33">
        <v>88.392646789550795</v>
      </c>
      <c r="E199" s="33">
        <v>98.388702392578097</v>
      </c>
    </row>
    <row r="200" spans="1:5" ht="15" customHeight="1" x14ac:dyDescent="0.2">
      <c r="A200" s="32" t="s">
        <v>201</v>
      </c>
      <c r="B200" s="33">
        <v>215.78533935546901</v>
      </c>
      <c r="C200" s="33">
        <v>68.325897216796903</v>
      </c>
      <c r="D200" s="33">
        <v>88.326217651367202</v>
      </c>
      <c r="E200" s="33">
        <v>98.148780822753906</v>
      </c>
    </row>
    <row r="201" spans="1:5" ht="15" customHeight="1" x14ac:dyDescent="0.2">
      <c r="A201" s="32" t="s">
        <v>202</v>
      </c>
      <c r="B201" s="33">
        <v>216.57089233398401</v>
      </c>
      <c r="C201" s="33">
        <v>68.035446166992202</v>
      </c>
      <c r="D201" s="33">
        <v>88.550392150878906</v>
      </c>
      <c r="E201" s="33">
        <v>98.080253601074205</v>
      </c>
    </row>
    <row r="202" spans="1:5" ht="15" customHeight="1" x14ac:dyDescent="0.2">
      <c r="A202" s="32" t="s">
        <v>203</v>
      </c>
      <c r="B202" s="33">
        <v>218.15145874023401</v>
      </c>
      <c r="C202" s="33">
        <v>68.445503234863295</v>
      </c>
      <c r="D202" s="33">
        <v>88.591911315917997</v>
      </c>
      <c r="E202" s="33">
        <v>97.797576904296903</v>
      </c>
    </row>
    <row r="203" spans="1:5" ht="15" customHeight="1" x14ac:dyDescent="0.2">
      <c r="A203" s="32" t="s">
        <v>204</v>
      </c>
      <c r="B203" s="33">
        <v>219.002517700195</v>
      </c>
      <c r="C203" s="33">
        <v>68.684700012207003</v>
      </c>
      <c r="D203" s="33">
        <v>89.986793518066406</v>
      </c>
      <c r="E203" s="33">
        <v>97.729057312011705</v>
      </c>
    </row>
    <row r="204" spans="1:5" ht="15" customHeight="1" x14ac:dyDescent="0.2">
      <c r="A204" s="32" t="s">
        <v>205</v>
      </c>
      <c r="B204" s="33">
        <v>219.60105895996099</v>
      </c>
      <c r="C204" s="33">
        <v>68.360076904296903</v>
      </c>
      <c r="D204" s="33">
        <v>90.111351013183594</v>
      </c>
      <c r="E204" s="33">
        <v>97.523422241210895</v>
      </c>
    </row>
    <row r="205" spans="1:5" ht="15" customHeight="1" x14ac:dyDescent="0.2">
      <c r="A205" s="32" t="s">
        <v>206</v>
      </c>
      <c r="B205" s="33">
        <v>219.180252075195</v>
      </c>
      <c r="C205" s="33">
        <v>68.770126342773395</v>
      </c>
      <c r="D205" s="33">
        <v>90.5347900390625</v>
      </c>
      <c r="E205" s="33">
        <v>97.7119140625</v>
      </c>
    </row>
    <row r="206" spans="1:5" ht="15" customHeight="1" x14ac:dyDescent="0.2">
      <c r="A206" s="32" t="s">
        <v>207</v>
      </c>
      <c r="B206" s="33">
        <v>220.52694702148401</v>
      </c>
      <c r="C206" s="33">
        <v>68.633438110351605</v>
      </c>
      <c r="D206" s="33">
        <v>90.825386047363295</v>
      </c>
      <c r="E206" s="33">
        <v>97.806144714355497</v>
      </c>
    </row>
    <row r="207" spans="1:5" ht="15" customHeight="1" x14ac:dyDescent="0.2">
      <c r="A207" s="32" t="s">
        <v>208</v>
      </c>
      <c r="B207" s="33">
        <v>220.442794799805</v>
      </c>
      <c r="C207" s="33">
        <v>68.770126342773395</v>
      </c>
      <c r="D207" s="33">
        <v>91.074478149414105</v>
      </c>
      <c r="E207" s="33">
        <v>97.986022949218807</v>
      </c>
    </row>
    <row r="208" spans="1:5" ht="15" customHeight="1" x14ac:dyDescent="0.2">
      <c r="A208" s="32" t="s">
        <v>209</v>
      </c>
      <c r="B208" s="33">
        <v>218.93704223632801</v>
      </c>
      <c r="C208" s="33">
        <v>68.496757507324205</v>
      </c>
      <c r="D208" s="33">
        <v>90.302307128906193</v>
      </c>
      <c r="E208" s="33">
        <v>98.311584472656193</v>
      </c>
    </row>
    <row r="209" spans="1:5" ht="15" customHeight="1" x14ac:dyDescent="0.2">
      <c r="A209" s="32" t="s">
        <v>210</v>
      </c>
      <c r="B209" s="33">
        <v>221.27511596679699</v>
      </c>
      <c r="C209" s="33">
        <v>69.163108825683594</v>
      </c>
      <c r="D209" s="33">
        <v>91.564338684082102</v>
      </c>
      <c r="E209" s="33">
        <v>98.234481811523395</v>
      </c>
    </row>
    <row r="210" spans="1:5" ht="15" customHeight="1" x14ac:dyDescent="0.2">
      <c r="A210" s="32" t="s">
        <v>211</v>
      </c>
      <c r="B210" s="33">
        <v>221.56503295898401</v>
      </c>
      <c r="C210" s="33">
        <v>68.761581420898395</v>
      </c>
      <c r="D210" s="33">
        <v>90.5347900390625</v>
      </c>
      <c r="E210" s="33">
        <v>98.208763122558594</v>
      </c>
    </row>
    <row r="211" spans="1:5" ht="15" customHeight="1" x14ac:dyDescent="0.2">
      <c r="A211" s="32" t="s">
        <v>212</v>
      </c>
      <c r="B211" s="33">
        <v>222.66860961914099</v>
      </c>
      <c r="C211" s="33">
        <v>69.427940368652301</v>
      </c>
      <c r="D211" s="33">
        <v>90.983154296875</v>
      </c>
      <c r="E211" s="33">
        <v>98.148712158203097</v>
      </c>
    </row>
    <row r="212" spans="1:5" ht="15" customHeight="1" x14ac:dyDescent="0.2">
      <c r="A212" s="32" t="s">
        <v>213</v>
      </c>
      <c r="B212" s="33">
        <v>223.36070251464801</v>
      </c>
      <c r="C212" s="33">
        <v>69.282699584960895</v>
      </c>
      <c r="D212" s="33">
        <v>91.414901733398395</v>
      </c>
      <c r="E212" s="33">
        <v>98.346046447753906</v>
      </c>
    </row>
    <row r="213" spans="1:5" ht="15" customHeight="1" x14ac:dyDescent="0.2">
      <c r="A213" s="32" t="s">
        <v>214</v>
      </c>
      <c r="B213" s="33">
        <v>224.94122314453099</v>
      </c>
      <c r="C213" s="33">
        <v>69.846527099609403</v>
      </c>
      <c r="D213" s="33">
        <v>91.722091674804702</v>
      </c>
      <c r="E213" s="33">
        <v>98.148712158203097</v>
      </c>
    </row>
    <row r="214" spans="1:5" ht="15" customHeight="1" x14ac:dyDescent="0.2">
      <c r="A214" s="32" t="s">
        <v>215</v>
      </c>
      <c r="B214" s="33">
        <v>225.79228210449199</v>
      </c>
      <c r="C214" s="33">
        <v>69.803825378417997</v>
      </c>
      <c r="D214" s="33">
        <v>90.850296020507798</v>
      </c>
      <c r="E214" s="33">
        <v>98.474777221679702</v>
      </c>
    </row>
    <row r="215" spans="1:5" ht="15" customHeight="1" x14ac:dyDescent="0.2">
      <c r="A215" s="32" t="s">
        <v>216</v>
      </c>
      <c r="B215" s="33">
        <v>226.66200256347699</v>
      </c>
      <c r="C215" s="33">
        <v>69.906333923339801</v>
      </c>
      <c r="D215" s="33">
        <v>91.315254211425795</v>
      </c>
      <c r="E215" s="33">
        <v>98.860870361328097</v>
      </c>
    </row>
    <row r="216" spans="1:5" ht="15" customHeight="1" x14ac:dyDescent="0.2">
      <c r="A216" s="32" t="s">
        <v>217</v>
      </c>
      <c r="B216" s="33">
        <v>227.03611755371099</v>
      </c>
      <c r="C216" s="33">
        <v>69.897781372070298</v>
      </c>
      <c r="D216" s="33">
        <v>91.240524291992202</v>
      </c>
      <c r="E216" s="33">
        <v>98.680702209472699</v>
      </c>
    </row>
    <row r="217" spans="1:5" ht="15" customHeight="1" x14ac:dyDescent="0.2">
      <c r="A217" s="32" t="s">
        <v>218</v>
      </c>
      <c r="B217" s="33">
        <v>226.38143920898401</v>
      </c>
      <c r="C217" s="33">
        <v>69.744003295898395</v>
      </c>
      <c r="D217" s="33">
        <v>91.398292541503906</v>
      </c>
      <c r="E217" s="33">
        <v>98.955230712890597</v>
      </c>
    </row>
    <row r="218" spans="1:5" ht="15" customHeight="1" x14ac:dyDescent="0.2">
      <c r="A218" s="32" t="s">
        <v>219</v>
      </c>
      <c r="B218" s="33">
        <v>224.15563964843801</v>
      </c>
      <c r="C218" s="33">
        <v>68.898277282714801</v>
      </c>
      <c r="D218" s="33">
        <v>90.974830627441406</v>
      </c>
      <c r="E218" s="33">
        <v>98.285995483398395</v>
      </c>
    </row>
    <row r="219" spans="1:5" ht="15" customHeight="1" x14ac:dyDescent="0.2">
      <c r="A219" s="32" t="s">
        <v>220</v>
      </c>
      <c r="B219" s="33">
        <v>224.42686462402301</v>
      </c>
      <c r="C219" s="33">
        <v>69.146011352539105</v>
      </c>
      <c r="D219" s="33">
        <v>91.124298095703097</v>
      </c>
      <c r="E219" s="33">
        <v>98.105827331542997</v>
      </c>
    </row>
    <row r="220" spans="1:5" ht="15" customHeight="1" x14ac:dyDescent="0.2">
      <c r="A220" s="32" t="s">
        <v>221</v>
      </c>
      <c r="B220" s="33">
        <v>226.09156799316401</v>
      </c>
      <c r="C220" s="33">
        <v>69.521896362304702</v>
      </c>
      <c r="D220" s="33">
        <v>91.057876586914105</v>
      </c>
      <c r="E220" s="33">
        <v>98.088661193847699</v>
      </c>
    </row>
    <row r="221" spans="1:5" ht="15" customHeight="1" x14ac:dyDescent="0.2">
      <c r="A221" s="32" t="s">
        <v>222</v>
      </c>
      <c r="B221" s="33">
        <v>226.09156799316401</v>
      </c>
      <c r="C221" s="33">
        <v>69.393768310546903</v>
      </c>
      <c r="D221" s="33">
        <v>91.697189331054702</v>
      </c>
      <c r="E221" s="33">
        <v>97.728271484375</v>
      </c>
    </row>
    <row r="222" spans="1:5" ht="15" customHeight="1" x14ac:dyDescent="0.2">
      <c r="A222" s="32" t="s">
        <v>223</v>
      </c>
      <c r="B222" s="33">
        <v>227.06419372558599</v>
      </c>
      <c r="C222" s="33">
        <v>69.239974975585895</v>
      </c>
      <c r="D222" s="33">
        <v>91.091102600097699</v>
      </c>
      <c r="E222" s="33">
        <v>97.693962097167997</v>
      </c>
    </row>
    <row r="223" spans="1:5" ht="15" customHeight="1" x14ac:dyDescent="0.2">
      <c r="A223" s="32" t="s">
        <v>224</v>
      </c>
      <c r="B223" s="33">
        <v>226.12895202636699</v>
      </c>
      <c r="C223" s="33">
        <v>69.154563903808594</v>
      </c>
      <c r="D223" s="33">
        <v>91.373382568359403</v>
      </c>
      <c r="E223" s="33">
        <v>97.925613403320298</v>
      </c>
    </row>
    <row r="224" spans="1:5" ht="15" customHeight="1" x14ac:dyDescent="0.2">
      <c r="A224" s="32" t="s">
        <v>225</v>
      </c>
      <c r="B224" s="33">
        <v>226.48432922363301</v>
      </c>
      <c r="C224" s="33">
        <v>69.222900390625</v>
      </c>
      <c r="D224" s="33">
        <v>91.389991760253906</v>
      </c>
      <c r="E224" s="33">
        <v>98.011436462402301</v>
      </c>
    </row>
    <row r="225" spans="1:5" ht="15" customHeight="1" x14ac:dyDescent="0.2">
      <c r="A225" s="32" t="s">
        <v>226</v>
      </c>
      <c r="B225" s="33">
        <v>225.83903503418</v>
      </c>
      <c r="C225" s="33">
        <v>68.633438110351605</v>
      </c>
      <c r="D225" s="33">
        <v>90.850296020507798</v>
      </c>
      <c r="E225" s="33">
        <v>98.2001953125</v>
      </c>
    </row>
    <row r="226" spans="1:5" ht="15" customHeight="1" x14ac:dyDescent="0.2">
      <c r="A226" s="32" t="s">
        <v>227</v>
      </c>
      <c r="B226" s="33">
        <v>224.75418090820301</v>
      </c>
      <c r="C226" s="33">
        <v>68.231918334960895</v>
      </c>
      <c r="D226" s="33">
        <v>90.401947021484403</v>
      </c>
      <c r="E226" s="33">
        <v>97.728271484375</v>
      </c>
    </row>
    <row r="227" spans="1:5" ht="15" customHeight="1" x14ac:dyDescent="0.2">
      <c r="A227" s="32" t="s">
        <v>228</v>
      </c>
      <c r="B227" s="33">
        <v>224.82896423339801</v>
      </c>
      <c r="C227" s="33">
        <v>68.163589477539105</v>
      </c>
      <c r="D227" s="33">
        <v>91.132583618164105</v>
      </c>
      <c r="E227" s="33">
        <v>97.342170715332102</v>
      </c>
    </row>
    <row r="228" spans="1:5" ht="15" customHeight="1" x14ac:dyDescent="0.2">
      <c r="A228" s="32" t="s">
        <v>229</v>
      </c>
      <c r="B228" s="33">
        <v>225.58653259277301</v>
      </c>
      <c r="C228" s="33">
        <v>67.7108154296875</v>
      </c>
      <c r="D228" s="33">
        <v>92.236869812011705</v>
      </c>
      <c r="E228" s="33">
        <v>97.565223693847699</v>
      </c>
    </row>
    <row r="229" spans="1:5" ht="15" customHeight="1" x14ac:dyDescent="0.2">
      <c r="A229" s="32" t="s">
        <v>230</v>
      </c>
      <c r="B229" s="33">
        <v>220.70463562011699</v>
      </c>
      <c r="C229" s="33">
        <v>65.891181945800795</v>
      </c>
      <c r="D229" s="33">
        <v>89.671287536621094</v>
      </c>
      <c r="E229" s="33">
        <v>98.26025390625</v>
      </c>
    </row>
    <row r="230" spans="1:5" ht="15" customHeight="1" x14ac:dyDescent="0.2">
      <c r="A230" s="32" t="s">
        <v>231</v>
      </c>
      <c r="B230" s="33">
        <v>222.78082275390599</v>
      </c>
      <c r="C230" s="33">
        <v>66.224342346191406</v>
      </c>
      <c r="D230" s="33">
        <v>90.335517883300795</v>
      </c>
      <c r="E230" s="33">
        <v>98.311721801757798</v>
      </c>
    </row>
    <row r="231" spans="1:5" ht="15" customHeight="1" x14ac:dyDescent="0.2">
      <c r="A231" s="32" t="s">
        <v>232</v>
      </c>
      <c r="B231" s="33">
        <v>218.32913208007801</v>
      </c>
      <c r="C231" s="33">
        <v>65.6434326171875</v>
      </c>
      <c r="D231" s="33">
        <v>88.625114440917997</v>
      </c>
      <c r="E231" s="33">
        <v>98.474777221679702</v>
      </c>
    </row>
    <row r="232" spans="1:5" ht="15" customHeight="1" x14ac:dyDescent="0.2">
      <c r="A232" s="32" t="s">
        <v>233</v>
      </c>
      <c r="B232" s="33">
        <v>215.25222778320301</v>
      </c>
      <c r="C232" s="33">
        <v>65.267562866210895</v>
      </c>
      <c r="D232" s="33">
        <v>87.163825988769503</v>
      </c>
      <c r="E232" s="33">
        <v>98.493659973144503</v>
      </c>
    </row>
    <row r="233" spans="1:5" ht="15" customHeight="1" x14ac:dyDescent="0.2">
      <c r="A233" s="32" t="s">
        <v>234</v>
      </c>
      <c r="B233" s="33">
        <v>218.74998474121099</v>
      </c>
      <c r="C233" s="33">
        <v>66.079116821289105</v>
      </c>
      <c r="D233" s="33">
        <v>89.779212951660199</v>
      </c>
      <c r="E233" s="33">
        <v>98.476455688476605</v>
      </c>
    </row>
    <row r="234" spans="1:5" ht="15" customHeight="1" x14ac:dyDescent="0.2">
      <c r="A234" s="32" t="s">
        <v>235</v>
      </c>
      <c r="B234" s="33">
        <v>216.21554565429699</v>
      </c>
      <c r="C234" s="33">
        <v>65.805747985839801</v>
      </c>
      <c r="D234" s="33">
        <v>89.480323791503906</v>
      </c>
      <c r="E234" s="33">
        <v>98.871719360351605</v>
      </c>
    </row>
    <row r="235" spans="1:5" ht="15" customHeight="1" x14ac:dyDescent="0.2">
      <c r="A235" s="32" t="s">
        <v>236</v>
      </c>
      <c r="B235" s="33">
        <v>218.99314880371099</v>
      </c>
      <c r="C235" s="33">
        <v>66.437927246093807</v>
      </c>
      <c r="D235" s="33">
        <v>91.049583435058594</v>
      </c>
      <c r="E235" s="33">
        <v>98.528038024902301</v>
      </c>
    </row>
    <row r="236" spans="1:5" ht="15" customHeight="1" x14ac:dyDescent="0.2">
      <c r="A236" s="32" t="s">
        <v>237</v>
      </c>
      <c r="B236" s="33">
        <v>223.67866516113301</v>
      </c>
      <c r="C236" s="33">
        <v>67.838966369628906</v>
      </c>
      <c r="D236" s="33">
        <v>92.361419677734403</v>
      </c>
      <c r="E236" s="33">
        <v>98.373336791992202</v>
      </c>
    </row>
    <row r="237" spans="1:5" ht="15" customHeight="1" x14ac:dyDescent="0.2">
      <c r="A237" s="32" t="s">
        <v>238</v>
      </c>
      <c r="B237" s="33">
        <v>224.64190673828099</v>
      </c>
      <c r="C237" s="33">
        <v>67.967102050781307</v>
      </c>
      <c r="D237" s="33">
        <v>93.025650024414105</v>
      </c>
      <c r="E237" s="33">
        <v>98.115631103515597</v>
      </c>
    </row>
    <row r="238" spans="1:5" ht="15" customHeight="1" x14ac:dyDescent="0.2">
      <c r="A238" s="32" t="s">
        <v>239</v>
      </c>
      <c r="B238" s="33">
        <v>222.500244140625</v>
      </c>
      <c r="C238" s="33">
        <v>67.403274536132798</v>
      </c>
      <c r="D238" s="33">
        <v>91.680587768554702</v>
      </c>
      <c r="E238" s="33">
        <v>98.124183654785199</v>
      </c>
    </row>
    <row r="239" spans="1:5" ht="15" customHeight="1" x14ac:dyDescent="0.2">
      <c r="A239" s="32" t="s">
        <v>240</v>
      </c>
      <c r="B239" s="33">
        <v>224.01533508300801</v>
      </c>
      <c r="C239" s="33">
        <v>67.548492431640597</v>
      </c>
      <c r="D239" s="33">
        <v>91.962898254394503</v>
      </c>
      <c r="E239" s="33">
        <v>98.149986267089801</v>
      </c>
    </row>
    <row r="240" spans="1:5" ht="15" customHeight="1" x14ac:dyDescent="0.2">
      <c r="A240" s="32" t="s">
        <v>241</v>
      </c>
      <c r="B240" s="33">
        <v>221.9765625</v>
      </c>
      <c r="C240" s="33">
        <v>66.915748596191406</v>
      </c>
      <c r="D240" s="33">
        <v>92.826400756835895</v>
      </c>
      <c r="E240" s="33">
        <v>98.493659973144503</v>
      </c>
    </row>
    <row r="241" spans="1:5" ht="15" customHeight="1" x14ac:dyDescent="0.2">
      <c r="A241" s="32" t="s">
        <v>242</v>
      </c>
      <c r="B241" s="33">
        <v>220.31181335449199</v>
      </c>
      <c r="C241" s="33">
        <v>66.559410095214801</v>
      </c>
      <c r="D241" s="33">
        <v>91.639076232910199</v>
      </c>
      <c r="E241" s="33">
        <v>98.304656982421903</v>
      </c>
    </row>
    <row r="242" spans="1:5" ht="15" customHeight="1" x14ac:dyDescent="0.2">
      <c r="A242" s="32" t="s">
        <v>243</v>
      </c>
      <c r="B242" s="33">
        <v>223.70674133300801</v>
      </c>
      <c r="C242" s="33">
        <v>67.463333129882798</v>
      </c>
      <c r="D242" s="33">
        <v>92.926025390625</v>
      </c>
      <c r="E242" s="33">
        <v>98.227302551269503</v>
      </c>
    </row>
    <row r="243" spans="1:5" ht="15" customHeight="1" x14ac:dyDescent="0.2">
      <c r="A243" s="32" t="s">
        <v>244</v>
      </c>
      <c r="B243" s="33">
        <v>221.20033264160199</v>
      </c>
      <c r="C243" s="33">
        <v>67.472015380859403</v>
      </c>
      <c r="D243" s="33">
        <v>92.892799377441406</v>
      </c>
      <c r="E243" s="33">
        <v>98.362342834472699</v>
      </c>
    </row>
    <row r="244" spans="1:5" ht="15" customHeight="1" x14ac:dyDescent="0.2">
      <c r="A244" s="32" t="s">
        <v>245</v>
      </c>
      <c r="B244" s="33">
        <v>220.19024658203099</v>
      </c>
      <c r="C244" s="33">
        <v>66.620246887207003</v>
      </c>
      <c r="D244" s="33">
        <v>92.776557922363295</v>
      </c>
      <c r="E244" s="33">
        <v>98.482749938964801</v>
      </c>
    </row>
    <row r="245" spans="1:5" ht="15" customHeight="1" x14ac:dyDescent="0.2">
      <c r="A245" s="32" t="s">
        <v>246</v>
      </c>
      <c r="B245" s="33">
        <v>217.094650268555</v>
      </c>
      <c r="C245" s="33">
        <v>66.472496032714801</v>
      </c>
      <c r="D245" s="33">
        <v>92.054214477539105</v>
      </c>
      <c r="E245" s="33">
        <v>98.336502075195298</v>
      </c>
    </row>
    <row r="246" spans="1:5" ht="15" customHeight="1" x14ac:dyDescent="0.2">
      <c r="A246" s="32" t="s">
        <v>247</v>
      </c>
      <c r="B246" s="33">
        <v>221.34992980957</v>
      </c>
      <c r="C246" s="33">
        <v>67.211265563964801</v>
      </c>
      <c r="D246" s="33">
        <v>93.092094421386705</v>
      </c>
      <c r="E246" s="33">
        <v>98.259101867675795</v>
      </c>
    </row>
    <row r="247" spans="1:5" ht="15" customHeight="1" x14ac:dyDescent="0.2">
      <c r="A247" s="32" t="s">
        <v>248</v>
      </c>
      <c r="B247" s="33">
        <v>223.53839111328099</v>
      </c>
      <c r="C247" s="33">
        <v>67.837059020996094</v>
      </c>
      <c r="D247" s="33">
        <v>94.046920776367202</v>
      </c>
      <c r="E247" s="33">
        <v>98.345123291015597</v>
      </c>
    </row>
    <row r="248" spans="1:5" ht="15" customHeight="1" x14ac:dyDescent="0.2">
      <c r="A248" s="32" t="s">
        <v>249</v>
      </c>
      <c r="B248" s="33">
        <v>225.08152770996099</v>
      </c>
      <c r="C248" s="33">
        <v>68.236862182617202</v>
      </c>
      <c r="D248" s="33">
        <v>93.947280883789105</v>
      </c>
      <c r="E248" s="33">
        <v>98.224716186523395</v>
      </c>
    </row>
    <row r="249" spans="1:5" ht="15" customHeight="1" x14ac:dyDescent="0.2">
      <c r="A249" s="32" t="s">
        <v>250</v>
      </c>
      <c r="B249" s="33">
        <v>228.037109375</v>
      </c>
      <c r="C249" s="33">
        <v>68.767044067382798</v>
      </c>
      <c r="D249" s="33">
        <v>95.542167663574205</v>
      </c>
      <c r="E249" s="33">
        <v>98.276321411132798</v>
      </c>
    </row>
    <row r="250" spans="1:5" ht="15" customHeight="1" x14ac:dyDescent="0.2">
      <c r="A250" s="32" t="s">
        <v>251</v>
      </c>
      <c r="B250" s="33">
        <v>227.56776428222699</v>
      </c>
      <c r="C250" s="33">
        <v>68.793121337890597</v>
      </c>
      <c r="D250" s="33">
        <v>95.8941650390625</v>
      </c>
      <c r="E250" s="33">
        <v>98.233345031738295</v>
      </c>
    </row>
    <row r="251" spans="1:5" ht="15" customHeight="1" x14ac:dyDescent="0.2">
      <c r="A251" s="32" t="s">
        <v>252</v>
      </c>
      <c r="B251" s="33">
        <v>227.69921875</v>
      </c>
      <c r="C251" s="33">
        <v>68.767044067382798</v>
      </c>
      <c r="D251" s="33">
        <v>96.539489746093807</v>
      </c>
      <c r="E251" s="33">
        <v>97.940864562988295</v>
      </c>
    </row>
    <row r="252" spans="1:5" ht="15" customHeight="1" x14ac:dyDescent="0.2">
      <c r="A252" s="32" t="s">
        <v>253</v>
      </c>
      <c r="B252" s="33">
        <v>227.33314514160199</v>
      </c>
      <c r="C252" s="33">
        <v>68.586761474609403</v>
      </c>
      <c r="D252" s="33">
        <v>96.958534240722699</v>
      </c>
      <c r="E252" s="33">
        <v>98.155899047851605</v>
      </c>
    </row>
    <row r="253" spans="1:5" ht="15" customHeight="1" x14ac:dyDescent="0.2">
      <c r="A253" s="32" t="s">
        <v>254</v>
      </c>
      <c r="B253" s="33">
        <v>226.61045837402301</v>
      </c>
      <c r="C253" s="33">
        <v>68.525794982910199</v>
      </c>
      <c r="D253" s="33">
        <v>97.226715087890597</v>
      </c>
      <c r="E253" s="33">
        <v>98.121505737304702</v>
      </c>
    </row>
    <row r="254" spans="1:5" ht="15" customHeight="1" x14ac:dyDescent="0.2">
      <c r="A254" s="32" t="s">
        <v>255</v>
      </c>
      <c r="B254" s="33">
        <v>228.04647827148401</v>
      </c>
      <c r="C254" s="33">
        <v>68.969978332519503</v>
      </c>
      <c r="D254" s="33">
        <v>96.464042663574205</v>
      </c>
      <c r="E254" s="33">
        <v>97.450630187988295</v>
      </c>
    </row>
    <row r="255" spans="1:5" ht="15" customHeight="1" x14ac:dyDescent="0.2">
      <c r="A255" s="32" t="s">
        <v>256</v>
      </c>
      <c r="B255" s="33">
        <v>227.614669799805</v>
      </c>
      <c r="C255" s="33">
        <v>69.361907958984403</v>
      </c>
      <c r="D255" s="33">
        <v>96.346717834472699</v>
      </c>
      <c r="E255" s="33">
        <v>97.4420166015625</v>
      </c>
    </row>
    <row r="256" spans="1:5" ht="15" customHeight="1" x14ac:dyDescent="0.2">
      <c r="A256" s="32" t="s">
        <v>257</v>
      </c>
      <c r="B256" s="33">
        <v>222.67779541015599</v>
      </c>
      <c r="C256" s="33">
        <v>68.752243041992202</v>
      </c>
      <c r="D256" s="33">
        <v>93.589408874511705</v>
      </c>
      <c r="E256" s="33">
        <v>97.1409912109375</v>
      </c>
    </row>
    <row r="257" spans="1:5" ht="15" customHeight="1" x14ac:dyDescent="0.2">
      <c r="A257" s="32" t="s">
        <v>258</v>
      </c>
      <c r="B257" s="33">
        <v>222.62147521972699</v>
      </c>
      <c r="C257" s="33">
        <v>68.403877258300795</v>
      </c>
      <c r="D257" s="33">
        <v>93.673225402832102</v>
      </c>
      <c r="E257" s="33">
        <v>97.037788391113295</v>
      </c>
    </row>
    <row r="258" spans="1:5" ht="15" customHeight="1" x14ac:dyDescent="0.2">
      <c r="A258" s="32" t="s">
        <v>259</v>
      </c>
      <c r="B258" s="33">
        <v>221.60780334472699</v>
      </c>
      <c r="C258" s="33">
        <v>68.604179382324205</v>
      </c>
      <c r="D258" s="33">
        <v>93.053039550781193</v>
      </c>
      <c r="E258" s="33">
        <v>96.753929138183594</v>
      </c>
    </row>
    <row r="259" spans="1:5" ht="15" customHeight="1" x14ac:dyDescent="0.2">
      <c r="A259" s="32" t="s">
        <v>260</v>
      </c>
      <c r="B259" s="33">
        <v>221.22299194335901</v>
      </c>
      <c r="C259" s="33">
        <v>67.968399047851605</v>
      </c>
      <c r="D259" s="33">
        <v>92.516654968261705</v>
      </c>
      <c r="E259" s="33">
        <v>96.667907714843807</v>
      </c>
    </row>
    <row r="260" spans="1:5" ht="15" customHeight="1" x14ac:dyDescent="0.2">
      <c r="A260" s="32" t="s">
        <v>261</v>
      </c>
      <c r="B260" s="33">
        <v>223.42864990234401</v>
      </c>
      <c r="C260" s="33">
        <v>68.708694458007798</v>
      </c>
      <c r="D260" s="33">
        <v>92.659126281738295</v>
      </c>
      <c r="E260" s="33">
        <v>96.848541259765597</v>
      </c>
    </row>
    <row r="261" spans="1:5" ht="15" customHeight="1" x14ac:dyDescent="0.2">
      <c r="A261" s="32" t="s">
        <v>262</v>
      </c>
      <c r="B261" s="33">
        <v>223.77590942382801</v>
      </c>
      <c r="C261" s="33">
        <v>69.379318237304702</v>
      </c>
      <c r="D261" s="33">
        <v>92.768096923828097</v>
      </c>
      <c r="E261" s="33">
        <v>96.848541259765597</v>
      </c>
    </row>
    <row r="262" spans="1:5" ht="15" customHeight="1" x14ac:dyDescent="0.2">
      <c r="A262" s="32" t="s">
        <v>263</v>
      </c>
      <c r="B262" s="33">
        <v>220.50028991699199</v>
      </c>
      <c r="C262" s="33">
        <v>68.874168395996094</v>
      </c>
      <c r="D262" s="33">
        <v>92.583694458007798</v>
      </c>
      <c r="E262" s="33">
        <v>97.020545959472699</v>
      </c>
    </row>
    <row r="263" spans="1:5" ht="15" customHeight="1" x14ac:dyDescent="0.2">
      <c r="A263" s="32" t="s">
        <v>264</v>
      </c>
      <c r="B263" s="33">
        <v>220.58480834960901</v>
      </c>
      <c r="C263" s="33">
        <v>68.804504394531307</v>
      </c>
      <c r="D263" s="33">
        <v>91.745620727539105</v>
      </c>
      <c r="E263" s="33">
        <v>96.478675842285199</v>
      </c>
    </row>
    <row r="264" spans="1:5" ht="15" customHeight="1" x14ac:dyDescent="0.2">
      <c r="A264" s="32" t="s">
        <v>265</v>
      </c>
      <c r="B264" s="33">
        <v>216.29544067382801</v>
      </c>
      <c r="C264" s="33">
        <v>67.794204711914105</v>
      </c>
      <c r="D264" s="33">
        <v>90.781814575195298</v>
      </c>
      <c r="E264" s="33">
        <v>95.893783569335895</v>
      </c>
    </row>
    <row r="265" spans="1:5" ht="15" customHeight="1" x14ac:dyDescent="0.2">
      <c r="A265" s="32" t="s">
        <v>266</v>
      </c>
      <c r="B265" s="33">
        <v>214.02410888671901</v>
      </c>
      <c r="C265" s="33">
        <v>67.733230590820298</v>
      </c>
      <c r="D265" s="33">
        <v>89.558212280273395</v>
      </c>
      <c r="E265" s="33">
        <v>96.100242614746094</v>
      </c>
    </row>
    <row r="266" spans="1:5" ht="15" customHeight="1" x14ac:dyDescent="0.2">
      <c r="A266" s="32" t="s">
        <v>267</v>
      </c>
      <c r="B266" s="33">
        <v>211.52746582031301</v>
      </c>
      <c r="C266" s="33">
        <v>67.402282714843807</v>
      </c>
      <c r="D266" s="33">
        <v>88.410011291503906</v>
      </c>
      <c r="E266" s="33">
        <v>96.151824951171903</v>
      </c>
    </row>
    <row r="267" spans="1:5" ht="15" customHeight="1" x14ac:dyDescent="0.2">
      <c r="A267" s="32" t="s">
        <v>268</v>
      </c>
      <c r="B267" s="33">
        <v>207.34144592285199</v>
      </c>
      <c r="C267" s="33">
        <v>66.487785339355497</v>
      </c>
      <c r="D267" s="33">
        <v>88.192123413085895</v>
      </c>
      <c r="E267" s="33">
        <v>96.530311584472699</v>
      </c>
    </row>
    <row r="268" spans="1:5" ht="15" customHeight="1" x14ac:dyDescent="0.2">
      <c r="A268" s="32" t="s">
        <v>269</v>
      </c>
      <c r="B268" s="33">
        <v>208.67422485351599</v>
      </c>
      <c r="C268" s="33">
        <v>65.825874328613295</v>
      </c>
      <c r="D268" s="33">
        <v>88.359756469726605</v>
      </c>
      <c r="E268" s="33">
        <v>96.418472290039105</v>
      </c>
    </row>
    <row r="269" spans="1:5" ht="15" customHeight="1" x14ac:dyDescent="0.2">
      <c r="A269" s="32" t="s">
        <v>270</v>
      </c>
      <c r="B269" s="33">
        <v>205.75518798828099</v>
      </c>
      <c r="C269" s="33">
        <v>65.425254821777301</v>
      </c>
      <c r="D269" s="33">
        <v>88.007743835449205</v>
      </c>
      <c r="E269" s="33">
        <v>96.323883056640597</v>
      </c>
    </row>
    <row r="270" spans="1:5" ht="15" customHeight="1" x14ac:dyDescent="0.2">
      <c r="A270" s="32" t="s">
        <v>271</v>
      </c>
      <c r="B270" s="33">
        <v>204.95739746093801</v>
      </c>
      <c r="C270" s="33">
        <v>65.172668457031307</v>
      </c>
      <c r="D270" s="33">
        <v>86.633277893066406</v>
      </c>
      <c r="E270" s="33">
        <v>95.782012939453097</v>
      </c>
    </row>
    <row r="271" spans="1:5" ht="15" customHeight="1" x14ac:dyDescent="0.2">
      <c r="A271" s="32" t="s">
        <v>272</v>
      </c>
      <c r="B271" s="33">
        <v>203.43695068359401</v>
      </c>
      <c r="C271" s="33">
        <v>64.867843627929702</v>
      </c>
      <c r="D271" s="33">
        <v>85.200149536132798</v>
      </c>
      <c r="E271" s="33">
        <v>96.100242614746094</v>
      </c>
    </row>
    <row r="272" spans="1:5" ht="15" customHeight="1" x14ac:dyDescent="0.2">
      <c r="A272" s="32" t="s">
        <v>273</v>
      </c>
      <c r="B272" s="33">
        <v>208.44894409179699</v>
      </c>
      <c r="C272" s="33">
        <v>65.0855712890625</v>
      </c>
      <c r="D272" s="33">
        <v>87.957458496093807</v>
      </c>
      <c r="E272" s="33">
        <v>96.169052124023395</v>
      </c>
    </row>
    <row r="273" spans="1:5" ht="15" customHeight="1" x14ac:dyDescent="0.2">
      <c r="A273" s="32" t="s">
        <v>274</v>
      </c>
      <c r="B273" s="33">
        <v>212.87904357910199</v>
      </c>
      <c r="C273" s="33">
        <v>66.034904479980497</v>
      </c>
      <c r="D273" s="33">
        <v>89.038581848144503</v>
      </c>
      <c r="E273" s="33">
        <v>96.160446166992202</v>
      </c>
    </row>
    <row r="274" spans="1:5" ht="15" customHeight="1" x14ac:dyDescent="0.2">
      <c r="A274" s="32" t="s">
        <v>275</v>
      </c>
      <c r="B274" s="33">
        <v>214.50274658203099</v>
      </c>
      <c r="C274" s="33">
        <v>66.6619873046875</v>
      </c>
      <c r="D274" s="33">
        <v>88.720123291015597</v>
      </c>
      <c r="E274" s="33">
        <v>96.126853942871094</v>
      </c>
    </row>
    <row r="275" spans="1:5" ht="15" customHeight="1" x14ac:dyDescent="0.2">
      <c r="A275" s="32" t="s">
        <v>276</v>
      </c>
      <c r="B275" s="33">
        <v>215.92007446289099</v>
      </c>
      <c r="C275" s="33">
        <v>67.158416748046903</v>
      </c>
      <c r="D275" s="33">
        <v>89.851547241210895</v>
      </c>
      <c r="E275" s="33">
        <v>96.230255126953097</v>
      </c>
    </row>
    <row r="276" spans="1:5" ht="15" customHeight="1" x14ac:dyDescent="0.2">
      <c r="A276" s="32" t="s">
        <v>277</v>
      </c>
      <c r="B276" s="33">
        <v>210.78599548339801</v>
      </c>
      <c r="C276" s="33">
        <v>66.095870971679702</v>
      </c>
      <c r="D276" s="33">
        <v>88.896125793457003</v>
      </c>
      <c r="E276" s="33">
        <v>95.842628479003906</v>
      </c>
    </row>
    <row r="277" spans="1:5" ht="15" customHeight="1" x14ac:dyDescent="0.2">
      <c r="A277" s="32" t="s">
        <v>278</v>
      </c>
      <c r="B277" s="33">
        <v>212.18450927734401</v>
      </c>
      <c r="C277" s="33">
        <v>66.252624511718807</v>
      </c>
      <c r="D277" s="33">
        <v>88.016128540039105</v>
      </c>
      <c r="E277" s="33">
        <v>95.239646911621094</v>
      </c>
    </row>
    <row r="278" spans="1:5" ht="15" customHeight="1" x14ac:dyDescent="0.2">
      <c r="A278" s="32" t="s">
        <v>279</v>
      </c>
      <c r="B278" s="33">
        <v>211.64950561523401</v>
      </c>
      <c r="C278" s="33">
        <v>66.365852355957003</v>
      </c>
      <c r="D278" s="33">
        <v>87.890419006347699</v>
      </c>
      <c r="E278" s="33">
        <v>95.325820922851605</v>
      </c>
    </row>
    <row r="279" spans="1:5" ht="15" customHeight="1" x14ac:dyDescent="0.2">
      <c r="A279" s="32" t="s">
        <v>280</v>
      </c>
      <c r="B279" s="33">
        <v>213.59237670898401</v>
      </c>
      <c r="C279" s="33">
        <v>66.705513000488295</v>
      </c>
      <c r="D279" s="33">
        <v>87.479743957519503</v>
      </c>
      <c r="E279" s="33">
        <v>95.032913208007798</v>
      </c>
    </row>
    <row r="280" spans="1:5" ht="15" customHeight="1" x14ac:dyDescent="0.2">
      <c r="A280" s="32" t="s">
        <v>281</v>
      </c>
      <c r="B280" s="33">
        <v>217.06512451171901</v>
      </c>
      <c r="C280" s="33">
        <v>67.785484313964801</v>
      </c>
      <c r="D280" s="33">
        <v>89.4576416015625</v>
      </c>
      <c r="E280" s="33">
        <v>95.093231201171903</v>
      </c>
    </row>
    <row r="281" spans="1:5" ht="15" customHeight="1" x14ac:dyDescent="0.2">
      <c r="A281" s="32" t="s">
        <v>282</v>
      </c>
      <c r="B281" s="33">
        <v>213.38584899902301</v>
      </c>
      <c r="C281" s="33">
        <v>66.923248291015597</v>
      </c>
      <c r="D281" s="33">
        <v>87.345642089843807</v>
      </c>
      <c r="E281" s="33">
        <v>94.214653015136705</v>
      </c>
    </row>
    <row r="282" spans="1:5" ht="15" customHeight="1" x14ac:dyDescent="0.2">
      <c r="A282" s="32" t="s">
        <v>283</v>
      </c>
      <c r="B282" s="33">
        <v>209.24673461914099</v>
      </c>
      <c r="C282" s="33">
        <v>65.912956237792997</v>
      </c>
      <c r="D282" s="33">
        <v>86.549453735351605</v>
      </c>
      <c r="E282" s="33">
        <v>94.834823608398395</v>
      </c>
    </row>
    <row r="283" spans="1:5" ht="15" customHeight="1" x14ac:dyDescent="0.2">
      <c r="A283" s="32" t="s">
        <v>284</v>
      </c>
      <c r="B283" s="33">
        <v>208.47714233398401</v>
      </c>
      <c r="C283" s="33">
        <v>65.4862060546875</v>
      </c>
      <c r="D283" s="33">
        <v>85.761680603027301</v>
      </c>
      <c r="E283" s="33">
        <v>94.283576965332102</v>
      </c>
    </row>
    <row r="284" spans="1:5" ht="15" customHeight="1" x14ac:dyDescent="0.2">
      <c r="A284" s="32" t="s">
        <v>285</v>
      </c>
      <c r="B284" s="33">
        <v>212.18450927734401</v>
      </c>
      <c r="C284" s="33">
        <v>66.688102722167997</v>
      </c>
      <c r="D284" s="33">
        <v>86.532707214355497</v>
      </c>
      <c r="E284" s="33">
        <v>94.128501892089801</v>
      </c>
    </row>
    <row r="285" spans="1:5" ht="15" customHeight="1" x14ac:dyDescent="0.2">
      <c r="A285" s="32" t="s">
        <v>286</v>
      </c>
      <c r="B285" s="33">
        <v>212.381591796875</v>
      </c>
      <c r="C285" s="33">
        <v>66.940681457519503</v>
      </c>
      <c r="D285" s="33">
        <v>86.934989929199205</v>
      </c>
      <c r="E285" s="33">
        <v>94.240470886230497</v>
      </c>
    </row>
    <row r="286" spans="1:5" ht="15" customHeight="1" x14ac:dyDescent="0.2">
      <c r="A286" s="32" t="s">
        <v>287</v>
      </c>
      <c r="B286" s="33">
        <v>207.55729675293</v>
      </c>
      <c r="C286" s="33">
        <v>65.860710144042997</v>
      </c>
      <c r="D286" s="33">
        <v>86.013107299804702</v>
      </c>
      <c r="E286" s="33">
        <v>94.4385986328125</v>
      </c>
    </row>
    <row r="287" spans="1:5" ht="15" customHeight="1" x14ac:dyDescent="0.2">
      <c r="A287" s="32" t="s">
        <v>288</v>
      </c>
      <c r="B287" s="33">
        <v>205.89604187011699</v>
      </c>
      <c r="C287" s="33">
        <v>65.582015991210895</v>
      </c>
      <c r="D287" s="33">
        <v>85.493453979492202</v>
      </c>
      <c r="E287" s="33">
        <v>94.636688232421903</v>
      </c>
    </row>
    <row r="288" spans="1:5" ht="15" customHeight="1" x14ac:dyDescent="0.2">
      <c r="A288" s="32" t="s">
        <v>289</v>
      </c>
      <c r="B288" s="33">
        <v>203.53077697753901</v>
      </c>
      <c r="C288" s="33">
        <v>64.815567016601605</v>
      </c>
      <c r="D288" s="33">
        <v>85.183364868164105</v>
      </c>
      <c r="E288" s="33">
        <v>94.533363342285199</v>
      </c>
    </row>
    <row r="289" spans="1:5" ht="15" customHeight="1" x14ac:dyDescent="0.2">
      <c r="A289" s="32" t="s">
        <v>290</v>
      </c>
      <c r="B289" s="33">
        <v>199.78585815429699</v>
      </c>
      <c r="C289" s="33">
        <v>64.284286499023395</v>
      </c>
      <c r="D289" s="33">
        <v>83.775390625</v>
      </c>
      <c r="E289" s="33">
        <v>94.111289978027301</v>
      </c>
    </row>
    <row r="290" spans="1:5" ht="15" customHeight="1" x14ac:dyDescent="0.2">
      <c r="A290" s="32" t="s">
        <v>291</v>
      </c>
      <c r="B290" s="33">
        <v>203.28674316406301</v>
      </c>
      <c r="C290" s="33">
        <v>63.422065734863303</v>
      </c>
      <c r="D290" s="33">
        <v>85.183364868164105</v>
      </c>
      <c r="E290" s="33">
        <v>94.283576965332102</v>
      </c>
    </row>
    <row r="291" spans="1:5" ht="15" customHeight="1" x14ac:dyDescent="0.2">
      <c r="A291" s="32" t="s">
        <v>292</v>
      </c>
      <c r="B291" s="33">
        <v>207.81074523925801</v>
      </c>
      <c r="C291" s="33">
        <v>65.007186889648395</v>
      </c>
      <c r="D291" s="33">
        <v>87.236686706542997</v>
      </c>
      <c r="E291" s="33">
        <v>94.378326416015597</v>
      </c>
    </row>
    <row r="292" spans="1:5" ht="15" customHeight="1" x14ac:dyDescent="0.2">
      <c r="A292" s="32" t="s">
        <v>293</v>
      </c>
      <c r="B292" s="33">
        <v>207.58544921875</v>
      </c>
      <c r="C292" s="33">
        <v>63.770454406738303</v>
      </c>
      <c r="D292" s="33">
        <v>85.937667846679702</v>
      </c>
      <c r="E292" s="33">
        <v>95.058776855468807</v>
      </c>
    </row>
    <row r="293" spans="1:5" ht="15" customHeight="1" x14ac:dyDescent="0.2">
      <c r="A293" s="32" t="s">
        <v>294</v>
      </c>
      <c r="B293" s="33">
        <v>204.34735107421901</v>
      </c>
      <c r="C293" s="33">
        <v>62.376941680908203</v>
      </c>
      <c r="D293" s="33">
        <v>85.485092163085895</v>
      </c>
      <c r="E293" s="33">
        <v>95.594459533691406</v>
      </c>
    </row>
    <row r="294" spans="1:5" ht="15" customHeight="1" x14ac:dyDescent="0.2">
      <c r="A294" s="32" t="s">
        <v>295</v>
      </c>
      <c r="B294" s="33">
        <v>208.22369384765599</v>
      </c>
      <c r="C294" s="33">
        <v>63.160789489746101</v>
      </c>
      <c r="D294" s="33">
        <v>87.085853576660199</v>
      </c>
      <c r="E294" s="33">
        <v>94.447189331054702</v>
      </c>
    </row>
    <row r="295" spans="1:5" ht="15" customHeight="1" x14ac:dyDescent="0.2">
      <c r="A295" s="32" t="s">
        <v>296</v>
      </c>
      <c r="B295" s="33">
        <v>206.63749694824199</v>
      </c>
      <c r="C295" s="33">
        <v>61.915328979492202</v>
      </c>
      <c r="D295" s="33">
        <v>87.7982177734375</v>
      </c>
      <c r="E295" s="33">
        <v>94.766349792480497</v>
      </c>
    </row>
    <row r="296" spans="1:5" ht="15" customHeight="1" x14ac:dyDescent="0.2">
      <c r="A296" s="32" t="s">
        <v>297</v>
      </c>
      <c r="B296" s="33">
        <v>204.57263183593801</v>
      </c>
      <c r="C296" s="33">
        <v>60.1211967468262</v>
      </c>
      <c r="D296" s="33">
        <v>88.200515747070298</v>
      </c>
      <c r="E296" s="33">
        <v>95.145927429199205</v>
      </c>
    </row>
    <row r="297" spans="1:5" ht="15" customHeight="1" x14ac:dyDescent="0.2">
      <c r="A297" s="32" t="s">
        <v>298</v>
      </c>
      <c r="B297" s="33">
        <v>198.26539611816401</v>
      </c>
      <c r="C297" s="33">
        <v>58.213825225830099</v>
      </c>
      <c r="D297" s="33">
        <v>86.457283020019503</v>
      </c>
      <c r="E297" s="33">
        <v>94.593841552734403</v>
      </c>
    </row>
    <row r="298" spans="1:5" ht="15" customHeight="1" x14ac:dyDescent="0.2">
      <c r="A298" s="32" t="s">
        <v>299</v>
      </c>
      <c r="B298" s="33">
        <v>197.14845275878901</v>
      </c>
      <c r="C298" s="33">
        <v>58.718971252441399</v>
      </c>
      <c r="D298" s="33">
        <v>86.038238525390597</v>
      </c>
      <c r="E298" s="33">
        <v>94.257408142089801</v>
      </c>
    </row>
    <row r="299" spans="1:5" ht="15" customHeight="1" x14ac:dyDescent="0.2">
      <c r="A299" s="32" t="s">
        <v>300</v>
      </c>
      <c r="B299" s="33">
        <v>202.620361328125</v>
      </c>
      <c r="C299" s="33">
        <v>61.175033569335902</v>
      </c>
      <c r="D299" s="33">
        <v>87.362403869628906</v>
      </c>
      <c r="E299" s="33">
        <v>94.059028625488295</v>
      </c>
    </row>
    <row r="300" spans="1:5" ht="15" customHeight="1" x14ac:dyDescent="0.2">
      <c r="A300" s="32" t="s">
        <v>301</v>
      </c>
      <c r="B300" s="33">
        <v>201.70999145507801</v>
      </c>
      <c r="C300" s="33">
        <v>60.443443298339801</v>
      </c>
      <c r="D300" s="33">
        <v>87.580322265625</v>
      </c>
      <c r="E300" s="33">
        <v>93.5328369140625</v>
      </c>
    </row>
    <row r="301" spans="1:5" ht="15" customHeight="1" x14ac:dyDescent="0.2">
      <c r="A301" s="32" t="s">
        <v>302</v>
      </c>
      <c r="B301" s="33">
        <v>198.96929931640599</v>
      </c>
      <c r="C301" s="33">
        <v>59.790233612060597</v>
      </c>
      <c r="D301" s="33">
        <v>86.884719848632798</v>
      </c>
      <c r="E301" s="33">
        <v>93.515586853027301</v>
      </c>
    </row>
    <row r="302" spans="1:5" ht="15" customHeight="1" x14ac:dyDescent="0.2">
      <c r="A302" s="32" t="s">
        <v>303</v>
      </c>
      <c r="B302" s="33">
        <v>197.00765991210901</v>
      </c>
      <c r="C302" s="33">
        <v>60.338935852050803</v>
      </c>
      <c r="D302" s="33">
        <v>86.205856323242202</v>
      </c>
      <c r="E302" s="33">
        <v>92.609840393066406</v>
      </c>
    </row>
    <row r="303" spans="1:5" ht="15" customHeight="1" x14ac:dyDescent="0.2">
      <c r="A303" s="32" t="s">
        <v>304</v>
      </c>
      <c r="B303" s="33">
        <v>201.11865234375</v>
      </c>
      <c r="C303" s="33">
        <v>60.9137573242188</v>
      </c>
      <c r="D303" s="33">
        <v>86.784126281738295</v>
      </c>
      <c r="E303" s="33">
        <v>92.816879272460895</v>
      </c>
    </row>
    <row r="304" spans="1:5" ht="15" customHeight="1" x14ac:dyDescent="0.2">
      <c r="A304" s="32" t="s">
        <v>305</v>
      </c>
      <c r="B304" s="33">
        <v>206.14944458007801</v>
      </c>
      <c r="C304" s="33">
        <v>63.099822998046903</v>
      </c>
      <c r="D304" s="33">
        <v>87.814987182617202</v>
      </c>
      <c r="E304" s="33">
        <v>92.885848999023395</v>
      </c>
    </row>
    <row r="305" spans="1:5" ht="15" customHeight="1" x14ac:dyDescent="0.2">
      <c r="A305" s="32" t="s">
        <v>306</v>
      </c>
      <c r="B305" s="33">
        <v>208.90885925293</v>
      </c>
      <c r="C305" s="33">
        <v>63.631095886230497</v>
      </c>
      <c r="D305" s="33">
        <v>89.172683715820298</v>
      </c>
      <c r="E305" s="33">
        <v>93.041122436523395</v>
      </c>
    </row>
    <row r="306" spans="1:5" ht="15" customHeight="1" x14ac:dyDescent="0.2">
      <c r="A306" s="32" t="s">
        <v>307</v>
      </c>
      <c r="B306" s="33">
        <v>211.34913635253901</v>
      </c>
      <c r="C306" s="33">
        <v>64.249458312988295</v>
      </c>
      <c r="D306" s="33">
        <v>89.172683715820298</v>
      </c>
      <c r="E306" s="33">
        <v>93.248130798339801</v>
      </c>
    </row>
    <row r="307" spans="1:5" ht="15" customHeight="1" x14ac:dyDescent="0.2">
      <c r="A307" s="32" t="s">
        <v>308</v>
      </c>
      <c r="B307" s="33">
        <v>211.15205383300801</v>
      </c>
      <c r="C307" s="33">
        <v>63.848831176757798</v>
      </c>
      <c r="D307" s="33">
        <v>88.627922058105497</v>
      </c>
      <c r="E307" s="33">
        <v>92.333786010742202</v>
      </c>
    </row>
    <row r="308" spans="1:5" ht="15" customHeight="1" x14ac:dyDescent="0.2">
      <c r="A308" s="32" t="s">
        <v>309</v>
      </c>
      <c r="B308" s="33">
        <v>213.74249267578099</v>
      </c>
      <c r="C308" s="33">
        <v>64.449790954589801</v>
      </c>
      <c r="D308" s="33">
        <v>88.854202270507798</v>
      </c>
      <c r="E308" s="33">
        <v>92.0836181640625</v>
      </c>
    </row>
    <row r="309" spans="1:5" ht="15" customHeight="1" x14ac:dyDescent="0.2">
      <c r="A309" s="32" t="s">
        <v>310</v>
      </c>
      <c r="B309" s="33">
        <v>210.83142089843801</v>
      </c>
      <c r="C309" s="33">
        <v>63.613677978515597</v>
      </c>
      <c r="D309" s="33">
        <v>87.857322692871094</v>
      </c>
      <c r="E309" s="33">
        <v>92.463203430175795</v>
      </c>
    </row>
    <row r="310" spans="1:5" ht="15" customHeight="1" x14ac:dyDescent="0.2">
      <c r="A310" s="32" t="s">
        <v>311</v>
      </c>
      <c r="B310" s="33">
        <v>213.83476257324199</v>
      </c>
      <c r="C310" s="33">
        <v>64.205917358398395</v>
      </c>
      <c r="D310" s="33">
        <v>88.413490295410199</v>
      </c>
      <c r="E310" s="33">
        <v>92.256149291992202</v>
      </c>
    </row>
    <row r="311" spans="1:5" ht="15" customHeight="1" x14ac:dyDescent="0.2">
      <c r="A311" s="32" t="s">
        <v>312</v>
      </c>
      <c r="B311" s="33">
        <v>214.74803161621099</v>
      </c>
      <c r="C311" s="33">
        <v>64.240768432617202</v>
      </c>
      <c r="D311" s="33">
        <v>89.517417907714801</v>
      </c>
      <c r="E311" s="33">
        <v>91.522926330566406</v>
      </c>
    </row>
    <row r="312" spans="1:5" ht="15" customHeight="1" x14ac:dyDescent="0.2">
      <c r="A312" s="32" t="s">
        <v>313</v>
      </c>
      <c r="B312" s="33">
        <v>216.14146423339801</v>
      </c>
      <c r="C312" s="33">
        <v>64.031730651855497</v>
      </c>
      <c r="D312" s="33">
        <v>90.469612121582102</v>
      </c>
      <c r="E312" s="33">
        <v>91.747207641601605</v>
      </c>
    </row>
    <row r="313" spans="1:5" ht="15" customHeight="1" x14ac:dyDescent="0.2">
      <c r="A313" s="32" t="s">
        <v>314</v>
      </c>
      <c r="B313" s="33">
        <v>219.41792297363301</v>
      </c>
      <c r="C313" s="33">
        <v>65.451370239257798</v>
      </c>
      <c r="D313" s="33">
        <v>93.124053955078097</v>
      </c>
      <c r="E313" s="33">
        <v>92.178527832031193</v>
      </c>
    </row>
    <row r="314" spans="1:5" ht="15" customHeight="1" x14ac:dyDescent="0.2">
      <c r="A314" s="32" t="s">
        <v>315</v>
      </c>
      <c r="B314" s="33">
        <v>217.63845825195301</v>
      </c>
      <c r="C314" s="33">
        <v>65.181365966796903</v>
      </c>
      <c r="D314" s="33">
        <v>92.449928283691406</v>
      </c>
      <c r="E314" s="33">
        <v>92.428672790527301</v>
      </c>
    </row>
    <row r="315" spans="1:5" ht="15" customHeight="1" x14ac:dyDescent="0.2">
      <c r="A315" s="32" t="s">
        <v>316</v>
      </c>
      <c r="B315" s="33">
        <v>214.352615356445</v>
      </c>
      <c r="C315" s="33">
        <v>64.101402282714801</v>
      </c>
      <c r="D315" s="33">
        <v>91.320732116699205</v>
      </c>
      <c r="E315" s="33">
        <v>92.385551452636705</v>
      </c>
    </row>
    <row r="316" spans="1:5" ht="15" customHeight="1" x14ac:dyDescent="0.2">
      <c r="A316" s="32" t="s">
        <v>317</v>
      </c>
      <c r="B316" s="33">
        <v>215.20941162109401</v>
      </c>
      <c r="C316" s="33">
        <v>64.702362060546903</v>
      </c>
      <c r="D316" s="33">
        <v>93.098777770996094</v>
      </c>
      <c r="E316" s="33">
        <v>92.221389770507798</v>
      </c>
    </row>
    <row r="317" spans="1:5" ht="15" customHeight="1" x14ac:dyDescent="0.2">
      <c r="A317" s="32" t="s">
        <v>318</v>
      </c>
      <c r="B317" s="33">
        <v>217.03591918945301</v>
      </c>
      <c r="C317" s="33">
        <v>64.963630676269503</v>
      </c>
      <c r="D317" s="33">
        <v>92.643745422363295</v>
      </c>
      <c r="E317" s="33">
        <v>92.299140930175795</v>
      </c>
    </row>
    <row r="318" spans="1:5" ht="15" customHeight="1" x14ac:dyDescent="0.2">
      <c r="A318" s="32" t="s">
        <v>319</v>
      </c>
      <c r="B318" s="33">
        <v>213.86306762695301</v>
      </c>
      <c r="C318" s="33">
        <v>64.083976745605497</v>
      </c>
      <c r="D318" s="33">
        <v>92.188674926757798</v>
      </c>
      <c r="E318" s="33">
        <v>91.366157531738295</v>
      </c>
    </row>
    <row r="319" spans="1:5" ht="15" customHeight="1" x14ac:dyDescent="0.2">
      <c r="A319" s="32" t="s">
        <v>320</v>
      </c>
      <c r="B319" s="33">
        <v>211.40573120117199</v>
      </c>
      <c r="C319" s="33">
        <v>63.317550659179702</v>
      </c>
      <c r="D319" s="33">
        <v>93.284149169921903</v>
      </c>
      <c r="E319" s="33">
        <v>91.132896423339801</v>
      </c>
    </row>
    <row r="320" spans="1:5" ht="15" customHeight="1" x14ac:dyDescent="0.2">
      <c r="A320" s="32" t="s">
        <v>321</v>
      </c>
      <c r="B320" s="33">
        <v>212.20599365234401</v>
      </c>
      <c r="C320" s="33">
        <v>63.4569091796875</v>
      </c>
      <c r="D320" s="33">
        <v>92.357215881347699</v>
      </c>
      <c r="E320" s="33">
        <v>90.934188842773395</v>
      </c>
    </row>
    <row r="321" spans="1:5" ht="15" customHeight="1" x14ac:dyDescent="0.2">
      <c r="A321" s="32" t="s">
        <v>322</v>
      </c>
      <c r="B321" s="33">
        <v>211.54693603515599</v>
      </c>
      <c r="C321" s="33">
        <v>63.483039855957003</v>
      </c>
      <c r="D321" s="33">
        <v>92.508895874023395</v>
      </c>
      <c r="E321" s="33">
        <v>90.476333618164105</v>
      </c>
    </row>
    <row r="322" spans="1:5" ht="15" customHeight="1" x14ac:dyDescent="0.2">
      <c r="A322" s="32" t="s">
        <v>323</v>
      </c>
      <c r="B322" s="33">
        <v>208.24224853515599</v>
      </c>
      <c r="C322" s="33">
        <v>62.812419891357401</v>
      </c>
      <c r="D322" s="33">
        <v>91.514541625976605</v>
      </c>
      <c r="E322" s="33">
        <v>90.087577819824205</v>
      </c>
    </row>
    <row r="323" spans="1:5" ht="15" customHeight="1" x14ac:dyDescent="0.2">
      <c r="A323" s="32" t="s">
        <v>324</v>
      </c>
      <c r="B323" s="33">
        <v>207.60200500488301</v>
      </c>
      <c r="C323" s="33">
        <v>62.342105865478501</v>
      </c>
      <c r="D323" s="33">
        <v>91.379707336425795</v>
      </c>
      <c r="E323" s="33">
        <v>90.372665405273395</v>
      </c>
    </row>
    <row r="324" spans="1:5" ht="15" customHeight="1" x14ac:dyDescent="0.2">
      <c r="A324" s="32" t="s">
        <v>325</v>
      </c>
      <c r="B324" s="33">
        <v>210.322998046875</v>
      </c>
      <c r="C324" s="33">
        <v>63.012737274169901</v>
      </c>
      <c r="D324" s="33">
        <v>92.028587341308594</v>
      </c>
      <c r="E324" s="33">
        <v>90.554107666015597</v>
      </c>
    </row>
    <row r="325" spans="1:5" ht="15" customHeight="1" x14ac:dyDescent="0.2">
      <c r="A325" s="32" t="s">
        <v>326</v>
      </c>
      <c r="B325" s="33">
        <v>207.76206970214801</v>
      </c>
      <c r="C325" s="33">
        <v>62.725303649902301</v>
      </c>
      <c r="D325" s="33">
        <v>91.632522583007798</v>
      </c>
      <c r="E325" s="33">
        <v>89.819786071777301</v>
      </c>
    </row>
    <row r="326" spans="1:5" ht="15" customHeight="1" x14ac:dyDescent="0.2">
      <c r="A326" s="32" t="s">
        <v>327</v>
      </c>
      <c r="B326" s="33">
        <v>207.40432739257801</v>
      </c>
      <c r="C326" s="33">
        <v>62.359519958496101</v>
      </c>
      <c r="D326" s="33">
        <v>91.261726379394503</v>
      </c>
      <c r="E326" s="33">
        <v>89.543312072753906</v>
      </c>
    </row>
    <row r="327" spans="1:5" ht="15" customHeight="1" x14ac:dyDescent="0.2">
      <c r="A327" s="32" t="s">
        <v>328</v>
      </c>
      <c r="B327" s="33">
        <v>211.05732727050801</v>
      </c>
      <c r="C327" s="33">
        <v>62.655628204345703</v>
      </c>
      <c r="D327" s="33">
        <v>93.250450134277301</v>
      </c>
      <c r="E327" s="33">
        <v>88.999031066894503</v>
      </c>
    </row>
    <row r="328" spans="1:5" ht="15" customHeight="1" x14ac:dyDescent="0.2">
      <c r="A328" s="32" t="s">
        <v>329</v>
      </c>
      <c r="B328" s="33">
        <v>210.78434753418</v>
      </c>
      <c r="C328" s="33">
        <v>63.073688507080099</v>
      </c>
      <c r="D328" s="33">
        <v>94.800971984863295</v>
      </c>
      <c r="E328" s="33">
        <v>89.508781433105497</v>
      </c>
    </row>
    <row r="329" spans="1:5" ht="15" customHeight="1" x14ac:dyDescent="0.2">
      <c r="A329" s="32" t="s">
        <v>330</v>
      </c>
      <c r="B329" s="33">
        <v>207.33842468261699</v>
      </c>
      <c r="C329" s="33">
        <v>62.394367218017599</v>
      </c>
      <c r="D329" s="33">
        <v>94.1436767578125</v>
      </c>
      <c r="E329" s="33">
        <v>89.016334533691406</v>
      </c>
    </row>
    <row r="330" spans="1:5" ht="15" customHeight="1" x14ac:dyDescent="0.2">
      <c r="A330" s="32" t="s">
        <v>331</v>
      </c>
      <c r="B330" s="33">
        <v>201.68934631347699</v>
      </c>
      <c r="C330" s="33">
        <v>61.375358581542997</v>
      </c>
      <c r="D330" s="33">
        <v>92.492034912109403</v>
      </c>
      <c r="E330" s="33">
        <v>88.929954528808594</v>
      </c>
    </row>
    <row r="331" spans="1:5" ht="15" customHeight="1" x14ac:dyDescent="0.2">
      <c r="A331" s="32" t="s">
        <v>332</v>
      </c>
      <c r="B331" s="33">
        <v>202.79092407226599</v>
      </c>
      <c r="C331" s="33">
        <v>61.079231262207003</v>
      </c>
      <c r="D331" s="33">
        <v>92.256111145019503</v>
      </c>
      <c r="E331" s="33">
        <v>89.526062011718807</v>
      </c>
    </row>
    <row r="332" spans="1:5" ht="15" customHeight="1" x14ac:dyDescent="0.2">
      <c r="A332" s="32" t="s">
        <v>333</v>
      </c>
      <c r="B332" s="33">
        <v>197.01008605957</v>
      </c>
      <c r="C332" s="33">
        <v>59.372177124023402</v>
      </c>
      <c r="D332" s="33">
        <v>90.739280700683594</v>
      </c>
      <c r="E332" s="33">
        <v>89.802490234375</v>
      </c>
    </row>
    <row r="333" spans="1:5" ht="15" customHeight="1" x14ac:dyDescent="0.2">
      <c r="A333" s="32" t="s">
        <v>334</v>
      </c>
      <c r="B333" s="33">
        <v>197.39610290527301</v>
      </c>
      <c r="C333" s="33">
        <v>59.642185211181598</v>
      </c>
      <c r="D333" s="33">
        <v>90.140975952148395</v>
      </c>
      <c r="E333" s="33">
        <v>89.439651489257798</v>
      </c>
    </row>
    <row r="334" spans="1:5" ht="15" customHeight="1" x14ac:dyDescent="0.2">
      <c r="A334" s="32" t="s">
        <v>335</v>
      </c>
      <c r="B334" s="33">
        <v>202.20721435546901</v>
      </c>
      <c r="C334" s="33">
        <v>60.486988067627003</v>
      </c>
      <c r="D334" s="33">
        <v>91.801048278808594</v>
      </c>
      <c r="E334" s="33">
        <v>89.405097961425795</v>
      </c>
    </row>
    <row r="335" spans="1:5" ht="15" customHeight="1" x14ac:dyDescent="0.2">
      <c r="A335" s="32" t="s">
        <v>336</v>
      </c>
      <c r="B335" s="33">
        <v>194.77871704101599</v>
      </c>
      <c r="C335" s="33">
        <v>59.781528472900398</v>
      </c>
      <c r="D335" s="33">
        <v>87.587677001953097</v>
      </c>
      <c r="E335" s="33">
        <v>88.869461059570298</v>
      </c>
    </row>
    <row r="336" spans="1:5" ht="15" customHeight="1" x14ac:dyDescent="0.2">
      <c r="A336" s="32" t="s">
        <v>337</v>
      </c>
      <c r="B336" s="33">
        <v>196.247482299805</v>
      </c>
      <c r="C336" s="33">
        <v>59.633472442627003</v>
      </c>
      <c r="D336" s="33">
        <v>85.472541809082003</v>
      </c>
      <c r="E336" s="33">
        <v>88.385704040527301</v>
      </c>
    </row>
    <row r="337" spans="1:5" ht="15" customHeight="1" x14ac:dyDescent="0.2">
      <c r="A337" s="32" t="s">
        <v>338</v>
      </c>
      <c r="B337" s="33">
        <v>197.17953491210901</v>
      </c>
      <c r="C337" s="33">
        <v>60.077644348144503</v>
      </c>
      <c r="D337" s="33">
        <v>86.534332275390597</v>
      </c>
      <c r="E337" s="33">
        <v>88.584724426269503</v>
      </c>
    </row>
    <row r="338" spans="1:5" ht="15" customHeight="1" x14ac:dyDescent="0.2">
      <c r="A338" s="32" t="s">
        <v>339</v>
      </c>
      <c r="B338" s="33">
        <v>202.96040344238301</v>
      </c>
      <c r="C338" s="33">
        <v>61.131484985351598</v>
      </c>
      <c r="D338" s="33">
        <v>87.5286865234375</v>
      </c>
      <c r="E338" s="33">
        <v>89.155914306640597</v>
      </c>
    </row>
    <row r="339" spans="1:5" ht="15" customHeight="1" x14ac:dyDescent="0.2">
      <c r="A339" s="32" t="s">
        <v>340</v>
      </c>
      <c r="B339" s="33">
        <v>195.47543334960901</v>
      </c>
      <c r="C339" s="33">
        <v>59.163166046142599</v>
      </c>
      <c r="D339" s="33">
        <v>85.194473266601605</v>
      </c>
      <c r="E339" s="33">
        <v>88.273193359375</v>
      </c>
    </row>
    <row r="340" spans="1:5" ht="15" customHeight="1" x14ac:dyDescent="0.2">
      <c r="A340" s="32" t="s">
        <v>341</v>
      </c>
      <c r="B340" s="33">
        <v>193.90313720703099</v>
      </c>
      <c r="C340" s="33">
        <v>58.588333129882798</v>
      </c>
      <c r="D340" s="33">
        <v>84.183280944824205</v>
      </c>
      <c r="E340" s="33">
        <v>87.901069641113295</v>
      </c>
    </row>
    <row r="341" spans="1:5" ht="15" customHeight="1" x14ac:dyDescent="0.2">
      <c r="A341" s="32" t="s">
        <v>342</v>
      </c>
      <c r="B341" s="33">
        <v>187.03010559082</v>
      </c>
      <c r="C341" s="33">
        <v>56.820320129394503</v>
      </c>
      <c r="D341" s="33">
        <v>80.475486755371094</v>
      </c>
      <c r="E341" s="33">
        <v>88.333801269531307</v>
      </c>
    </row>
    <row r="342" spans="1:5" ht="15" customHeight="1" x14ac:dyDescent="0.2">
      <c r="A342" s="32" t="s">
        <v>343</v>
      </c>
      <c r="B342" s="33">
        <v>187.40673828125</v>
      </c>
      <c r="C342" s="33">
        <v>57.2470893859863</v>
      </c>
      <c r="D342" s="33">
        <v>79.009231567382798</v>
      </c>
      <c r="E342" s="33">
        <v>88.602043151855497</v>
      </c>
    </row>
    <row r="343" spans="1:5" ht="15" customHeight="1" x14ac:dyDescent="0.2">
      <c r="A343" s="32" t="s">
        <v>344</v>
      </c>
      <c r="B343" s="33">
        <v>184.01728820800801</v>
      </c>
      <c r="C343" s="33">
        <v>56.907413482666001</v>
      </c>
      <c r="D343" s="33">
        <v>78.840705871582003</v>
      </c>
      <c r="E343" s="33">
        <v>88.930900573730497</v>
      </c>
    </row>
    <row r="344" spans="1:5" ht="15" customHeight="1" x14ac:dyDescent="0.2">
      <c r="A344" s="32" t="s">
        <v>345</v>
      </c>
      <c r="B344" s="33">
        <v>184.21502685546901</v>
      </c>
      <c r="C344" s="33">
        <v>56.768062591552699</v>
      </c>
      <c r="D344" s="33">
        <v>79.455863952636705</v>
      </c>
      <c r="E344" s="33">
        <v>89.095352172851605</v>
      </c>
    </row>
    <row r="345" spans="1:5" ht="15" customHeight="1" x14ac:dyDescent="0.2">
      <c r="A345" s="32" t="s">
        <v>346</v>
      </c>
      <c r="B345" s="33">
        <v>189.14852905273401</v>
      </c>
      <c r="C345" s="33">
        <v>58.3444633483887</v>
      </c>
      <c r="D345" s="33">
        <v>81.554122924804702</v>
      </c>
      <c r="E345" s="33">
        <v>88.714576721191406</v>
      </c>
    </row>
    <row r="346" spans="1:5" ht="15" customHeight="1" x14ac:dyDescent="0.2">
      <c r="A346" s="32" t="s">
        <v>347</v>
      </c>
      <c r="B346" s="33">
        <v>188.21643066406301</v>
      </c>
      <c r="C346" s="33">
        <v>58.396728515625</v>
      </c>
      <c r="D346" s="33">
        <v>81.040092468261705</v>
      </c>
      <c r="E346" s="33">
        <v>88.913627624511705</v>
      </c>
    </row>
    <row r="347" spans="1:5" ht="15" customHeight="1" x14ac:dyDescent="0.2">
      <c r="A347" s="32" t="s">
        <v>348</v>
      </c>
      <c r="B347" s="33">
        <v>192.23666381835901</v>
      </c>
      <c r="C347" s="33">
        <v>59.485408782958999</v>
      </c>
      <c r="D347" s="33">
        <v>82.143997192382798</v>
      </c>
      <c r="E347" s="33">
        <v>88.428955078125</v>
      </c>
    </row>
    <row r="348" spans="1:5" ht="15" customHeight="1" x14ac:dyDescent="0.2">
      <c r="A348" s="32" t="s">
        <v>349</v>
      </c>
      <c r="B348" s="33">
        <v>184.71400451660199</v>
      </c>
      <c r="C348" s="33">
        <v>58.065769195556598</v>
      </c>
      <c r="D348" s="33">
        <v>79.759208679199205</v>
      </c>
      <c r="E348" s="33">
        <v>88.7838134765625</v>
      </c>
    </row>
    <row r="349" spans="1:5" ht="15" customHeight="1" x14ac:dyDescent="0.2">
      <c r="A349" s="32" t="s">
        <v>350</v>
      </c>
      <c r="B349" s="33">
        <v>183.89491271972699</v>
      </c>
      <c r="C349" s="33">
        <v>58.623172760009801</v>
      </c>
      <c r="D349" s="33">
        <v>79.405281066894503</v>
      </c>
      <c r="E349" s="33">
        <v>89.008804321289105</v>
      </c>
    </row>
    <row r="350" spans="1:5" ht="15" customHeight="1" x14ac:dyDescent="0.2">
      <c r="A350" s="32" t="s">
        <v>351</v>
      </c>
      <c r="B350" s="33">
        <v>183.89491271972699</v>
      </c>
      <c r="C350" s="33">
        <v>59.023799896240199</v>
      </c>
      <c r="D350" s="33">
        <v>79.910888671875</v>
      </c>
      <c r="E350" s="33">
        <v>89.277122497558594</v>
      </c>
    </row>
    <row r="351" spans="1:5" ht="15" customHeight="1" x14ac:dyDescent="0.2">
      <c r="A351" s="32" t="s">
        <v>352</v>
      </c>
      <c r="B351" s="33">
        <v>187.03953552246099</v>
      </c>
      <c r="C351" s="33">
        <v>60.025382995605497</v>
      </c>
      <c r="D351" s="33">
        <v>80.837844848632798</v>
      </c>
      <c r="E351" s="33">
        <v>88.982833862304702</v>
      </c>
    </row>
    <row r="352" spans="1:5" ht="15" customHeight="1" x14ac:dyDescent="0.2">
      <c r="A352" s="32" t="s">
        <v>353</v>
      </c>
      <c r="B352" s="33">
        <v>185.16592407226599</v>
      </c>
      <c r="C352" s="33">
        <v>59.929580688476598</v>
      </c>
      <c r="D352" s="33">
        <v>81.520416259765597</v>
      </c>
      <c r="E352" s="33">
        <v>89.666549682617202</v>
      </c>
    </row>
    <row r="353" spans="1:5" ht="15" customHeight="1" x14ac:dyDescent="0.2">
      <c r="A353" s="32" t="s">
        <v>354</v>
      </c>
      <c r="B353" s="33">
        <v>187.22784423828099</v>
      </c>
      <c r="C353" s="33">
        <v>59.947006225585902</v>
      </c>
      <c r="D353" s="33">
        <v>82.211410522460895</v>
      </c>
      <c r="E353" s="33">
        <v>90.038665771484403</v>
      </c>
    </row>
    <row r="354" spans="1:5" ht="15" customHeight="1" x14ac:dyDescent="0.2">
      <c r="A354" s="32" t="s">
        <v>355</v>
      </c>
      <c r="B354" s="33">
        <v>191.05976867675801</v>
      </c>
      <c r="C354" s="33">
        <v>60.608924865722699</v>
      </c>
      <c r="D354" s="33">
        <v>82.312545776367202</v>
      </c>
      <c r="E354" s="33">
        <v>89.969406127929702</v>
      </c>
    </row>
    <row r="355" spans="1:5" ht="15" customHeight="1" x14ac:dyDescent="0.2">
      <c r="A355" s="32" t="s">
        <v>356</v>
      </c>
      <c r="B355" s="33">
        <v>195.89909362793</v>
      </c>
      <c r="C355" s="33">
        <v>61.3405151367188</v>
      </c>
      <c r="D355" s="33">
        <v>84.520332336425795</v>
      </c>
      <c r="E355" s="33">
        <v>90.116546630859403</v>
      </c>
    </row>
    <row r="356" spans="1:5" ht="15" customHeight="1" x14ac:dyDescent="0.2">
      <c r="A356" s="32" t="s">
        <v>357</v>
      </c>
      <c r="B356" s="33">
        <v>194.28915405273401</v>
      </c>
      <c r="C356" s="33">
        <v>60.974727630615199</v>
      </c>
      <c r="D356" s="33">
        <v>83.483840942382798</v>
      </c>
      <c r="E356" s="33">
        <v>89.545349121093807</v>
      </c>
    </row>
    <row r="357" spans="1:5" ht="15" customHeight="1" x14ac:dyDescent="0.2">
      <c r="A357" s="32" t="s">
        <v>358</v>
      </c>
      <c r="B357" s="33">
        <v>193.00868225097699</v>
      </c>
      <c r="C357" s="33">
        <v>60.330215454101598</v>
      </c>
      <c r="D357" s="33">
        <v>82.792854309082003</v>
      </c>
      <c r="E357" s="33">
        <v>89.177780151367202</v>
      </c>
    </row>
    <row r="358" spans="1:5" ht="15" customHeight="1" x14ac:dyDescent="0.2">
      <c r="A358" s="32" t="s">
        <v>359</v>
      </c>
      <c r="B358" s="33">
        <v>196.94418334960901</v>
      </c>
      <c r="C358" s="33">
        <v>61.584377288818402</v>
      </c>
      <c r="D358" s="33">
        <v>83.930465698242202</v>
      </c>
      <c r="E358" s="33">
        <v>89.290473937988295</v>
      </c>
    </row>
    <row r="359" spans="1:5" ht="15" customHeight="1" x14ac:dyDescent="0.2">
      <c r="A359" s="32" t="s">
        <v>360</v>
      </c>
      <c r="B359" s="33">
        <v>193.79957580566401</v>
      </c>
      <c r="C359" s="33">
        <v>60.704723358154297</v>
      </c>
      <c r="D359" s="33">
        <v>82.809707641601605</v>
      </c>
      <c r="E359" s="33">
        <v>89.143074035644503</v>
      </c>
    </row>
    <row r="360" spans="1:5" ht="15" customHeight="1" x14ac:dyDescent="0.2">
      <c r="A360" s="32" t="s">
        <v>361</v>
      </c>
      <c r="B360" s="33">
        <v>194.37385559082</v>
      </c>
      <c r="C360" s="33">
        <v>60.948593139648402</v>
      </c>
      <c r="D360" s="33">
        <v>82.548477172851605</v>
      </c>
      <c r="E360" s="33">
        <v>88.596878051757798</v>
      </c>
    </row>
    <row r="361" spans="1:5" ht="15" customHeight="1" x14ac:dyDescent="0.2">
      <c r="A361" s="32" t="s">
        <v>362</v>
      </c>
      <c r="B361" s="33">
        <v>196.482833862305</v>
      </c>
      <c r="C361" s="33">
        <v>61.131484985351598</v>
      </c>
      <c r="D361" s="33">
        <v>83.686088562011705</v>
      </c>
      <c r="E361" s="33">
        <v>88.935028076171903</v>
      </c>
    </row>
    <row r="362" spans="1:5" ht="15" customHeight="1" x14ac:dyDescent="0.2">
      <c r="A362" s="32" t="s">
        <v>363</v>
      </c>
      <c r="B362" s="33">
        <v>194.27972412109401</v>
      </c>
      <c r="C362" s="33">
        <v>60.277965545654297</v>
      </c>
      <c r="D362" s="33">
        <v>81.756355285644503</v>
      </c>
      <c r="E362" s="33">
        <v>88.570892333984403</v>
      </c>
    </row>
    <row r="363" spans="1:5" ht="15" customHeight="1" x14ac:dyDescent="0.2">
      <c r="A363" s="32" t="s">
        <v>364</v>
      </c>
      <c r="B363" s="33">
        <v>189.62867736816401</v>
      </c>
      <c r="C363" s="33">
        <v>59.0120849609375</v>
      </c>
      <c r="D363" s="33">
        <v>79.818199157714801</v>
      </c>
      <c r="E363" s="33">
        <v>88.475502014160199</v>
      </c>
    </row>
    <row r="364" spans="1:5" ht="15" customHeight="1" x14ac:dyDescent="0.2">
      <c r="A364" s="32" t="s">
        <v>365</v>
      </c>
      <c r="B364" s="33">
        <v>183.99847412109401</v>
      </c>
      <c r="C364" s="33">
        <v>57.587753295898402</v>
      </c>
      <c r="D364" s="33">
        <v>78.048576354980497</v>
      </c>
      <c r="E364" s="33">
        <v>87.790596008300795</v>
      </c>
    </row>
    <row r="365" spans="1:5" ht="15" customHeight="1" x14ac:dyDescent="0.2">
      <c r="A365" s="32" t="s">
        <v>366</v>
      </c>
      <c r="B365" s="33">
        <v>176.48526000976599</v>
      </c>
      <c r="C365" s="33">
        <v>55.682697296142599</v>
      </c>
      <c r="D365" s="33">
        <v>74.147003173828097</v>
      </c>
      <c r="E365" s="33">
        <v>86.351402282714801</v>
      </c>
    </row>
    <row r="366" spans="1:5" ht="15" customHeight="1" x14ac:dyDescent="0.2">
      <c r="A366" s="32" t="s">
        <v>367</v>
      </c>
      <c r="B366" s="33">
        <v>175.98626708984401</v>
      </c>
      <c r="C366" s="33">
        <v>55.157474517822301</v>
      </c>
      <c r="D366" s="33">
        <v>73.582420349121094</v>
      </c>
      <c r="E366" s="33">
        <v>85.839897155761705</v>
      </c>
    </row>
    <row r="367" spans="1:5" ht="15" customHeight="1" x14ac:dyDescent="0.2">
      <c r="A367" s="32" t="s">
        <v>368</v>
      </c>
      <c r="B367" s="33">
        <v>178.54716491699199</v>
      </c>
      <c r="C367" s="33">
        <v>56.190116882324197</v>
      </c>
      <c r="D367" s="33">
        <v>75.326744079589801</v>
      </c>
      <c r="E367" s="33">
        <v>86.793563842773395</v>
      </c>
    </row>
    <row r="368" spans="1:5" ht="15" customHeight="1" x14ac:dyDescent="0.2">
      <c r="A368" s="32" t="s">
        <v>369</v>
      </c>
      <c r="B368" s="33">
        <v>172.31439208984401</v>
      </c>
      <c r="C368" s="33">
        <v>54.952720642089801</v>
      </c>
      <c r="D368" s="33">
        <v>73.346466064453097</v>
      </c>
      <c r="E368" s="33">
        <v>87.001647949218807</v>
      </c>
    </row>
    <row r="369" spans="1:5" ht="15" customHeight="1" x14ac:dyDescent="0.2">
      <c r="A369" s="32" t="s">
        <v>370</v>
      </c>
      <c r="B369" s="33">
        <v>172.96403503418</v>
      </c>
      <c r="C369" s="33">
        <v>54.730175018310597</v>
      </c>
      <c r="D369" s="33">
        <v>73.902626037597699</v>
      </c>
      <c r="E369" s="33">
        <v>86.992973327636705</v>
      </c>
    </row>
    <row r="370" spans="1:5" ht="15" customHeight="1" x14ac:dyDescent="0.2">
      <c r="A370" s="32" t="s">
        <v>371</v>
      </c>
      <c r="B370" s="33">
        <v>177.15371704101599</v>
      </c>
      <c r="C370" s="33">
        <v>55.558067321777301</v>
      </c>
      <c r="D370" s="33">
        <v>74.930694580078097</v>
      </c>
      <c r="E370" s="33">
        <v>86.646186828613295</v>
      </c>
    </row>
    <row r="371" spans="1:5" ht="15" customHeight="1" x14ac:dyDescent="0.2">
      <c r="A371" s="32" t="s">
        <v>372</v>
      </c>
      <c r="B371" s="33">
        <v>177.12550354003901</v>
      </c>
      <c r="C371" s="33">
        <v>55.184181213378899</v>
      </c>
      <c r="D371" s="33">
        <v>75.882919311523395</v>
      </c>
      <c r="E371" s="33">
        <v>87.383140563964801</v>
      </c>
    </row>
    <row r="372" spans="1:5" ht="15" customHeight="1" x14ac:dyDescent="0.2">
      <c r="A372" s="32" t="s">
        <v>373</v>
      </c>
      <c r="B372" s="33">
        <v>178.73149108886699</v>
      </c>
      <c r="C372" s="33">
        <v>55.121860504150398</v>
      </c>
      <c r="D372" s="33">
        <v>77.3245849609375</v>
      </c>
      <c r="E372" s="33">
        <v>87.747222900390597</v>
      </c>
    </row>
    <row r="373" spans="1:5" ht="15" customHeight="1" x14ac:dyDescent="0.2">
      <c r="A373" s="32" t="s">
        <v>374</v>
      </c>
      <c r="B373" s="33">
        <v>184.50709533691401</v>
      </c>
      <c r="C373" s="33">
        <v>56.768753051757798</v>
      </c>
      <c r="D373" s="33">
        <v>78.969779968261705</v>
      </c>
      <c r="E373" s="33">
        <v>87.608535766601605</v>
      </c>
    </row>
    <row r="374" spans="1:5" ht="15" customHeight="1" x14ac:dyDescent="0.2">
      <c r="A374" s="32" t="s">
        <v>375</v>
      </c>
      <c r="B374" s="33">
        <v>183.93994140625</v>
      </c>
      <c r="C374" s="33">
        <v>56.528396606445298</v>
      </c>
      <c r="D374" s="33">
        <v>78.85107421875</v>
      </c>
      <c r="E374" s="33">
        <v>87.218376159667997</v>
      </c>
    </row>
    <row r="375" spans="1:5" ht="15" customHeight="1" x14ac:dyDescent="0.2">
      <c r="A375" s="32" t="s">
        <v>376</v>
      </c>
      <c r="B375" s="33">
        <v>180.14939880371099</v>
      </c>
      <c r="C375" s="33">
        <v>56.145606994628899</v>
      </c>
      <c r="D375" s="33">
        <v>77.892776489257798</v>
      </c>
      <c r="E375" s="33">
        <v>87.253089904785199</v>
      </c>
    </row>
    <row r="376" spans="1:5" ht="15" customHeight="1" x14ac:dyDescent="0.2">
      <c r="A376" s="32" t="s">
        <v>377</v>
      </c>
      <c r="B376" s="33">
        <v>179.84690856933599</v>
      </c>
      <c r="C376" s="33">
        <v>55.931957244873097</v>
      </c>
      <c r="D376" s="33">
        <v>77.409400939941406</v>
      </c>
      <c r="E376" s="33">
        <v>87.755943298339801</v>
      </c>
    </row>
    <row r="377" spans="1:5" ht="15" customHeight="1" x14ac:dyDescent="0.2">
      <c r="A377" s="32" t="s">
        <v>378</v>
      </c>
      <c r="B377" s="33">
        <v>178.29666137695301</v>
      </c>
      <c r="C377" s="33">
        <v>55.629287719726598</v>
      </c>
      <c r="D377" s="33">
        <v>77.265220642089801</v>
      </c>
      <c r="E377" s="33">
        <v>88.154708862304702</v>
      </c>
    </row>
    <row r="378" spans="1:5" ht="15" customHeight="1" x14ac:dyDescent="0.2">
      <c r="A378" s="32" t="s">
        <v>379</v>
      </c>
      <c r="B378" s="33">
        <v>180.17776489257801</v>
      </c>
      <c r="C378" s="33">
        <v>55.7628173828125</v>
      </c>
      <c r="D378" s="33">
        <v>78.656013488769503</v>
      </c>
      <c r="E378" s="33">
        <v>88.889518737792997</v>
      </c>
    </row>
    <row r="379" spans="1:5" ht="15" customHeight="1" x14ac:dyDescent="0.2">
      <c r="A379" s="32" t="s">
        <v>380</v>
      </c>
      <c r="B379" s="33">
        <v>180.820556640625</v>
      </c>
      <c r="C379" s="33">
        <v>54.569934844970703</v>
      </c>
      <c r="D379" s="33">
        <v>78.435531616210895</v>
      </c>
      <c r="E379" s="33">
        <v>89.054557800292997</v>
      </c>
    </row>
    <row r="380" spans="1:5" ht="15" customHeight="1" x14ac:dyDescent="0.2">
      <c r="A380" s="32" t="s">
        <v>381</v>
      </c>
      <c r="B380" s="33">
        <v>181.17973327636699</v>
      </c>
      <c r="C380" s="33">
        <v>54.614444732666001</v>
      </c>
      <c r="D380" s="33">
        <v>78.291358947753906</v>
      </c>
      <c r="E380" s="33">
        <v>88.455245971679702</v>
      </c>
    </row>
    <row r="381" spans="1:5" ht="15" customHeight="1" x14ac:dyDescent="0.2">
      <c r="A381" s="32" t="s">
        <v>382</v>
      </c>
      <c r="B381" s="33">
        <v>184.16677856445301</v>
      </c>
      <c r="C381" s="33">
        <v>55.442337036132798</v>
      </c>
      <c r="D381" s="33">
        <v>78.503364562988295</v>
      </c>
      <c r="E381" s="33">
        <v>88.255500793457003</v>
      </c>
    </row>
    <row r="382" spans="1:5" ht="15" customHeight="1" x14ac:dyDescent="0.2">
      <c r="A382" s="32" t="s">
        <v>383</v>
      </c>
      <c r="B382" s="33">
        <v>183.977783203125</v>
      </c>
      <c r="C382" s="33">
        <v>55.504653930664098</v>
      </c>
      <c r="D382" s="33">
        <v>78.087814331054702</v>
      </c>
      <c r="E382" s="33">
        <v>87.925453186035199</v>
      </c>
    </row>
    <row r="383" spans="1:5" ht="15" customHeight="1" x14ac:dyDescent="0.2">
      <c r="A383" s="32" t="s">
        <v>384</v>
      </c>
      <c r="B383" s="33">
        <v>181.65235900878901</v>
      </c>
      <c r="C383" s="33">
        <v>54.605537414550803</v>
      </c>
      <c r="D383" s="33">
        <v>77.918220520019503</v>
      </c>
      <c r="E383" s="33">
        <v>88.333641052246094</v>
      </c>
    </row>
    <row r="384" spans="1:5" ht="15" customHeight="1" x14ac:dyDescent="0.2">
      <c r="A384" s="32" t="s">
        <v>385</v>
      </c>
      <c r="B384" s="33">
        <v>180.08320617675801</v>
      </c>
      <c r="C384" s="33">
        <v>54.596637725830099</v>
      </c>
      <c r="D384" s="33">
        <v>77.612937927246094</v>
      </c>
      <c r="E384" s="33">
        <v>88.455245971679702</v>
      </c>
    </row>
    <row r="385" spans="1:5" ht="15" customHeight="1" x14ac:dyDescent="0.2">
      <c r="A385" s="32" t="s">
        <v>386</v>
      </c>
      <c r="B385" s="33">
        <v>179.29866027832</v>
      </c>
      <c r="C385" s="33">
        <v>54.569934844970703</v>
      </c>
      <c r="D385" s="33">
        <v>77.239791870117202</v>
      </c>
      <c r="E385" s="33">
        <v>88.776603698730497</v>
      </c>
    </row>
    <row r="386" spans="1:5" ht="15" customHeight="1" x14ac:dyDescent="0.2">
      <c r="A386" s="32" t="s">
        <v>387</v>
      </c>
      <c r="B386" s="33">
        <v>178.50462341308599</v>
      </c>
      <c r="C386" s="33">
        <v>53.804351806640597</v>
      </c>
      <c r="D386" s="33">
        <v>76.544387817382798</v>
      </c>
      <c r="E386" s="33">
        <v>88.463920593261705</v>
      </c>
    </row>
    <row r="387" spans="1:5" ht="15" customHeight="1" x14ac:dyDescent="0.2">
      <c r="A387" s="32" t="s">
        <v>388</v>
      </c>
      <c r="B387" s="33">
        <v>181.97378540039099</v>
      </c>
      <c r="C387" s="33">
        <v>54.658958435058601</v>
      </c>
      <c r="D387" s="33">
        <v>77.841903686523395</v>
      </c>
      <c r="E387" s="33">
        <v>88.811378479003906</v>
      </c>
    </row>
    <row r="388" spans="1:5" ht="15" customHeight="1" x14ac:dyDescent="0.2">
      <c r="A388" s="32" t="s">
        <v>389</v>
      </c>
      <c r="B388" s="33">
        <v>180.716552734375</v>
      </c>
      <c r="C388" s="33">
        <v>54.881511688232401</v>
      </c>
      <c r="D388" s="33">
        <v>77.2906494140625</v>
      </c>
      <c r="E388" s="33">
        <v>88.524742126464801</v>
      </c>
    </row>
    <row r="389" spans="1:5" ht="15" customHeight="1" x14ac:dyDescent="0.2">
      <c r="A389" s="32" t="s">
        <v>390</v>
      </c>
      <c r="B389" s="33">
        <v>185.76431274414099</v>
      </c>
      <c r="C389" s="33">
        <v>56.377063751220703</v>
      </c>
      <c r="D389" s="33">
        <v>79.292045593261705</v>
      </c>
      <c r="E389" s="33">
        <v>88.403160095214801</v>
      </c>
    </row>
    <row r="390" spans="1:5" ht="15" customHeight="1" x14ac:dyDescent="0.2">
      <c r="A390" s="32" t="s">
        <v>391</v>
      </c>
      <c r="B390" s="33">
        <v>187.26725769043</v>
      </c>
      <c r="C390" s="33">
        <v>56.003173828125</v>
      </c>
      <c r="D390" s="33">
        <v>79.105476379394503</v>
      </c>
      <c r="E390" s="33">
        <v>88.342338562011705</v>
      </c>
    </row>
    <row r="391" spans="1:5" ht="15" customHeight="1" x14ac:dyDescent="0.2">
      <c r="A391" s="32" t="s">
        <v>392</v>
      </c>
      <c r="B391" s="33">
        <v>189.12001037597699</v>
      </c>
      <c r="C391" s="33">
        <v>56.581809997558601</v>
      </c>
      <c r="D391" s="33">
        <v>79.733016967773395</v>
      </c>
      <c r="E391" s="33">
        <v>89.080642700195298</v>
      </c>
    </row>
    <row r="392" spans="1:5" ht="15" customHeight="1" x14ac:dyDescent="0.2">
      <c r="A392" s="32" t="s">
        <v>393</v>
      </c>
      <c r="B392" s="33">
        <v>187.06875610351599</v>
      </c>
      <c r="C392" s="33">
        <v>56.439380645752003</v>
      </c>
      <c r="D392" s="33">
        <v>80.148582458496094</v>
      </c>
      <c r="E392" s="33">
        <v>89.775497436523395</v>
      </c>
    </row>
    <row r="393" spans="1:5" ht="15" customHeight="1" x14ac:dyDescent="0.2">
      <c r="A393" s="32" t="s">
        <v>394</v>
      </c>
      <c r="B393" s="33">
        <v>187.32400512695301</v>
      </c>
      <c r="C393" s="33">
        <v>56.875583648681598</v>
      </c>
      <c r="D393" s="33">
        <v>80.284255981445298</v>
      </c>
      <c r="E393" s="33">
        <v>89.445442199707003</v>
      </c>
    </row>
    <row r="394" spans="1:5" ht="15" customHeight="1" x14ac:dyDescent="0.2">
      <c r="A394" s="32" t="s">
        <v>395</v>
      </c>
      <c r="B394" s="33">
        <v>185.00807189941401</v>
      </c>
      <c r="C394" s="33">
        <v>56.083297729492202</v>
      </c>
      <c r="D394" s="33">
        <v>80.369071960449205</v>
      </c>
      <c r="E394" s="33">
        <v>89.428047180175795</v>
      </c>
    </row>
    <row r="395" spans="1:5" ht="15" customHeight="1" x14ac:dyDescent="0.2">
      <c r="A395" s="32" t="s">
        <v>396</v>
      </c>
      <c r="B395" s="33">
        <v>189.86676025390599</v>
      </c>
      <c r="C395" s="33">
        <v>57.409702301025398</v>
      </c>
      <c r="D395" s="33">
        <v>80.852462768554702</v>
      </c>
      <c r="E395" s="33">
        <v>89.740730285644503</v>
      </c>
    </row>
    <row r="396" spans="1:5" ht="15" customHeight="1" x14ac:dyDescent="0.2">
      <c r="A396" s="32" t="s">
        <v>397</v>
      </c>
      <c r="B396" s="33">
        <v>192.34335327148401</v>
      </c>
      <c r="C396" s="33">
        <v>57.703479766845703</v>
      </c>
      <c r="D396" s="33">
        <v>83.472892761230497</v>
      </c>
      <c r="E396" s="33">
        <v>90.383491516113295</v>
      </c>
    </row>
    <row r="397" spans="1:5" ht="15" customHeight="1" x14ac:dyDescent="0.2">
      <c r="A397" s="32" t="s">
        <v>398</v>
      </c>
      <c r="B397" s="33">
        <v>194.96173095703099</v>
      </c>
      <c r="C397" s="33">
        <v>58.504669189453097</v>
      </c>
      <c r="D397" s="33">
        <v>83.922355651855497</v>
      </c>
      <c r="E397" s="33">
        <v>90.392158508300795</v>
      </c>
    </row>
    <row r="398" spans="1:5" ht="15" customHeight="1" x14ac:dyDescent="0.2">
      <c r="A398" s="32" t="s">
        <v>399</v>
      </c>
      <c r="B398" s="33">
        <v>194.50802612304699</v>
      </c>
      <c r="C398" s="33">
        <v>58.5847778320313</v>
      </c>
      <c r="D398" s="33">
        <v>83.243934631347699</v>
      </c>
      <c r="E398" s="33">
        <v>90.705459594726605</v>
      </c>
    </row>
    <row r="399" spans="1:5" ht="15" customHeight="1" x14ac:dyDescent="0.2">
      <c r="A399" s="32" t="s">
        <v>400</v>
      </c>
      <c r="B399" s="33">
        <v>193.45877075195301</v>
      </c>
      <c r="C399" s="33">
        <v>57.650062561035199</v>
      </c>
      <c r="D399" s="33">
        <v>82.1754150390625</v>
      </c>
      <c r="E399" s="33">
        <v>89.774307250976605</v>
      </c>
    </row>
    <row r="400" spans="1:5" ht="15" customHeight="1" x14ac:dyDescent="0.2">
      <c r="A400" s="32" t="s">
        <v>401</v>
      </c>
      <c r="B400" s="33">
        <v>196.568771362305</v>
      </c>
      <c r="C400" s="33">
        <v>57.988338470458999</v>
      </c>
      <c r="D400" s="33">
        <v>82.438293457031307</v>
      </c>
      <c r="E400" s="33">
        <v>90.174606323242202</v>
      </c>
    </row>
    <row r="401" spans="1:5" ht="15" customHeight="1" x14ac:dyDescent="0.2">
      <c r="A401" s="32" t="s">
        <v>402</v>
      </c>
      <c r="B401" s="33">
        <v>196.37965393066401</v>
      </c>
      <c r="C401" s="33">
        <v>58.282112121582003</v>
      </c>
      <c r="D401" s="33">
        <v>82.311080932617202</v>
      </c>
      <c r="E401" s="33">
        <v>90.392150878906193</v>
      </c>
    </row>
    <row r="402" spans="1:5" ht="15" customHeight="1" x14ac:dyDescent="0.2">
      <c r="A402" s="32" t="s">
        <v>403</v>
      </c>
      <c r="B402" s="33">
        <v>196.3134765625</v>
      </c>
      <c r="C402" s="33">
        <v>57.8726196289063</v>
      </c>
      <c r="D402" s="33">
        <v>82.540054321289105</v>
      </c>
      <c r="E402" s="33">
        <v>89.3826904296875</v>
      </c>
    </row>
    <row r="403" spans="1:5" ht="15" customHeight="1" x14ac:dyDescent="0.2">
      <c r="A403" s="32" t="s">
        <v>404</v>
      </c>
      <c r="B403" s="33">
        <v>196.493087768555</v>
      </c>
      <c r="C403" s="33">
        <v>58.006153106689503</v>
      </c>
      <c r="D403" s="33">
        <v>83.277847290039105</v>
      </c>
      <c r="E403" s="33">
        <v>89.791709899902301</v>
      </c>
    </row>
    <row r="404" spans="1:5" ht="15" customHeight="1" x14ac:dyDescent="0.2">
      <c r="A404" s="32" t="s">
        <v>405</v>
      </c>
      <c r="B404" s="33">
        <v>195.25477600097699</v>
      </c>
      <c r="C404" s="33">
        <v>57.694572448730497</v>
      </c>
      <c r="D404" s="33">
        <v>83.735786437988295</v>
      </c>
      <c r="E404" s="33">
        <v>89.591545104980497</v>
      </c>
    </row>
    <row r="405" spans="1:5" ht="15" customHeight="1" x14ac:dyDescent="0.2">
      <c r="A405" s="32" t="s">
        <v>406</v>
      </c>
      <c r="B405" s="33">
        <v>199.70701599121099</v>
      </c>
      <c r="C405" s="33">
        <v>58.994277954101598</v>
      </c>
      <c r="D405" s="33">
        <v>85.007865905761705</v>
      </c>
      <c r="E405" s="33">
        <v>89.817787170410199</v>
      </c>
    </row>
    <row r="406" spans="1:5" ht="15" customHeight="1" x14ac:dyDescent="0.2">
      <c r="A406" s="32" t="s">
        <v>407</v>
      </c>
      <c r="B406" s="33">
        <v>199.71646118164099</v>
      </c>
      <c r="C406" s="33">
        <v>58.976482391357401</v>
      </c>
      <c r="D406" s="33">
        <v>84.804328918457003</v>
      </c>
      <c r="E406" s="33">
        <v>89.339179992675795</v>
      </c>
    </row>
    <row r="407" spans="1:5" ht="15" customHeight="1" x14ac:dyDescent="0.2">
      <c r="A407" s="32" t="s">
        <v>408</v>
      </c>
      <c r="B407" s="33">
        <v>203.17616271972699</v>
      </c>
      <c r="C407" s="33">
        <v>59.430496215820298</v>
      </c>
      <c r="D407" s="33">
        <v>86.262962341308594</v>
      </c>
      <c r="E407" s="33">
        <v>89.739532470703097</v>
      </c>
    </row>
    <row r="408" spans="1:5" ht="15" customHeight="1" x14ac:dyDescent="0.2">
      <c r="A408" s="32" t="s">
        <v>409</v>
      </c>
      <c r="B408" s="33">
        <v>203.97019958496099</v>
      </c>
      <c r="C408" s="33">
        <v>59.074405670166001</v>
      </c>
      <c r="D408" s="33">
        <v>86.610664367675795</v>
      </c>
      <c r="E408" s="33">
        <v>89.852615356445298</v>
      </c>
    </row>
    <row r="409" spans="1:5" ht="15" customHeight="1" x14ac:dyDescent="0.2">
      <c r="A409" s="32" t="s">
        <v>410</v>
      </c>
      <c r="B409" s="33">
        <v>204.40499877929699</v>
      </c>
      <c r="C409" s="33">
        <v>59.056594848632798</v>
      </c>
      <c r="D409" s="33">
        <v>86.381698608398395</v>
      </c>
      <c r="E409" s="33">
        <v>89.722084045410199</v>
      </c>
    </row>
    <row r="410" spans="1:5" ht="15" customHeight="1" x14ac:dyDescent="0.2">
      <c r="A410" s="32" t="s">
        <v>411</v>
      </c>
      <c r="B410" s="33">
        <v>202.57119750976599</v>
      </c>
      <c r="C410" s="33">
        <v>58.5847778320313</v>
      </c>
      <c r="D410" s="33">
        <v>85.864387512207003</v>
      </c>
      <c r="E410" s="33">
        <v>89.191215515136705</v>
      </c>
    </row>
    <row r="411" spans="1:5" ht="15" customHeight="1" x14ac:dyDescent="0.2">
      <c r="A411" s="32" t="s">
        <v>412</v>
      </c>
      <c r="B411" s="33">
        <v>203.10052490234401</v>
      </c>
      <c r="C411" s="33">
        <v>58.3889350891113</v>
      </c>
      <c r="D411" s="33">
        <v>85.296195983886705</v>
      </c>
      <c r="E411" s="33">
        <v>89.3826904296875</v>
      </c>
    </row>
    <row r="412" spans="1:5" ht="15" customHeight="1" x14ac:dyDescent="0.2">
      <c r="A412" s="32" t="s">
        <v>413</v>
      </c>
      <c r="B412" s="33">
        <v>200.19854736328099</v>
      </c>
      <c r="C412" s="33">
        <v>57.587753295898402</v>
      </c>
      <c r="D412" s="33">
        <v>84.397262573242202</v>
      </c>
      <c r="E412" s="33">
        <v>88.756111145019503</v>
      </c>
    </row>
    <row r="413" spans="1:5" ht="15" customHeight="1" x14ac:dyDescent="0.2">
      <c r="A413" s="32" t="s">
        <v>414</v>
      </c>
      <c r="B413" s="33">
        <v>195.91647338867199</v>
      </c>
      <c r="C413" s="33">
        <v>56.6085205078125</v>
      </c>
      <c r="D413" s="33">
        <v>82.556999206542997</v>
      </c>
      <c r="E413" s="33">
        <v>88.373184204101605</v>
      </c>
    </row>
    <row r="414" spans="1:5" ht="15" customHeight="1" x14ac:dyDescent="0.2">
      <c r="A414" s="32" t="s">
        <v>415</v>
      </c>
      <c r="B414" s="33">
        <v>195.54780578613301</v>
      </c>
      <c r="C414" s="33">
        <v>56.635223388671903</v>
      </c>
      <c r="D414" s="33">
        <v>81.4969482421875</v>
      </c>
      <c r="E414" s="33">
        <v>88.338394165039105</v>
      </c>
    </row>
    <row r="415" spans="1:5" ht="15" customHeight="1" x14ac:dyDescent="0.2">
      <c r="A415" s="32" t="s">
        <v>416</v>
      </c>
      <c r="B415" s="33">
        <v>196.37020874023401</v>
      </c>
      <c r="C415" s="33">
        <v>56.706443786621101</v>
      </c>
      <c r="D415" s="33">
        <v>81.963386535644503</v>
      </c>
      <c r="E415" s="33">
        <v>88.103416442871094</v>
      </c>
    </row>
    <row r="416" spans="1:5" ht="15" customHeight="1" x14ac:dyDescent="0.2">
      <c r="A416" s="32" t="s">
        <v>417</v>
      </c>
      <c r="B416" s="33">
        <v>199.21545410156301</v>
      </c>
      <c r="C416" s="33">
        <v>57.32958984375</v>
      </c>
      <c r="D416" s="33">
        <v>83.184562683105497</v>
      </c>
      <c r="E416" s="33">
        <v>88.590774536132798</v>
      </c>
    </row>
    <row r="417" spans="1:5" ht="15" customHeight="1" x14ac:dyDescent="0.2">
      <c r="A417" s="32" t="s">
        <v>418</v>
      </c>
      <c r="B417" s="33">
        <v>192.61747741699199</v>
      </c>
      <c r="C417" s="33">
        <v>55.825130462646499</v>
      </c>
      <c r="D417" s="33">
        <v>81.089904785156307</v>
      </c>
      <c r="E417" s="33">
        <v>88.425422668457003</v>
      </c>
    </row>
    <row r="418" spans="1:5" ht="15" customHeight="1" x14ac:dyDescent="0.2">
      <c r="A418" s="32" t="s">
        <v>419</v>
      </c>
      <c r="B418" s="33">
        <v>191.20903015136699</v>
      </c>
      <c r="C418" s="33">
        <v>55.700504302978501</v>
      </c>
      <c r="D418" s="33">
        <v>80.360588073730497</v>
      </c>
      <c r="E418" s="33">
        <v>87.999000549316406</v>
      </c>
    </row>
    <row r="419" spans="1:5" ht="15" customHeight="1" x14ac:dyDescent="0.2">
      <c r="A419" s="32" t="s">
        <v>420</v>
      </c>
      <c r="B419" s="33">
        <v>189.08218383789099</v>
      </c>
      <c r="C419" s="33">
        <v>55.2999076843262</v>
      </c>
      <c r="D419" s="33">
        <v>79.249649047851605</v>
      </c>
      <c r="E419" s="33">
        <v>88.112113952636705</v>
      </c>
    </row>
    <row r="420" spans="1:5" ht="15" customHeight="1" x14ac:dyDescent="0.2">
      <c r="A420" s="32" t="s">
        <v>421</v>
      </c>
      <c r="B420" s="33">
        <v>187.69264221191401</v>
      </c>
      <c r="C420" s="33">
        <v>54.926017761230497</v>
      </c>
      <c r="D420" s="33">
        <v>78.876502990722699</v>
      </c>
      <c r="E420" s="33">
        <v>87.642181396484403</v>
      </c>
    </row>
    <row r="421" spans="1:5" ht="15" customHeight="1" x14ac:dyDescent="0.2">
      <c r="A421" s="32" t="s">
        <v>422</v>
      </c>
      <c r="B421" s="33">
        <v>187.806076049805</v>
      </c>
      <c r="C421" s="33">
        <v>54.187141418457003</v>
      </c>
      <c r="D421" s="33">
        <v>79.020675659179702</v>
      </c>
      <c r="E421" s="33">
        <v>87.262008666992202</v>
      </c>
    </row>
    <row r="422" spans="1:5" ht="15" customHeight="1" x14ac:dyDescent="0.2">
      <c r="A422" s="32" t="s">
        <v>423</v>
      </c>
      <c r="B422" s="33">
        <v>185.94393920898401</v>
      </c>
      <c r="C422" s="33">
        <v>53.831062316894503</v>
      </c>
      <c r="D422" s="33">
        <v>77.918220520019503</v>
      </c>
      <c r="E422" s="33">
        <v>87.514877319335895</v>
      </c>
    </row>
    <row r="423" spans="1:5" ht="15" customHeight="1" x14ac:dyDescent="0.2">
      <c r="A423" s="32" t="s">
        <v>424</v>
      </c>
      <c r="B423" s="33">
        <v>185.18769836425801</v>
      </c>
      <c r="C423" s="33">
        <v>53.697521209716797</v>
      </c>
      <c r="D423" s="33">
        <v>78.622085571289105</v>
      </c>
      <c r="E423" s="33">
        <v>86.695228576660199</v>
      </c>
    </row>
    <row r="424" spans="1:5" ht="15" customHeight="1" x14ac:dyDescent="0.2">
      <c r="A424" s="32" t="s">
        <v>425</v>
      </c>
      <c r="B424" s="33">
        <v>188.60955810546901</v>
      </c>
      <c r="C424" s="33">
        <v>54.169338226318402</v>
      </c>
      <c r="D424" s="33">
        <v>80.157051086425795</v>
      </c>
      <c r="E424" s="33">
        <v>87.296897888183594</v>
      </c>
    </row>
    <row r="425" spans="1:5" ht="15" customHeight="1" x14ac:dyDescent="0.2">
      <c r="A425" s="32" t="s">
        <v>426</v>
      </c>
      <c r="B425" s="33">
        <v>190.10308837890599</v>
      </c>
      <c r="C425" s="33">
        <v>54.204944610595703</v>
      </c>
      <c r="D425" s="33">
        <v>80.377548217773395</v>
      </c>
      <c r="E425" s="33">
        <v>87.017822265625</v>
      </c>
    </row>
    <row r="426" spans="1:5" ht="15" customHeight="1" x14ac:dyDescent="0.2">
      <c r="A426" s="32" t="s">
        <v>427</v>
      </c>
      <c r="B426" s="33">
        <v>193.26028442382801</v>
      </c>
      <c r="C426" s="33">
        <v>55.584774017333999</v>
      </c>
      <c r="D426" s="33">
        <v>81.251029968261705</v>
      </c>
      <c r="E426" s="33">
        <v>87.009101867675795</v>
      </c>
    </row>
    <row r="427" spans="1:5" ht="15" customHeight="1" x14ac:dyDescent="0.2">
      <c r="A427" s="32" t="s">
        <v>428</v>
      </c>
      <c r="B427" s="33">
        <v>195.33987426757801</v>
      </c>
      <c r="C427" s="33">
        <v>56.359260559082003</v>
      </c>
      <c r="D427" s="33">
        <v>82.039703369140597</v>
      </c>
      <c r="E427" s="33">
        <v>86.878303527832003</v>
      </c>
    </row>
    <row r="428" spans="1:5" ht="15" customHeight="1" x14ac:dyDescent="0.2">
      <c r="A428" s="32" t="s">
        <v>429</v>
      </c>
      <c r="B428" s="33">
        <v>186.945877075195</v>
      </c>
      <c r="C428" s="33">
        <v>54.400794982910199</v>
      </c>
      <c r="D428" s="33">
        <v>78.901947021484403</v>
      </c>
      <c r="E428" s="33">
        <v>86.389999389648395</v>
      </c>
    </row>
    <row r="429" spans="1:5" ht="15" customHeight="1" x14ac:dyDescent="0.2">
      <c r="A429" s="32" t="s">
        <v>430</v>
      </c>
      <c r="B429" s="33">
        <v>187.67372131347699</v>
      </c>
      <c r="C429" s="33">
        <v>54.5788383483887</v>
      </c>
      <c r="D429" s="33">
        <v>78.003021240234403</v>
      </c>
      <c r="E429" s="33">
        <v>86.503341674804702</v>
      </c>
    </row>
    <row r="430" spans="1:5" ht="15" customHeight="1" x14ac:dyDescent="0.2">
      <c r="A430" s="32" t="s">
        <v>431</v>
      </c>
      <c r="B430" s="33">
        <v>185.66972351074199</v>
      </c>
      <c r="C430" s="33">
        <v>54.098117828369098</v>
      </c>
      <c r="D430" s="33">
        <v>76.561355590820298</v>
      </c>
      <c r="E430" s="33">
        <v>86.241760253906307</v>
      </c>
    </row>
    <row r="431" spans="1:5" ht="15" customHeight="1" x14ac:dyDescent="0.2">
      <c r="A431" s="32" t="s">
        <v>432</v>
      </c>
      <c r="B431" s="33">
        <v>183.977783203125</v>
      </c>
      <c r="C431" s="33">
        <v>53.768741607666001</v>
      </c>
      <c r="D431" s="33">
        <v>76.569839477539105</v>
      </c>
      <c r="E431" s="33">
        <v>86.180709838867202</v>
      </c>
    </row>
    <row r="432" spans="1:5" ht="15" customHeight="1" x14ac:dyDescent="0.2">
      <c r="A432" s="32" t="s">
        <v>433</v>
      </c>
      <c r="B432" s="33">
        <v>185.28221130371099</v>
      </c>
      <c r="C432" s="33">
        <v>53.9556884765625</v>
      </c>
      <c r="D432" s="33">
        <v>76.459579467773395</v>
      </c>
      <c r="E432" s="33">
        <v>86.049911499023395</v>
      </c>
    </row>
    <row r="433" spans="1:5" ht="15" customHeight="1" x14ac:dyDescent="0.2">
      <c r="A433" s="32" t="s">
        <v>434</v>
      </c>
      <c r="B433" s="33">
        <v>183.12701416015599</v>
      </c>
      <c r="C433" s="33">
        <v>53.038772583007798</v>
      </c>
      <c r="D433" s="33">
        <v>74.602378845214801</v>
      </c>
      <c r="E433" s="33">
        <v>85.666229248046903</v>
      </c>
    </row>
    <row r="434" spans="1:5" ht="15" customHeight="1" x14ac:dyDescent="0.2">
      <c r="A434" s="32" t="s">
        <v>435</v>
      </c>
      <c r="B434" s="33">
        <v>179.99815368652301</v>
      </c>
      <c r="C434" s="33">
        <v>52.344402313232401</v>
      </c>
      <c r="D434" s="33">
        <v>73.423599243164105</v>
      </c>
      <c r="E434" s="33">
        <v>85.936569213867202</v>
      </c>
    </row>
    <row r="435" spans="1:5" ht="15" customHeight="1" x14ac:dyDescent="0.2">
      <c r="A435" s="32" t="s">
        <v>436</v>
      </c>
      <c r="B435" s="33">
        <v>177.98477172851599</v>
      </c>
      <c r="C435" s="33">
        <v>52.193069458007798</v>
      </c>
      <c r="D435" s="33">
        <v>72.490753173828097</v>
      </c>
      <c r="E435" s="33">
        <v>85.020927429199205</v>
      </c>
    </row>
    <row r="436" spans="1:5" ht="15" customHeight="1" x14ac:dyDescent="0.2">
      <c r="A436" s="32" t="s">
        <v>437</v>
      </c>
      <c r="B436" s="33">
        <v>174.91474914550801</v>
      </c>
      <c r="C436" s="33">
        <v>50.528373718261697</v>
      </c>
      <c r="D436" s="33">
        <v>71.5272216796875</v>
      </c>
      <c r="E436" s="33">
        <v>84.759330749511705</v>
      </c>
    </row>
    <row r="437" spans="1:5" ht="15" customHeight="1" x14ac:dyDescent="0.2">
      <c r="A437" s="32" t="s">
        <v>438</v>
      </c>
      <c r="B437" s="33">
        <v>172.99719238281301</v>
      </c>
      <c r="C437" s="33">
        <v>49.780597686767599</v>
      </c>
      <c r="D437" s="33">
        <v>69.521301269531307</v>
      </c>
      <c r="E437" s="33">
        <v>83.669334411621094</v>
      </c>
    </row>
    <row r="438" spans="1:5" ht="15" customHeight="1" x14ac:dyDescent="0.2">
      <c r="A438" s="32" t="s">
        <v>439</v>
      </c>
      <c r="B438" s="33">
        <v>172.74089050293</v>
      </c>
      <c r="C438" s="33">
        <v>49.4423217773438</v>
      </c>
      <c r="D438" s="33">
        <v>68.595497131347699</v>
      </c>
      <c r="E438" s="33">
        <v>83.311798095703097</v>
      </c>
    </row>
    <row r="439" spans="1:5" ht="15" customHeight="1" x14ac:dyDescent="0.2">
      <c r="A439" s="32" t="s">
        <v>440</v>
      </c>
      <c r="B439" s="33">
        <v>176.37663269043</v>
      </c>
      <c r="C439" s="33">
        <v>50.635200500488303</v>
      </c>
      <c r="D439" s="33">
        <v>70.018493652343807</v>
      </c>
      <c r="E439" s="33">
        <v>84.654708862304702</v>
      </c>
    </row>
    <row r="440" spans="1:5" ht="15" customHeight="1" x14ac:dyDescent="0.2">
      <c r="A440" s="32" t="s">
        <v>441</v>
      </c>
      <c r="B440" s="33">
        <v>172.71243286132801</v>
      </c>
      <c r="C440" s="33">
        <v>50.038764953613303</v>
      </c>
      <c r="D440" s="33">
        <v>67.961151123046903</v>
      </c>
      <c r="E440" s="33">
        <v>84.209983825683594</v>
      </c>
    </row>
    <row r="441" spans="1:5" ht="15" customHeight="1" x14ac:dyDescent="0.2">
      <c r="A441" s="32" t="s">
        <v>442</v>
      </c>
      <c r="B441" s="33">
        <v>170.36769104003901</v>
      </c>
      <c r="C441" s="33">
        <v>49.860721588134801</v>
      </c>
      <c r="D441" s="33">
        <v>68.724067687988295</v>
      </c>
      <c r="E441" s="33">
        <v>84.009407043457003</v>
      </c>
    </row>
    <row r="442" spans="1:5" ht="15" customHeight="1" x14ac:dyDescent="0.2">
      <c r="A442" s="32" t="s">
        <v>443</v>
      </c>
      <c r="B442" s="33">
        <v>174.69644165039099</v>
      </c>
      <c r="C442" s="33">
        <v>50.848854064941399</v>
      </c>
      <c r="D442" s="33">
        <v>69.949920654296903</v>
      </c>
      <c r="E442" s="33">
        <v>84.691940307617202</v>
      </c>
    </row>
    <row r="443" spans="1:5" ht="15" customHeight="1" x14ac:dyDescent="0.2">
      <c r="A443" s="32" t="s">
        <v>444</v>
      </c>
      <c r="B443" s="33">
        <v>180.30667114257801</v>
      </c>
      <c r="C443" s="33">
        <v>52.8874320983887</v>
      </c>
      <c r="D443" s="33">
        <v>71.364349365234403</v>
      </c>
      <c r="E443" s="33">
        <v>84.919166564941406</v>
      </c>
    </row>
    <row r="444" spans="1:5" ht="15" customHeight="1" x14ac:dyDescent="0.2">
      <c r="A444" s="32" t="s">
        <v>445</v>
      </c>
      <c r="B444" s="33">
        <v>179.96495056152301</v>
      </c>
      <c r="C444" s="33">
        <v>52.326602935791001</v>
      </c>
      <c r="D444" s="33">
        <v>69.967063903808594</v>
      </c>
      <c r="E444" s="33">
        <v>84.473449707031307</v>
      </c>
    </row>
    <row r="445" spans="1:5" ht="15" customHeight="1" x14ac:dyDescent="0.2">
      <c r="A445" s="32" t="s">
        <v>446</v>
      </c>
      <c r="B445" s="33">
        <v>178.24671936035199</v>
      </c>
      <c r="C445" s="33">
        <v>51.4096870422363</v>
      </c>
      <c r="D445" s="33">
        <v>68.021141052246094</v>
      </c>
      <c r="E445" s="33">
        <v>84.141357421875</v>
      </c>
    </row>
    <row r="446" spans="1:5" ht="15" customHeight="1" x14ac:dyDescent="0.2">
      <c r="A446" s="32" t="s">
        <v>447</v>
      </c>
      <c r="B446" s="33">
        <v>173.14909362793</v>
      </c>
      <c r="C446" s="33">
        <v>50.590694427490199</v>
      </c>
      <c r="D446" s="33">
        <v>66.383834838867202</v>
      </c>
      <c r="E446" s="33">
        <v>83.6956787109375</v>
      </c>
    </row>
    <row r="447" spans="1:5" ht="15" customHeight="1" x14ac:dyDescent="0.2">
      <c r="A447" s="32" t="s">
        <v>448</v>
      </c>
      <c r="B447" s="33">
        <v>171.77264404296901</v>
      </c>
      <c r="C447" s="33">
        <v>50.305824279785199</v>
      </c>
      <c r="D447" s="33">
        <v>65.758056640625</v>
      </c>
      <c r="E447" s="33">
        <v>83.319900512695298</v>
      </c>
    </row>
    <row r="448" spans="1:5" ht="15" customHeight="1" x14ac:dyDescent="0.2">
      <c r="A448" s="32" t="s">
        <v>449</v>
      </c>
      <c r="B448" s="33">
        <v>170.67147827148401</v>
      </c>
      <c r="C448" s="33">
        <v>49.753894805908203</v>
      </c>
      <c r="D448" s="33">
        <v>66.426719665527301</v>
      </c>
      <c r="E448" s="33">
        <v>83.372329711914105</v>
      </c>
    </row>
    <row r="449" spans="1:5" ht="15" customHeight="1" x14ac:dyDescent="0.2">
      <c r="A449" s="32" t="s">
        <v>450</v>
      </c>
      <c r="B449" s="33">
        <v>170.20632934570301</v>
      </c>
      <c r="C449" s="33">
        <v>49.593650817871101</v>
      </c>
      <c r="D449" s="33">
        <v>65.732345581054702</v>
      </c>
      <c r="E449" s="33">
        <v>83.442230224609403</v>
      </c>
    </row>
    <row r="450" spans="1:5" ht="15" customHeight="1" x14ac:dyDescent="0.2">
      <c r="A450" s="32" t="s">
        <v>451</v>
      </c>
      <c r="B450" s="33">
        <v>174.43060302734401</v>
      </c>
      <c r="C450" s="33">
        <v>50.617397308349602</v>
      </c>
      <c r="D450" s="33">
        <v>66.932479858398395</v>
      </c>
      <c r="E450" s="33">
        <v>83.180076599121094</v>
      </c>
    </row>
    <row r="451" spans="1:5" ht="15" customHeight="1" x14ac:dyDescent="0.2">
      <c r="A451" s="32" t="s">
        <v>452</v>
      </c>
      <c r="B451" s="33">
        <v>170.320236206055</v>
      </c>
      <c r="C451" s="33">
        <v>49.860721588134801</v>
      </c>
      <c r="D451" s="33">
        <v>65.269447326660199</v>
      </c>
      <c r="E451" s="33">
        <v>82.725616455078097</v>
      </c>
    </row>
    <row r="452" spans="1:5" ht="15" customHeight="1" x14ac:dyDescent="0.2">
      <c r="A452" s="32" t="s">
        <v>453</v>
      </c>
      <c r="B452" s="33">
        <v>174.867263793945</v>
      </c>
      <c r="C452" s="33">
        <v>51.089206695556598</v>
      </c>
      <c r="D452" s="33">
        <v>67.729698181152301</v>
      </c>
      <c r="E452" s="33">
        <v>82.900398254394503</v>
      </c>
    </row>
    <row r="453" spans="1:5" ht="15" customHeight="1" x14ac:dyDescent="0.2">
      <c r="A453" s="32" t="s">
        <v>454</v>
      </c>
      <c r="B453" s="33">
        <v>177.00318908691401</v>
      </c>
      <c r="C453" s="33">
        <v>51.454196929931598</v>
      </c>
      <c r="D453" s="33">
        <v>68.466903686523395</v>
      </c>
      <c r="E453" s="33">
        <v>83.040214538574205</v>
      </c>
    </row>
    <row r="454" spans="1:5" ht="15" customHeight="1" x14ac:dyDescent="0.2">
      <c r="A454" s="32" t="s">
        <v>455</v>
      </c>
      <c r="B454" s="33">
        <v>175.49382019043</v>
      </c>
      <c r="C454" s="33">
        <v>50.822147369384801</v>
      </c>
      <c r="D454" s="33">
        <v>66.761001586914105</v>
      </c>
      <c r="E454" s="33">
        <v>82.323593139648395</v>
      </c>
    </row>
    <row r="455" spans="1:5" ht="15" customHeight="1" x14ac:dyDescent="0.2">
      <c r="A455" s="32" t="s">
        <v>456</v>
      </c>
      <c r="B455" s="33">
        <v>173.97494506835901</v>
      </c>
      <c r="C455" s="33">
        <v>50.706417083740199</v>
      </c>
      <c r="D455" s="33">
        <v>66.469558715820298</v>
      </c>
      <c r="E455" s="33">
        <v>81.825485229492202</v>
      </c>
    </row>
    <row r="456" spans="1:5" ht="15" customHeight="1" x14ac:dyDescent="0.2">
      <c r="A456" s="32" t="s">
        <v>457</v>
      </c>
      <c r="B456" s="33">
        <v>177.98098754882801</v>
      </c>
      <c r="C456" s="33">
        <v>51.623336791992202</v>
      </c>
      <c r="D456" s="33">
        <v>66.992469787597699</v>
      </c>
      <c r="E456" s="33">
        <v>81.947807312011705</v>
      </c>
    </row>
    <row r="457" spans="1:5" ht="15" customHeight="1" x14ac:dyDescent="0.2">
      <c r="A457" s="32" t="s">
        <v>458</v>
      </c>
      <c r="B457" s="33">
        <v>179.89846801757801</v>
      </c>
      <c r="C457" s="33">
        <v>51.632236480712898</v>
      </c>
      <c r="D457" s="33">
        <v>66.983901977539105</v>
      </c>
      <c r="E457" s="33">
        <v>81.834213256835895</v>
      </c>
    </row>
    <row r="458" spans="1:5" ht="15" customHeight="1" x14ac:dyDescent="0.2">
      <c r="A458" s="32" t="s">
        <v>459</v>
      </c>
      <c r="B458" s="33">
        <v>183.15452575683599</v>
      </c>
      <c r="C458" s="33">
        <v>52.771705627441399</v>
      </c>
      <c r="D458" s="33">
        <v>69.6156005859375</v>
      </c>
      <c r="E458" s="33">
        <v>82.638229370117202</v>
      </c>
    </row>
    <row r="459" spans="1:5" ht="15" customHeight="1" x14ac:dyDescent="0.2">
      <c r="A459" s="32" t="s">
        <v>460</v>
      </c>
      <c r="B459" s="33">
        <v>182.02487182617199</v>
      </c>
      <c r="C459" s="33">
        <v>53.270225524902301</v>
      </c>
      <c r="D459" s="33">
        <v>69.572731018066406</v>
      </c>
      <c r="E459" s="33">
        <v>83.005279541015597</v>
      </c>
    </row>
    <row r="460" spans="1:5" ht="15" customHeight="1" x14ac:dyDescent="0.2">
      <c r="A460" s="32" t="s">
        <v>461</v>
      </c>
      <c r="B460" s="33">
        <v>181.17051696777301</v>
      </c>
      <c r="C460" s="33">
        <v>52.771705627441399</v>
      </c>
      <c r="D460" s="33">
        <v>69.675605773925795</v>
      </c>
      <c r="E460" s="33">
        <v>83.424789428710895</v>
      </c>
    </row>
    <row r="461" spans="1:5" ht="15" customHeight="1" x14ac:dyDescent="0.2">
      <c r="A461" s="32" t="s">
        <v>462</v>
      </c>
      <c r="B461" s="33">
        <v>185.385330200195</v>
      </c>
      <c r="C461" s="33">
        <v>53.2969360351563</v>
      </c>
      <c r="D461" s="33">
        <v>71.210037231445298</v>
      </c>
      <c r="E461" s="33">
        <v>83.215011596679702</v>
      </c>
    </row>
    <row r="462" spans="1:5" ht="15" customHeight="1" x14ac:dyDescent="0.2">
      <c r="A462" s="32" t="s">
        <v>463</v>
      </c>
      <c r="B462" s="33">
        <v>184.18925476074199</v>
      </c>
      <c r="C462" s="33">
        <v>52.798412322998097</v>
      </c>
      <c r="D462" s="33">
        <v>71.132904052734403</v>
      </c>
      <c r="E462" s="33">
        <v>82.935371398925795</v>
      </c>
    </row>
    <row r="463" spans="1:5" ht="15" customHeight="1" x14ac:dyDescent="0.2">
      <c r="A463" s="32" t="s">
        <v>464</v>
      </c>
      <c r="B463" s="33">
        <v>183.61965942382801</v>
      </c>
      <c r="C463" s="33">
        <v>53.216812133789098</v>
      </c>
      <c r="D463" s="33">
        <v>71.107162475585895</v>
      </c>
      <c r="E463" s="33">
        <v>83.089492797851605</v>
      </c>
    </row>
    <row r="464" spans="1:5" ht="15" customHeight="1" x14ac:dyDescent="0.2">
      <c r="A464" s="32" t="s">
        <v>465</v>
      </c>
      <c r="B464" s="33">
        <v>178.78781127929699</v>
      </c>
      <c r="C464" s="33">
        <v>52.442325592041001</v>
      </c>
      <c r="D464" s="33">
        <v>69.152694702148395</v>
      </c>
      <c r="E464" s="33">
        <v>82.949371337890597</v>
      </c>
    </row>
    <row r="465" spans="1:5" ht="15" customHeight="1" x14ac:dyDescent="0.2">
      <c r="A465" s="32" t="s">
        <v>466</v>
      </c>
      <c r="B465" s="33">
        <v>177.07911682128901</v>
      </c>
      <c r="C465" s="33">
        <v>51.997226715087898</v>
      </c>
      <c r="D465" s="33">
        <v>69.058403015136705</v>
      </c>
      <c r="E465" s="33">
        <v>82.642791748046903</v>
      </c>
    </row>
    <row r="466" spans="1:5" ht="15" customHeight="1" x14ac:dyDescent="0.2">
      <c r="A466" s="32" t="s">
        <v>467</v>
      </c>
      <c r="B466" s="33">
        <v>179.35737609863301</v>
      </c>
      <c r="C466" s="33">
        <v>54.080314636230497</v>
      </c>
      <c r="D466" s="33">
        <v>70.0013427734375</v>
      </c>
      <c r="E466" s="33">
        <v>82.634063720703097</v>
      </c>
    </row>
    <row r="467" spans="1:5" ht="15" customHeight="1" x14ac:dyDescent="0.2">
      <c r="A467" s="32" t="s">
        <v>468</v>
      </c>
      <c r="B467" s="33">
        <v>180.99017333984401</v>
      </c>
      <c r="C467" s="33">
        <v>54.249458312988303</v>
      </c>
      <c r="D467" s="33">
        <v>70.0013427734375</v>
      </c>
      <c r="E467" s="33">
        <v>82.371276855468807</v>
      </c>
    </row>
    <row r="468" spans="1:5" ht="15" customHeight="1" x14ac:dyDescent="0.2">
      <c r="A468" s="32" t="s">
        <v>469</v>
      </c>
      <c r="B468" s="33">
        <v>181.93943786621099</v>
      </c>
      <c r="C468" s="33">
        <v>54.863700866699197</v>
      </c>
      <c r="D468" s="33">
        <v>70.215667724609403</v>
      </c>
      <c r="E468" s="33">
        <v>82.721611022949205</v>
      </c>
    </row>
    <row r="469" spans="1:5" ht="15" customHeight="1" x14ac:dyDescent="0.2">
      <c r="A469" s="32" t="s">
        <v>470</v>
      </c>
      <c r="B469" s="33">
        <v>178.01890563964801</v>
      </c>
      <c r="C469" s="33">
        <v>54.098117828369098</v>
      </c>
      <c r="D469" s="33">
        <v>69.495574951171903</v>
      </c>
      <c r="E469" s="33">
        <v>82.817985534667997</v>
      </c>
    </row>
    <row r="470" spans="1:5" ht="15" customHeight="1" x14ac:dyDescent="0.2">
      <c r="A470" s="32" t="s">
        <v>471</v>
      </c>
      <c r="B470" s="33">
        <v>188.09080505371099</v>
      </c>
      <c r="C470" s="33">
        <v>57.133743286132798</v>
      </c>
      <c r="D470" s="33">
        <v>74.578948974609403</v>
      </c>
      <c r="E470" s="33">
        <v>84.596084594726605</v>
      </c>
    </row>
    <row r="471" spans="1:5" ht="15" customHeight="1" x14ac:dyDescent="0.2">
      <c r="A471" s="32" t="s">
        <v>472</v>
      </c>
      <c r="B471" s="33">
        <v>190.00833129882801</v>
      </c>
      <c r="C471" s="33">
        <v>58.273208618164098</v>
      </c>
      <c r="D471" s="33">
        <v>74.570388793945298</v>
      </c>
      <c r="E471" s="33">
        <v>84.534782409667997</v>
      </c>
    </row>
    <row r="472" spans="1:5" ht="15" customHeight="1" x14ac:dyDescent="0.2">
      <c r="A472" s="32" t="s">
        <v>473</v>
      </c>
      <c r="B472" s="33">
        <v>188.29013061523401</v>
      </c>
      <c r="C472" s="33">
        <v>57.658962249755902</v>
      </c>
      <c r="D472" s="33">
        <v>72.7530517578125</v>
      </c>
      <c r="E472" s="33">
        <v>84.298278808593807</v>
      </c>
    </row>
    <row r="473" spans="1:5" ht="15" customHeight="1" x14ac:dyDescent="0.2">
      <c r="A473" s="32" t="s">
        <v>474</v>
      </c>
      <c r="B473" s="33">
        <v>190.19818115234401</v>
      </c>
      <c r="C473" s="33">
        <v>58.041755676269503</v>
      </c>
      <c r="D473" s="33">
        <v>73.541694641113295</v>
      </c>
      <c r="E473" s="33">
        <v>84.920173645019503</v>
      </c>
    </row>
    <row r="474" spans="1:5" ht="15" customHeight="1" x14ac:dyDescent="0.2">
      <c r="A474" s="32" t="s">
        <v>475</v>
      </c>
      <c r="B474" s="33">
        <v>188.26167297363301</v>
      </c>
      <c r="C474" s="33">
        <v>57.908226013183601</v>
      </c>
      <c r="D474" s="33">
        <v>72.873069763183594</v>
      </c>
      <c r="E474" s="33">
        <v>85.445739746093807</v>
      </c>
    </row>
    <row r="475" spans="1:5" ht="15" customHeight="1" x14ac:dyDescent="0.2">
      <c r="A475" s="32" t="s">
        <v>476</v>
      </c>
      <c r="B475" s="33">
        <v>187.47380065918</v>
      </c>
      <c r="C475" s="33">
        <v>57.881515502929702</v>
      </c>
      <c r="D475" s="33">
        <v>72.375862121582003</v>
      </c>
      <c r="E475" s="33">
        <v>85.086608886718807</v>
      </c>
    </row>
    <row r="476" spans="1:5" ht="15" customHeight="1" x14ac:dyDescent="0.2">
      <c r="A476" s="32" t="s">
        <v>477</v>
      </c>
      <c r="B476" s="33">
        <v>188.35659790039099</v>
      </c>
      <c r="C476" s="33">
        <v>57.997245788574197</v>
      </c>
      <c r="D476" s="33">
        <v>73.293098449707003</v>
      </c>
      <c r="E476" s="33">
        <v>84.964004516601605</v>
      </c>
    </row>
    <row r="477" spans="1:5" ht="15" customHeight="1" x14ac:dyDescent="0.2">
      <c r="A477" s="32" t="s">
        <v>478</v>
      </c>
      <c r="B477" s="33">
        <v>187.55918884277301</v>
      </c>
      <c r="C477" s="33">
        <v>57.561042785644503</v>
      </c>
      <c r="D477" s="33">
        <v>73.678871154785199</v>
      </c>
      <c r="E477" s="33">
        <v>84.911430358886705</v>
      </c>
    </row>
    <row r="478" spans="1:5" ht="15" customHeight="1" x14ac:dyDescent="0.2">
      <c r="A478" s="32" t="s">
        <v>479</v>
      </c>
      <c r="B478" s="33">
        <v>190.01783752441401</v>
      </c>
      <c r="C478" s="33">
        <v>58.362232208252003</v>
      </c>
      <c r="D478" s="33">
        <v>74.081764221191406</v>
      </c>
      <c r="E478" s="33">
        <v>85.349380493164105</v>
      </c>
    </row>
    <row r="479" spans="1:5" ht="15" customHeight="1" x14ac:dyDescent="0.2">
      <c r="A479" s="32" t="s">
        <v>480</v>
      </c>
      <c r="B479" s="33">
        <v>191.17593383789099</v>
      </c>
      <c r="C479" s="33">
        <v>59.003185272216797</v>
      </c>
      <c r="D479" s="33">
        <v>74.141754150390597</v>
      </c>
      <c r="E479" s="33">
        <v>85.857421875</v>
      </c>
    </row>
    <row r="480" spans="1:5" ht="15" customHeight="1" x14ac:dyDescent="0.2">
      <c r="A480" s="32" t="s">
        <v>481</v>
      </c>
      <c r="B480" s="33">
        <v>191.31834411621099</v>
      </c>
      <c r="C480" s="33">
        <v>59.305862426757798</v>
      </c>
      <c r="D480" s="33">
        <v>74.613235473632798</v>
      </c>
      <c r="E480" s="33">
        <v>85.874916076660199</v>
      </c>
    </row>
    <row r="481" spans="1:5" ht="15" customHeight="1" x14ac:dyDescent="0.2">
      <c r="A481" s="32" t="s">
        <v>482</v>
      </c>
      <c r="B481" s="33">
        <v>188.21420288085901</v>
      </c>
      <c r="C481" s="33">
        <v>58.540279388427699</v>
      </c>
      <c r="D481" s="33">
        <v>72.615905761718807</v>
      </c>
      <c r="E481" s="33">
        <v>85.734794616699205</v>
      </c>
    </row>
    <row r="482" spans="1:5" ht="15" customHeight="1" x14ac:dyDescent="0.2">
      <c r="A482" s="32" t="s">
        <v>483</v>
      </c>
      <c r="B482" s="33">
        <v>187.919921875</v>
      </c>
      <c r="C482" s="33">
        <v>58.709407806396499</v>
      </c>
      <c r="D482" s="33">
        <v>73.816024780273395</v>
      </c>
      <c r="E482" s="33">
        <v>85.42822265625</v>
      </c>
    </row>
    <row r="483" spans="1:5" ht="15" customHeight="1" x14ac:dyDescent="0.2">
      <c r="A483" s="32" t="s">
        <v>484</v>
      </c>
      <c r="B483" s="33">
        <v>193.71055603027301</v>
      </c>
      <c r="C483" s="33">
        <v>59.7509574890137</v>
      </c>
      <c r="D483" s="33">
        <v>75.504768371582003</v>
      </c>
      <c r="E483" s="33">
        <v>86.093917846679702</v>
      </c>
    </row>
    <row r="484" spans="1:5" ht="15" customHeight="1" x14ac:dyDescent="0.2">
      <c r="A484" s="32" t="s">
        <v>485</v>
      </c>
      <c r="B484" s="33">
        <v>193.824462890625</v>
      </c>
      <c r="C484" s="33">
        <v>60.32958984375</v>
      </c>
      <c r="D484" s="33">
        <v>75.341880798339801</v>
      </c>
      <c r="E484" s="33">
        <v>86.810317993164105</v>
      </c>
    </row>
    <row r="485" spans="1:5" ht="15" customHeight="1" x14ac:dyDescent="0.2">
      <c r="A485" s="32" t="s">
        <v>486</v>
      </c>
      <c r="B485" s="33">
        <v>193.64408874511699</v>
      </c>
      <c r="C485" s="33">
        <v>60.285087585449197</v>
      </c>
      <c r="D485" s="33">
        <v>75.119003295898395</v>
      </c>
      <c r="E485" s="33">
        <v>87.170257568359403</v>
      </c>
    </row>
    <row r="486" spans="1:5" ht="15" customHeight="1" x14ac:dyDescent="0.2">
      <c r="A486" s="32" t="s">
        <v>487</v>
      </c>
      <c r="B486" s="33">
        <v>189.83746337890599</v>
      </c>
      <c r="C486" s="33">
        <v>59.492794036865199</v>
      </c>
      <c r="D486" s="33">
        <v>73.747444152832003</v>
      </c>
      <c r="E486" s="33">
        <v>86.485458374023395</v>
      </c>
    </row>
    <row r="487" spans="1:5" ht="15" customHeight="1" x14ac:dyDescent="0.2">
      <c r="A487" s="32" t="s">
        <v>488</v>
      </c>
      <c r="B487" s="33">
        <v>186.98960876464801</v>
      </c>
      <c r="C487" s="33">
        <v>59.225734710693402</v>
      </c>
      <c r="D487" s="33">
        <v>73.053077697753906</v>
      </c>
      <c r="E487" s="33">
        <v>86.740081787109403</v>
      </c>
    </row>
    <row r="488" spans="1:5" ht="15" customHeight="1" x14ac:dyDescent="0.2">
      <c r="A488" s="32" t="s">
        <v>489</v>
      </c>
      <c r="B488" s="33">
        <v>186.68586730957</v>
      </c>
      <c r="C488" s="33">
        <v>59.225734710693402</v>
      </c>
      <c r="D488" s="33">
        <v>73.198814392089801</v>
      </c>
      <c r="E488" s="33">
        <v>87.512657165527301</v>
      </c>
    </row>
    <row r="489" spans="1:5" ht="15" customHeight="1" x14ac:dyDescent="0.2">
      <c r="A489" s="32" t="s">
        <v>490</v>
      </c>
      <c r="B489" s="33">
        <v>188.29965209960901</v>
      </c>
      <c r="C489" s="33">
        <v>59.528408050537102</v>
      </c>
      <c r="D489" s="33">
        <v>73.713142395019503</v>
      </c>
      <c r="E489" s="33">
        <v>87.249282836914105</v>
      </c>
    </row>
    <row r="490" spans="1:5" ht="15" customHeight="1" x14ac:dyDescent="0.2">
      <c r="A490" s="32" t="s">
        <v>491</v>
      </c>
      <c r="B490" s="33">
        <v>186.72381591796901</v>
      </c>
      <c r="C490" s="33">
        <v>59.564022064208999</v>
      </c>
      <c r="D490" s="33">
        <v>73.575996398925795</v>
      </c>
      <c r="E490" s="33">
        <v>86.731292724609403</v>
      </c>
    </row>
    <row r="491" spans="1:5" ht="15" customHeight="1" x14ac:dyDescent="0.2">
      <c r="A491" s="32" t="s">
        <v>492</v>
      </c>
      <c r="B491" s="33">
        <v>189.41027832031301</v>
      </c>
      <c r="C491" s="33">
        <v>59.742061614990199</v>
      </c>
      <c r="D491" s="33">
        <v>74.141754150390597</v>
      </c>
      <c r="E491" s="33">
        <v>86.748855590820298</v>
      </c>
    </row>
    <row r="492" spans="1:5" ht="15" customHeight="1" x14ac:dyDescent="0.2">
      <c r="A492" s="32" t="s">
        <v>493</v>
      </c>
      <c r="B492" s="33">
        <v>190.82473754882801</v>
      </c>
      <c r="C492" s="33">
        <v>60.589359283447301</v>
      </c>
      <c r="D492" s="33">
        <v>75.513336181640597</v>
      </c>
      <c r="E492" s="33">
        <v>87.328269958496094</v>
      </c>
    </row>
    <row r="493" spans="1:5" ht="15" customHeight="1" x14ac:dyDescent="0.2">
      <c r="A493" s="32" t="s">
        <v>494</v>
      </c>
      <c r="B493" s="33">
        <v>189.76152038574199</v>
      </c>
      <c r="C493" s="33">
        <v>60.535736083984403</v>
      </c>
      <c r="D493" s="33">
        <v>74.998992919921903</v>
      </c>
      <c r="E493" s="33">
        <v>87.521438598632798</v>
      </c>
    </row>
    <row r="494" spans="1:5" ht="15" customHeight="1" x14ac:dyDescent="0.2">
      <c r="A494" s="32" t="s">
        <v>495</v>
      </c>
      <c r="B494" s="33">
        <v>185.03408813476599</v>
      </c>
      <c r="C494" s="33">
        <v>58.989494323730497</v>
      </c>
      <c r="D494" s="33">
        <v>73.996040344238295</v>
      </c>
      <c r="E494" s="33">
        <v>87.649909973144503</v>
      </c>
    </row>
    <row r="495" spans="1:5" ht="15" customHeight="1" x14ac:dyDescent="0.2">
      <c r="A495" s="32" t="s">
        <v>496</v>
      </c>
      <c r="B495" s="33">
        <v>182.91722106933599</v>
      </c>
      <c r="C495" s="33">
        <v>58.471111297607401</v>
      </c>
      <c r="D495" s="33">
        <v>72.084403991699205</v>
      </c>
      <c r="E495" s="33">
        <v>87.421119689941406</v>
      </c>
    </row>
    <row r="496" spans="1:5" ht="15" customHeight="1" x14ac:dyDescent="0.2">
      <c r="A496" s="32" t="s">
        <v>497</v>
      </c>
      <c r="B496" s="33">
        <v>181.075607299805</v>
      </c>
      <c r="C496" s="33">
        <v>58.3281059265137</v>
      </c>
      <c r="D496" s="33">
        <v>71.167182922363295</v>
      </c>
      <c r="E496" s="33">
        <v>86.884353637695298</v>
      </c>
    </row>
    <row r="497" spans="1:5" ht="15" customHeight="1" x14ac:dyDescent="0.2">
      <c r="A497" s="32" t="s">
        <v>498</v>
      </c>
      <c r="B497" s="33">
        <v>181.45530700683599</v>
      </c>
      <c r="C497" s="33">
        <v>58.560482025146499</v>
      </c>
      <c r="D497" s="33">
        <v>70.987167358398395</v>
      </c>
      <c r="E497" s="33">
        <v>86.2947998046875</v>
      </c>
    </row>
    <row r="498" spans="1:5" ht="15" customHeight="1" x14ac:dyDescent="0.2">
      <c r="A498" s="32" t="s">
        <v>499</v>
      </c>
      <c r="B498" s="33">
        <v>184.19873046875</v>
      </c>
      <c r="C498" s="33">
        <v>59.168251037597699</v>
      </c>
      <c r="D498" s="33">
        <v>71.595787048339801</v>
      </c>
      <c r="E498" s="33">
        <v>86.532386779785199</v>
      </c>
    </row>
    <row r="499" spans="1:5" ht="15" customHeight="1" x14ac:dyDescent="0.2">
      <c r="A499" s="32" t="s">
        <v>500</v>
      </c>
      <c r="B499" s="33">
        <v>181.58610534668</v>
      </c>
      <c r="C499" s="33">
        <v>58.685615539550803</v>
      </c>
      <c r="D499" s="33">
        <v>71.294998168945298</v>
      </c>
      <c r="E499" s="33">
        <v>86.506011962890597</v>
      </c>
    </row>
    <row r="500" spans="1:5" ht="15" customHeight="1" x14ac:dyDescent="0.2">
      <c r="A500" s="32" t="s">
        <v>501</v>
      </c>
      <c r="B500" s="33">
        <v>182.58767700195301</v>
      </c>
      <c r="C500" s="33">
        <v>58.891181945800803</v>
      </c>
      <c r="D500" s="33">
        <v>71.929626464843807</v>
      </c>
      <c r="E500" s="33">
        <v>86.206794738769503</v>
      </c>
    </row>
    <row r="501" spans="1:5" ht="15" customHeight="1" x14ac:dyDescent="0.2">
      <c r="A501" s="32" t="s">
        <v>502</v>
      </c>
      <c r="B501" s="33">
        <v>181.82460021972699</v>
      </c>
      <c r="C501" s="33">
        <v>58.980560302734403</v>
      </c>
      <c r="D501" s="33">
        <v>71.903549194335895</v>
      </c>
      <c r="E501" s="33">
        <v>85.582046508789105</v>
      </c>
    </row>
    <row r="502" spans="1:5" ht="15" customHeight="1" x14ac:dyDescent="0.2">
      <c r="A502" s="32" t="s">
        <v>503</v>
      </c>
      <c r="B502" s="33">
        <v>179.53529357910199</v>
      </c>
      <c r="C502" s="33">
        <v>58.354915618896499</v>
      </c>
      <c r="D502" s="33">
        <v>70.677757263183594</v>
      </c>
      <c r="E502" s="33">
        <v>85.432464599609403</v>
      </c>
    </row>
    <row r="503" spans="1:5" ht="15" customHeight="1" x14ac:dyDescent="0.2">
      <c r="A503" s="32" t="s">
        <v>504</v>
      </c>
      <c r="B503" s="33">
        <v>182.83566284179699</v>
      </c>
      <c r="C503" s="33">
        <v>59.2755126953125</v>
      </c>
      <c r="D503" s="33">
        <v>72.225204467773395</v>
      </c>
      <c r="E503" s="33">
        <v>85.749244689941406</v>
      </c>
    </row>
    <row r="504" spans="1:5" ht="15" customHeight="1" x14ac:dyDescent="0.2">
      <c r="A504" s="32" t="s">
        <v>505</v>
      </c>
      <c r="B504" s="33">
        <v>182.36828613281301</v>
      </c>
      <c r="C504" s="33">
        <v>58.667736053466797</v>
      </c>
      <c r="D504" s="33">
        <v>71.703590393066406</v>
      </c>
      <c r="E504" s="33">
        <v>85.344497680664105</v>
      </c>
    </row>
    <row r="505" spans="1:5" ht="15" customHeight="1" x14ac:dyDescent="0.2">
      <c r="A505" s="32" t="s">
        <v>506</v>
      </c>
      <c r="B505" s="33">
        <v>181.62428283691401</v>
      </c>
      <c r="C505" s="33">
        <v>59.186130523681598</v>
      </c>
      <c r="D505" s="33">
        <v>71.773124694824205</v>
      </c>
      <c r="E505" s="33">
        <v>85.846031188964801</v>
      </c>
    </row>
    <row r="506" spans="1:5" ht="15" customHeight="1" x14ac:dyDescent="0.2">
      <c r="A506" s="32" t="s">
        <v>507</v>
      </c>
      <c r="B506" s="33">
        <v>183.23628234863301</v>
      </c>
      <c r="C506" s="33">
        <v>59.97265625</v>
      </c>
      <c r="D506" s="33">
        <v>73.398826599121094</v>
      </c>
      <c r="E506" s="33">
        <v>86.321205139160199</v>
      </c>
    </row>
    <row r="507" spans="1:5" ht="15" customHeight="1" x14ac:dyDescent="0.2">
      <c r="A507" s="32" t="s">
        <v>508</v>
      </c>
      <c r="B507" s="33">
        <v>181.09011840820301</v>
      </c>
      <c r="C507" s="33">
        <v>59.373825073242202</v>
      </c>
      <c r="D507" s="33">
        <v>71.425407409667997</v>
      </c>
      <c r="E507" s="33">
        <v>86.250808715820298</v>
      </c>
    </row>
    <row r="508" spans="1:5" ht="15" customHeight="1" x14ac:dyDescent="0.2">
      <c r="A508" s="32" t="s">
        <v>509</v>
      </c>
      <c r="B508" s="33">
        <v>185.08676147460901</v>
      </c>
      <c r="C508" s="33">
        <v>60.893245697021499</v>
      </c>
      <c r="D508" s="33">
        <v>73.346656799316406</v>
      </c>
      <c r="E508" s="33">
        <v>87.192359924316406</v>
      </c>
    </row>
    <row r="509" spans="1:5" ht="15" customHeight="1" x14ac:dyDescent="0.2">
      <c r="A509" s="32" t="s">
        <v>510</v>
      </c>
      <c r="B509" s="33">
        <v>185.16310119628901</v>
      </c>
      <c r="C509" s="33">
        <v>61.152442932128899</v>
      </c>
      <c r="D509" s="33">
        <v>73.372726440429702</v>
      </c>
      <c r="E509" s="33">
        <v>87.412322998046903</v>
      </c>
    </row>
    <row r="510" spans="1:5" ht="15" customHeight="1" x14ac:dyDescent="0.2">
      <c r="A510" s="32" t="s">
        <v>511</v>
      </c>
      <c r="B510" s="33">
        <v>186.622482299805</v>
      </c>
      <c r="C510" s="33">
        <v>61.331211090087898</v>
      </c>
      <c r="D510" s="33">
        <v>73.537910461425795</v>
      </c>
      <c r="E510" s="33">
        <v>87.077957153320298</v>
      </c>
    </row>
    <row r="511" spans="1:5" ht="15" customHeight="1" x14ac:dyDescent="0.2">
      <c r="A511" s="32" t="s">
        <v>512</v>
      </c>
      <c r="B511" s="33">
        <v>189.08345031738301</v>
      </c>
      <c r="C511" s="33">
        <v>61.795974731445298</v>
      </c>
      <c r="D511" s="33">
        <v>76.172027587890597</v>
      </c>
      <c r="E511" s="33">
        <v>87.614700317382798</v>
      </c>
    </row>
    <row r="512" spans="1:5" ht="15" customHeight="1" x14ac:dyDescent="0.2">
      <c r="A512" s="32" t="s">
        <v>513</v>
      </c>
      <c r="B512" s="33">
        <v>189.99917602539099</v>
      </c>
      <c r="C512" s="33">
        <v>62.707618713378899</v>
      </c>
      <c r="D512" s="33">
        <v>77.137008666992202</v>
      </c>
      <c r="E512" s="33">
        <v>88.248252868652301</v>
      </c>
    </row>
    <row r="513" spans="1:5" ht="15" customHeight="1" x14ac:dyDescent="0.2">
      <c r="A513" s="32" t="s">
        <v>514</v>
      </c>
      <c r="B513" s="33">
        <v>190.80995178222699</v>
      </c>
      <c r="C513" s="33">
        <v>63.038326263427699</v>
      </c>
      <c r="D513" s="33">
        <v>76.658859252929702</v>
      </c>
      <c r="E513" s="33">
        <v>87.922683715820298</v>
      </c>
    </row>
    <row r="514" spans="1:5" ht="15" customHeight="1" x14ac:dyDescent="0.2">
      <c r="A514" s="32" t="s">
        <v>515</v>
      </c>
      <c r="B514" s="33">
        <v>190.55239868164099</v>
      </c>
      <c r="C514" s="33">
        <v>63.234951019287102</v>
      </c>
      <c r="D514" s="33">
        <v>76.876205444335895</v>
      </c>
      <c r="E514" s="33">
        <v>87.764289855957003</v>
      </c>
    </row>
    <row r="515" spans="1:5" ht="15" customHeight="1" x14ac:dyDescent="0.2">
      <c r="A515" s="32" t="s">
        <v>516</v>
      </c>
      <c r="B515" s="33">
        <v>187.54776000976599</v>
      </c>
      <c r="C515" s="33">
        <v>63.011512756347699</v>
      </c>
      <c r="D515" s="33">
        <v>75.754722595214801</v>
      </c>
      <c r="E515" s="33">
        <v>88.635421752929702</v>
      </c>
    </row>
    <row r="516" spans="1:5" ht="15" customHeight="1" x14ac:dyDescent="0.2">
      <c r="A516" s="32" t="s">
        <v>517</v>
      </c>
      <c r="B516" s="33">
        <v>186.02154541015599</v>
      </c>
      <c r="C516" s="33">
        <v>62.913196563720703</v>
      </c>
      <c r="D516" s="33">
        <v>75.337455749511705</v>
      </c>
      <c r="E516" s="33">
        <v>88.433044433593807</v>
      </c>
    </row>
    <row r="517" spans="1:5" ht="15" customHeight="1" x14ac:dyDescent="0.2">
      <c r="A517" s="32" t="s">
        <v>518</v>
      </c>
      <c r="B517" s="33">
        <v>189.58898925781301</v>
      </c>
      <c r="C517" s="33">
        <v>63.467350006103501</v>
      </c>
      <c r="D517" s="33">
        <v>76.232887268066406</v>
      </c>
      <c r="E517" s="33">
        <v>88.072265625</v>
      </c>
    </row>
    <row r="518" spans="1:5" ht="15" customHeight="1" x14ac:dyDescent="0.2">
      <c r="A518" s="32" t="s">
        <v>519</v>
      </c>
      <c r="B518" s="33">
        <v>191.99270629882801</v>
      </c>
      <c r="C518" s="33">
        <v>63.7265434265137</v>
      </c>
      <c r="D518" s="33">
        <v>76.580619812011705</v>
      </c>
      <c r="E518" s="33">
        <v>87.852279663085895</v>
      </c>
    </row>
    <row r="519" spans="1:5" ht="15" customHeight="1" x14ac:dyDescent="0.2">
      <c r="A519" s="32" t="s">
        <v>520</v>
      </c>
      <c r="B519" s="33">
        <v>191.67794799804699</v>
      </c>
      <c r="C519" s="33">
        <v>63.646087646484403</v>
      </c>
      <c r="D519" s="33">
        <v>76.771865844726605</v>
      </c>
      <c r="E519" s="33">
        <v>88.239448547363295</v>
      </c>
    </row>
    <row r="520" spans="1:5" ht="15" customHeight="1" x14ac:dyDescent="0.2">
      <c r="A520" s="32" t="s">
        <v>521</v>
      </c>
      <c r="B520" s="33">
        <v>191.77334594726599</v>
      </c>
      <c r="C520" s="33">
        <v>64.066169738769503</v>
      </c>
      <c r="D520" s="33">
        <v>76.806648254394503</v>
      </c>
      <c r="E520" s="33">
        <v>88.345046997070298</v>
      </c>
    </row>
    <row r="521" spans="1:5" ht="15" customHeight="1" x14ac:dyDescent="0.2">
      <c r="A521" s="32" t="s">
        <v>522</v>
      </c>
      <c r="B521" s="33">
        <v>193.74783325195301</v>
      </c>
      <c r="C521" s="33">
        <v>64.119789123535199</v>
      </c>
      <c r="D521" s="33">
        <v>77.667289733886705</v>
      </c>
      <c r="E521" s="33">
        <v>88.195472717285199</v>
      </c>
    </row>
    <row r="522" spans="1:5" ht="15" customHeight="1" x14ac:dyDescent="0.2">
      <c r="A522" s="32" t="s">
        <v>523</v>
      </c>
      <c r="B522" s="33">
        <v>194.52998352050801</v>
      </c>
      <c r="C522" s="33">
        <v>63.994663238525398</v>
      </c>
      <c r="D522" s="33">
        <v>78.536636352539105</v>
      </c>
      <c r="E522" s="33">
        <v>88.063446044921903</v>
      </c>
    </row>
    <row r="523" spans="1:5" ht="15" customHeight="1" x14ac:dyDescent="0.2">
      <c r="A523" s="32" t="s">
        <v>524</v>
      </c>
      <c r="B523" s="33">
        <v>191.92596435546901</v>
      </c>
      <c r="C523" s="33">
        <v>63.583526611328097</v>
      </c>
      <c r="D523" s="33">
        <v>77.536911010742202</v>
      </c>
      <c r="E523" s="33">
        <v>87.825866699218807</v>
      </c>
    </row>
    <row r="524" spans="1:5" ht="15" customHeight="1" x14ac:dyDescent="0.2">
      <c r="A524" s="32" t="s">
        <v>525</v>
      </c>
      <c r="B524" s="33">
        <v>194.99739074707</v>
      </c>
      <c r="C524" s="33">
        <v>63.949977874755902</v>
      </c>
      <c r="D524" s="33">
        <v>79.162574768066406</v>
      </c>
      <c r="E524" s="33">
        <v>88.186668395996094</v>
      </c>
    </row>
    <row r="525" spans="1:5" ht="15" customHeight="1" x14ac:dyDescent="0.2">
      <c r="A525" s="32" t="s">
        <v>526</v>
      </c>
      <c r="B525" s="33">
        <v>197.37246704101599</v>
      </c>
      <c r="C525" s="33">
        <v>64.522003173828097</v>
      </c>
      <c r="D525" s="33">
        <v>79.6494140625</v>
      </c>
      <c r="E525" s="33">
        <v>88.808547973632798</v>
      </c>
    </row>
    <row r="526" spans="1:5" ht="15" customHeight="1" x14ac:dyDescent="0.2">
      <c r="A526" s="32" t="s">
        <v>527</v>
      </c>
      <c r="B526" s="33">
        <v>200.31991577148401</v>
      </c>
      <c r="C526" s="33">
        <v>64.4326171875</v>
      </c>
      <c r="D526" s="33">
        <v>81.4576416015625</v>
      </c>
      <c r="E526" s="33">
        <v>88.905555725097699</v>
      </c>
    </row>
    <row r="527" spans="1:5" ht="15" customHeight="1" x14ac:dyDescent="0.2">
      <c r="A527" s="32" t="s">
        <v>528</v>
      </c>
      <c r="B527" s="33">
        <v>198.25003051757801</v>
      </c>
      <c r="C527" s="33">
        <v>63.833786010742202</v>
      </c>
      <c r="D527" s="33">
        <v>79.927597045898395</v>
      </c>
      <c r="E527" s="33">
        <v>88.049957275390597</v>
      </c>
    </row>
    <row r="528" spans="1:5" ht="15" customHeight="1" x14ac:dyDescent="0.2">
      <c r="A528" s="32" t="s">
        <v>529</v>
      </c>
      <c r="B528" s="33">
        <v>196.76200866699199</v>
      </c>
      <c r="C528" s="33">
        <v>63.181327819824197</v>
      </c>
      <c r="D528" s="33">
        <v>79.345123291015597</v>
      </c>
      <c r="E528" s="33">
        <v>87.564788818359403</v>
      </c>
    </row>
    <row r="529" spans="1:5" ht="15" customHeight="1" x14ac:dyDescent="0.2">
      <c r="A529" s="32" t="s">
        <v>530</v>
      </c>
      <c r="B529" s="33">
        <v>199.24203491210901</v>
      </c>
      <c r="C529" s="33">
        <v>63.717594146728501</v>
      </c>
      <c r="D529" s="33">
        <v>79.171272277832003</v>
      </c>
      <c r="E529" s="33">
        <v>87.414825439453097</v>
      </c>
    </row>
    <row r="530" spans="1:5" ht="15" customHeight="1" x14ac:dyDescent="0.2">
      <c r="A530" s="32" t="s">
        <v>531</v>
      </c>
      <c r="B530" s="33">
        <v>197.11489868164099</v>
      </c>
      <c r="C530" s="33">
        <v>63.3243217468262</v>
      </c>
      <c r="D530" s="33">
        <v>78.797447204589801</v>
      </c>
      <c r="E530" s="33">
        <v>87.538322448730497</v>
      </c>
    </row>
    <row r="531" spans="1:5" ht="15" customHeight="1" x14ac:dyDescent="0.2">
      <c r="A531" s="32" t="s">
        <v>532</v>
      </c>
      <c r="B531" s="33">
        <v>195.197677612305</v>
      </c>
      <c r="C531" s="33">
        <v>63.440528869628899</v>
      </c>
      <c r="D531" s="33">
        <v>77.936790466308594</v>
      </c>
      <c r="E531" s="33">
        <v>87.194297790527301</v>
      </c>
    </row>
    <row r="532" spans="1:5" ht="15" customHeight="1" x14ac:dyDescent="0.2">
      <c r="A532" s="32" t="s">
        <v>533</v>
      </c>
      <c r="B532" s="33">
        <v>195.55061340332</v>
      </c>
      <c r="C532" s="33">
        <v>63.163444519042997</v>
      </c>
      <c r="D532" s="33">
        <v>78.206298828125</v>
      </c>
      <c r="E532" s="33">
        <v>86.815002441406307</v>
      </c>
    </row>
    <row r="533" spans="1:5" ht="15" customHeight="1" x14ac:dyDescent="0.2">
      <c r="A533" s="32" t="s">
        <v>534</v>
      </c>
      <c r="B533" s="33">
        <v>197.87802124023401</v>
      </c>
      <c r="C533" s="33">
        <v>63.798030853271499</v>
      </c>
      <c r="D533" s="33">
        <v>78.901779174804702</v>
      </c>
      <c r="E533" s="33">
        <v>87.079635620117202</v>
      </c>
    </row>
    <row r="534" spans="1:5" ht="15" customHeight="1" x14ac:dyDescent="0.2">
      <c r="A534" s="32" t="s">
        <v>535</v>
      </c>
      <c r="B534" s="33">
        <v>197.95433044433599</v>
      </c>
      <c r="C534" s="33">
        <v>63.914230346679702</v>
      </c>
      <c r="D534" s="33">
        <v>78.275840759277301</v>
      </c>
      <c r="E534" s="33">
        <v>86.770927429199205</v>
      </c>
    </row>
    <row r="535" spans="1:5" ht="15" customHeight="1" x14ac:dyDescent="0.2">
      <c r="A535" s="32" t="s">
        <v>536</v>
      </c>
      <c r="B535" s="33">
        <v>198.84143066406301</v>
      </c>
      <c r="C535" s="33">
        <v>63.628219604492202</v>
      </c>
      <c r="D535" s="33">
        <v>78.588806152343807</v>
      </c>
      <c r="E535" s="33">
        <v>86.603294372558594</v>
      </c>
    </row>
    <row r="536" spans="1:5" ht="15" customHeight="1" x14ac:dyDescent="0.2">
      <c r="A536" s="32" t="s">
        <v>537</v>
      </c>
      <c r="B536" s="33">
        <v>196.18968200683599</v>
      </c>
      <c r="C536" s="33">
        <v>63.315387725830099</v>
      </c>
      <c r="D536" s="33">
        <v>77.823783874511705</v>
      </c>
      <c r="E536" s="33">
        <v>86.241653442382798</v>
      </c>
    </row>
    <row r="537" spans="1:5" ht="15" customHeight="1" x14ac:dyDescent="0.2">
      <c r="A537" s="32" t="s">
        <v>538</v>
      </c>
      <c r="B537" s="33">
        <v>195.61738586425801</v>
      </c>
      <c r="C537" s="33">
        <v>63.476276397705099</v>
      </c>
      <c r="D537" s="33">
        <v>77.519523620605497</v>
      </c>
      <c r="E537" s="33">
        <v>86.444557189941406</v>
      </c>
    </row>
    <row r="538" spans="1:5" ht="15" customHeight="1" x14ac:dyDescent="0.2">
      <c r="A538" s="32" t="s">
        <v>539</v>
      </c>
      <c r="B538" s="33">
        <v>191.5634765625</v>
      </c>
      <c r="C538" s="33">
        <v>62.779132843017599</v>
      </c>
      <c r="D538" s="33">
        <v>75.963386535644503</v>
      </c>
      <c r="E538" s="33">
        <v>85.633018493652301</v>
      </c>
    </row>
    <row r="539" spans="1:5" ht="15" customHeight="1" x14ac:dyDescent="0.2">
      <c r="A539" s="32" t="s">
        <v>540</v>
      </c>
      <c r="B539" s="33">
        <v>191.40132141113301</v>
      </c>
      <c r="C539" s="33">
        <v>62.430545806884801</v>
      </c>
      <c r="D539" s="33">
        <v>75.276596069335895</v>
      </c>
      <c r="E539" s="33">
        <v>85.862365722656307</v>
      </c>
    </row>
    <row r="540" spans="1:5" ht="15" customHeight="1" x14ac:dyDescent="0.2">
      <c r="A540" s="32" t="s">
        <v>541</v>
      </c>
      <c r="B540" s="33">
        <v>192.421951293945</v>
      </c>
      <c r="C540" s="33">
        <v>62.752311706542997</v>
      </c>
      <c r="D540" s="33">
        <v>75.8416748046875</v>
      </c>
      <c r="E540" s="33">
        <v>86.171081542968807</v>
      </c>
    </row>
    <row r="541" spans="1:5" ht="15" customHeight="1" x14ac:dyDescent="0.2">
      <c r="A541" s="32" t="s">
        <v>542</v>
      </c>
      <c r="B541" s="33">
        <v>190.27577209472699</v>
      </c>
      <c r="C541" s="33">
        <v>61.706588745117202</v>
      </c>
      <c r="D541" s="33">
        <v>74.511581420898395</v>
      </c>
      <c r="E541" s="33">
        <v>85.677116394042997</v>
      </c>
    </row>
    <row r="542" spans="1:5" ht="15" customHeight="1" x14ac:dyDescent="0.2">
      <c r="A542" s="32" t="s">
        <v>543</v>
      </c>
      <c r="B542" s="33">
        <v>190.95300292968801</v>
      </c>
      <c r="C542" s="33">
        <v>62.439491271972699</v>
      </c>
      <c r="D542" s="33">
        <v>74.624595642089801</v>
      </c>
      <c r="E542" s="33">
        <v>85.8447265625</v>
      </c>
    </row>
    <row r="543" spans="1:5" ht="15" customHeight="1" x14ac:dyDescent="0.2">
      <c r="A543" s="32" t="s">
        <v>544</v>
      </c>
      <c r="B543" s="33">
        <v>190.31391906738301</v>
      </c>
      <c r="C543" s="33">
        <v>61.983665466308601</v>
      </c>
      <c r="D543" s="33">
        <v>74.520271301269503</v>
      </c>
      <c r="E543" s="33">
        <v>85.835906982421903</v>
      </c>
    </row>
    <row r="544" spans="1:5" ht="15" customHeight="1" x14ac:dyDescent="0.2">
      <c r="A544" s="32" t="s">
        <v>545</v>
      </c>
      <c r="B544" s="33">
        <v>190.77178955078099</v>
      </c>
      <c r="C544" s="33">
        <v>62.314365386962898</v>
      </c>
      <c r="D544" s="33">
        <v>73.581367492675795</v>
      </c>
      <c r="E544" s="33">
        <v>85.344245910644503</v>
      </c>
    </row>
    <row r="545" spans="1:5" ht="15" customHeight="1" x14ac:dyDescent="0.2">
      <c r="A545" s="32" t="s">
        <v>546</v>
      </c>
      <c r="B545" s="33">
        <v>191.06747436523401</v>
      </c>
      <c r="C545" s="33">
        <v>62.439491271972699</v>
      </c>
      <c r="D545" s="33">
        <v>74.442024230957003</v>
      </c>
      <c r="E545" s="33">
        <v>85.167442321777301</v>
      </c>
    </row>
    <row r="546" spans="1:5" ht="15" customHeight="1" x14ac:dyDescent="0.2">
      <c r="A546" s="32" t="s">
        <v>547</v>
      </c>
      <c r="B546" s="33">
        <v>194.17706298828099</v>
      </c>
      <c r="C546" s="33">
        <v>63.351142883300803</v>
      </c>
      <c r="D546" s="33">
        <v>75.572196960449205</v>
      </c>
      <c r="E546" s="33">
        <v>85.839447021484403</v>
      </c>
    </row>
    <row r="547" spans="1:5" ht="15" customHeight="1" x14ac:dyDescent="0.2">
      <c r="A547" s="32" t="s">
        <v>548</v>
      </c>
      <c r="B547" s="33">
        <v>193.91947937011699</v>
      </c>
      <c r="C547" s="33">
        <v>63.190261840820298</v>
      </c>
      <c r="D547" s="33">
        <v>75.276596069335895</v>
      </c>
      <c r="E547" s="33">
        <v>85.627220153808594</v>
      </c>
    </row>
    <row r="548" spans="1:5" ht="15" customHeight="1" x14ac:dyDescent="0.2">
      <c r="A548" s="32" t="s">
        <v>549</v>
      </c>
      <c r="B548" s="33">
        <v>191.02934265136699</v>
      </c>
      <c r="C548" s="33">
        <v>62.1356010437012</v>
      </c>
      <c r="D548" s="33">
        <v>73.520530700683594</v>
      </c>
      <c r="E548" s="33">
        <v>85.512283325195298</v>
      </c>
    </row>
    <row r="549" spans="1:5" ht="15" customHeight="1" x14ac:dyDescent="0.2">
      <c r="A549" s="32" t="s">
        <v>550</v>
      </c>
      <c r="B549" s="33">
        <v>191.27732849121099</v>
      </c>
      <c r="C549" s="33">
        <v>62.475242614746101</v>
      </c>
      <c r="D549" s="33">
        <v>74.363792419433594</v>
      </c>
      <c r="E549" s="33">
        <v>85.423851013183594</v>
      </c>
    </row>
    <row r="550" spans="1:5" ht="15" customHeight="1" x14ac:dyDescent="0.2">
      <c r="A550" s="32" t="s">
        <v>551</v>
      </c>
      <c r="B550" s="33">
        <v>187.50004577636699</v>
      </c>
      <c r="C550" s="33">
        <v>62.019405364990199</v>
      </c>
      <c r="D550" s="33">
        <v>72.659873962402301</v>
      </c>
      <c r="E550" s="33">
        <v>85.733337402343807</v>
      </c>
    </row>
    <row r="551" spans="1:5" ht="15" customHeight="1" x14ac:dyDescent="0.2">
      <c r="A551" s="32" t="s">
        <v>552</v>
      </c>
      <c r="B551" s="33">
        <v>184.34275817871099</v>
      </c>
      <c r="C551" s="33">
        <v>61.358005523681598</v>
      </c>
      <c r="D551" s="33">
        <v>70.251785278320298</v>
      </c>
      <c r="E551" s="33">
        <v>86.732505798339801</v>
      </c>
    </row>
    <row r="552" spans="1:5" ht="15" customHeight="1" x14ac:dyDescent="0.2">
      <c r="A552" s="32" t="s">
        <v>553</v>
      </c>
      <c r="B552" s="33">
        <v>183.57969665527301</v>
      </c>
      <c r="C552" s="33">
        <v>60.937931060791001</v>
      </c>
      <c r="D552" s="33">
        <v>71.173278808593807</v>
      </c>
      <c r="E552" s="33">
        <v>87.422164916992202</v>
      </c>
    </row>
    <row r="553" spans="1:5" ht="15" customHeight="1" x14ac:dyDescent="0.2">
      <c r="A553" s="32" t="s">
        <v>554</v>
      </c>
      <c r="B553" s="33">
        <v>186.85140991210901</v>
      </c>
      <c r="C553" s="33">
        <v>61.751270294189503</v>
      </c>
      <c r="D553" s="33">
        <v>71.860084533691406</v>
      </c>
      <c r="E553" s="33">
        <v>86.909362792968807</v>
      </c>
    </row>
    <row r="554" spans="1:5" ht="15" customHeight="1" x14ac:dyDescent="0.2">
      <c r="A554" s="32" t="s">
        <v>555</v>
      </c>
      <c r="B554" s="33">
        <v>185.41110229492199</v>
      </c>
      <c r="C554" s="33">
        <v>59.838581085205099</v>
      </c>
      <c r="D554" s="33">
        <v>71.807907104492202</v>
      </c>
      <c r="E554" s="33">
        <v>87.77587890625</v>
      </c>
    </row>
    <row r="555" spans="1:5" ht="15" customHeight="1" x14ac:dyDescent="0.2">
      <c r="A555" s="32" t="s">
        <v>556</v>
      </c>
      <c r="B555" s="33">
        <v>188.61607360839801</v>
      </c>
      <c r="C555" s="33">
        <v>60.768119812011697</v>
      </c>
      <c r="D555" s="33">
        <v>71.651428222656307</v>
      </c>
      <c r="E555" s="33">
        <v>87.430999755859403</v>
      </c>
    </row>
    <row r="556" spans="1:5" ht="15" customHeight="1" x14ac:dyDescent="0.2">
      <c r="A556" s="32" t="s">
        <v>557</v>
      </c>
      <c r="B556" s="33">
        <v>186.18374633789099</v>
      </c>
      <c r="C556" s="33">
        <v>60.044155120849602</v>
      </c>
      <c r="D556" s="33">
        <v>70.025764465332003</v>
      </c>
      <c r="E556" s="33">
        <v>87.979232788085895</v>
      </c>
    </row>
    <row r="557" spans="1:5" ht="15" customHeight="1" x14ac:dyDescent="0.2">
      <c r="A557" s="32" t="s">
        <v>558</v>
      </c>
      <c r="B557" s="33">
        <v>187.80528259277301</v>
      </c>
      <c r="C557" s="33">
        <v>60.982631683349602</v>
      </c>
      <c r="D557" s="33">
        <v>70.825553894042997</v>
      </c>
      <c r="E557" s="33">
        <v>87.625518798828097</v>
      </c>
    </row>
    <row r="558" spans="1:5" ht="15" customHeight="1" x14ac:dyDescent="0.2">
      <c r="A558" s="32" t="s">
        <v>559</v>
      </c>
      <c r="B558" s="33">
        <v>190.48564147949199</v>
      </c>
      <c r="C558" s="33">
        <v>61.903221130371101</v>
      </c>
      <c r="D558" s="33">
        <v>70.512588500976605</v>
      </c>
      <c r="E558" s="33">
        <v>87.360298156738295</v>
      </c>
    </row>
    <row r="559" spans="1:5" ht="15" customHeight="1" x14ac:dyDescent="0.2">
      <c r="A559" s="32" t="s">
        <v>560</v>
      </c>
      <c r="B559" s="33">
        <v>187.08035278320301</v>
      </c>
      <c r="C559" s="33">
        <v>61.688713073730497</v>
      </c>
      <c r="D559" s="33">
        <v>67.878479003906307</v>
      </c>
      <c r="E559" s="33">
        <v>88.200302124023395</v>
      </c>
    </row>
    <row r="560" spans="1:5" ht="15" customHeight="1" x14ac:dyDescent="0.2">
      <c r="A560" s="32" t="s">
        <v>561</v>
      </c>
      <c r="B560" s="33">
        <v>187.42129516601599</v>
      </c>
      <c r="C560" s="33">
        <v>61.697654724121101</v>
      </c>
      <c r="D560" s="33">
        <v>67.452491760253906</v>
      </c>
      <c r="E560" s="33">
        <v>88.412506103515597</v>
      </c>
    </row>
    <row r="561" spans="1:5" ht="15" customHeight="1" x14ac:dyDescent="0.2">
      <c r="A561" s="32" t="s">
        <v>562</v>
      </c>
      <c r="B561" s="33">
        <v>188.59924316406301</v>
      </c>
      <c r="C561" s="33">
        <v>61.509960174560597</v>
      </c>
      <c r="D561" s="33">
        <v>69.182258605957003</v>
      </c>
      <c r="E561" s="33">
        <v>88.562828063964801</v>
      </c>
    </row>
    <row r="562" spans="1:5" ht="15" customHeight="1" x14ac:dyDescent="0.2">
      <c r="A562" s="32" t="s">
        <v>563</v>
      </c>
      <c r="B562" s="33">
        <v>189.07810974121099</v>
      </c>
      <c r="C562" s="33">
        <v>62.090911865234403</v>
      </c>
      <c r="D562" s="33">
        <v>69.103240966796903</v>
      </c>
      <c r="E562" s="33">
        <v>87.607849121093807</v>
      </c>
    </row>
    <row r="563" spans="1:5" ht="15" customHeight="1" x14ac:dyDescent="0.2">
      <c r="A563" s="32" t="s">
        <v>564</v>
      </c>
      <c r="B563" s="33">
        <v>188.80992126464801</v>
      </c>
      <c r="C563" s="33">
        <v>62.117733001708999</v>
      </c>
      <c r="D563" s="33">
        <v>68.936408996582003</v>
      </c>
      <c r="E563" s="33">
        <v>87.475227355957003</v>
      </c>
    </row>
    <row r="564" spans="1:5" ht="15" customHeight="1" x14ac:dyDescent="0.2">
      <c r="A564" s="32" t="s">
        <v>565</v>
      </c>
      <c r="B564" s="33">
        <v>191.52981567382801</v>
      </c>
      <c r="C564" s="33">
        <v>62.868515014648402</v>
      </c>
      <c r="D564" s="33">
        <v>70.464248657226605</v>
      </c>
      <c r="E564" s="33">
        <v>87.581359863281307</v>
      </c>
    </row>
    <row r="565" spans="1:5" ht="15" customHeight="1" x14ac:dyDescent="0.2">
      <c r="A565" s="32" t="s">
        <v>566</v>
      </c>
      <c r="B565" s="33">
        <v>192.56410217285199</v>
      </c>
      <c r="C565" s="33">
        <v>63.601409912109403</v>
      </c>
      <c r="D565" s="33">
        <v>71.386184692382798</v>
      </c>
      <c r="E565" s="33">
        <v>87.678619384765597</v>
      </c>
    </row>
    <row r="566" spans="1:5" ht="15" customHeight="1" x14ac:dyDescent="0.2">
      <c r="A566" s="32" t="s">
        <v>567</v>
      </c>
      <c r="B566" s="33">
        <v>195.46597290039099</v>
      </c>
      <c r="C566" s="33">
        <v>63.923164367675803</v>
      </c>
      <c r="D566" s="33">
        <v>72.914009094238295</v>
      </c>
      <c r="E566" s="33">
        <v>88.103019714355497</v>
      </c>
    </row>
    <row r="567" spans="1:5" ht="15" customHeight="1" x14ac:dyDescent="0.2">
      <c r="A567" s="32" t="s">
        <v>568</v>
      </c>
      <c r="B567" s="33">
        <v>195.98307800293</v>
      </c>
      <c r="C567" s="33">
        <v>64.4326171875</v>
      </c>
      <c r="D567" s="33">
        <v>72.334495544433594</v>
      </c>
      <c r="E567" s="33">
        <v>88.4859619140625</v>
      </c>
    </row>
    <row r="568" spans="1:5" ht="15" customHeight="1" x14ac:dyDescent="0.2">
      <c r="A568" s="32" t="s">
        <v>569</v>
      </c>
      <c r="B568" s="33">
        <v>194.67105102539099</v>
      </c>
      <c r="C568" s="33">
        <v>64.441551208496094</v>
      </c>
      <c r="D568" s="33">
        <v>72.2379150390625</v>
      </c>
      <c r="E568" s="33">
        <v>88.81396484375</v>
      </c>
    </row>
    <row r="569" spans="1:5" ht="15" customHeight="1" x14ac:dyDescent="0.2">
      <c r="A569" s="32" t="s">
        <v>570</v>
      </c>
      <c r="B569" s="33">
        <v>193.962326049805</v>
      </c>
      <c r="C569" s="33">
        <v>63.994663238525398</v>
      </c>
      <c r="D569" s="33">
        <v>71.8515625</v>
      </c>
      <c r="E569" s="33">
        <v>89.1153564453125</v>
      </c>
    </row>
    <row r="570" spans="1:5" ht="15" customHeight="1" x14ac:dyDescent="0.2">
      <c r="A570" s="32" t="s">
        <v>571</v>
      </c>
      <c r="B570" s="33">
        <v>194.60398864746099</v>
      </c>
      <c r="C570" s="33">
        <v>64.298553466796903</v>
      </c>
      <c r="D570" s="33">
        <v>72.343292236328097</v>
      </c>
      <c r="E570" s="33">
        <v>89.035552978515597</v>
      </c>
    </row>
    <row r="571" spans="1:5" ht="15" customHeight="1" x14ac:dyDescent="0.2">
      <c r="A571" s="32" t="s">
        <v>572</v>
      </c>
      <c r="B571" s="33">
        <v>195.04455566406301</v>
      </c>
      <c r="C571" s="33">
        <v>64.253868103027301</v>
      </c>
      <c r="D571" s="33">
        <v>72.676956176757798</v>
      </c>
      <c r="E571" s="33">
        <v>88.423912048339801</v>
      </c>
    </row>
    <row r="572" spans="1:5" ht="15" customHeight="1" x14ac:dyDescent="0.2">
      <c r="A572" s="32" t="s">
        <v>573</v>
      </c>
      <c r="B572" s="33">
        <v>195.24566650390599</v>
      </c>
      <c r="C572" s="33">
        <v>64.468376159667997</v>
      </c>
      <c r="D572" s="33">
        <v>72.984260559082003</v>
      </c>
      <c r="E572" s="33">
        <v>88.477096557617202</v>
      </c>
    </row>
    <row r="573" spans="1:5" ht="15" customHeight="1" x14ac:dyDescent="0.2">
      <c r="A573" s="32" t="s">
        <v>574</v>
      </c>
      <c r="B573" s="33">
        <v>194.42202758789099</v>
      </c>
      <c r="C573" s="33">
        <v>64.879501342773395</v>
      </c>
      <c r="D573" s="33">
        <v>72.633041381835895</v>
      </c>
      <c r="E573" s="33">
        <v>88.58349609375</v>
      </c>
    </row>
    <row r="574" spans="1:5" ht="15" customHeight="1" x14ac:dyDescent="0.2">
      <c r="A574" s="32" t="s">
        <v>575</v>
      </c>
      <c r="B574" s="33">
        <v>196.95033264160199</v>
      </c>
      <c r="C574" s="33">
        <v>65.710723876953097</v>
      </c>
      <c r="D574" s="33">
        <v>72.413520812988295</v>
      </c>
      <c r="E574" s="33">
        <v>88.548034667968807</v>
      </c>
    </row>
    <row r="575" spans="1:5" ht="15" customHeight="1" x14ac:dyDescent="0.2">
      <c r="A575" s="32" t="s">
        <v>576</v>
      </c>
      <c r="B575" s="33">
        <v>196.40447998046901</v>
      </c>
      <c r="C575" s="33">
        <v>65.442596435546903</v>
      </c>
      <c r="D575" s="33">
        <v>71.289619445800795</v>
      </c>
      <c r="E575" s="33">
        <v>88.113662719726605</v>
      </c>
    </row>
    <row r="576" spans="1:5" ht="15" customHeight="1" x14ac:dyDescent="0.2">
      <c r="A576" s="32" t="s">
        <v>577</v>
      </c>
      <c r="B576" s="33">
        <v>197.18977355957</v>
      </c>
      <c r="C576" s="33">
        <v>65.326393127441406</v>
      </c>
      <c r="D576" s="33">
        <v>72.773529052734403</v>
      </c>
      <c r="E576" s="33">
        <v>87.670448303222699</v>
      </c>
    </row>
    <row r="577" spans="1:5" ht="15" customHeight="1" x14ac:dyDescent="0.2">
      <c r="A577" s="32" t="s">
        <v>578</v>
      </c>
      <c r="B577" s="33">
        <v>197.285568237305</v>
      </c>
      <c r="C577" s="33">
        <v>65.683914184570298</v>
      </c>
      <c r="D577" s="33">
        <v>72.606704711914105</v>
      </c>
      <c r="E577" s="33">
        <v>87.7945556640625</v>
      </c>
    </row>
    <row r="578" spans="1:5" ht="15" customHeight="1" x14ac:dyDescent="0.2">
      <c r="A578" s="32" t="s">
        <v>579</v>
      </c>
      <c r="B578" s="33">
        <v>197.38131713867199</v>
      </c>
      <c r="C578" s="33">
        <v>65.478340148925795</v>
      </c>
      <c r="D578" s="33">
        <v>73.036949157714801</v>
      </c>
      <c r="E578" s="33">
        <v>87.661567687988295</v>
      </c>
    </row>
    <row r="579" spans="1:5" ht="15" customHeight="1" x14ac:dyDescent="0.2">
      <c r="A579" s="32" t="s">
        <v>580</v>
      </c>
      <c r="B579" s="33">
        <v>196.15548706054699</v>
      </c>
      <c r="C579" s="33">
        <v>65.478340148925795</v>
      </c>
      <c r="D579" s="33">
        <v>72.316932678222699</v>
      </c>
      <c r="E579" s="33">
        <v>88.060462951660199</v>
      </c>
    </row>
    <row r="580" spans="1:5" ht="15" customHeight="1" x14ac:dyDescent="0.2">
      <c r="A580" s="32" t="s">
        <v>581</v>
      </c>
      <c r="B580" s="33">
        <v>196.32785034179699</v>
      </c>
      <c r="C580" s="33">
        <v>65.809036254882798</v>
      </c>
      <c r="D580" s="33">
        <v>72.325714111328097</v>
      </c>
      <c r="E580" s="33">
        <v>87.9097900390625</v>
      </c>
    </row>
    <row r="581" spans="1:5" ht="15" customHeight="1" x14ac:dyDescent="0.2">
      <c r="A581" s="32" t="s">
        <v>582</v>
      </c>
      <c r="B581" s="33">
        <v>196.40447998046901</v>
      </c>
      <c r="C581" s="33">
        <v>65.978858947753906</v>
      </c>
      <c r="D581" s="33">
        <v>72.053520202636705</v>
      </c>
      <c r="E581" s="33">
        <v>88.255485534667997</v>
      </c>
    </row>
    <row r="582" spans="1:5" ht="15" customHeight="1" x14ac:dyDescent="0.2">
      <c r="A582" s="32" t="s">
        <v>583</v>
      </c>
      <c r="B582" s="33">
        <v>193.12913513183599</v>
      </c>
      <c r="C582" s="33">
        <v>65.058258056640597</v>
      </c>
      <c r="D582" s="33">
        <v>71.342308044433594</v>
      </c>
      <c r="E582" s="33">
        <v>88.805076599121094</v>
      </c>
    </row>
    <row r="583" spans="1:5" ht="15" customHeight="1" x14ac:dyDescent="0.2">
      <c r="A583" s="32" t="s">
        <v>584</v>
      </c>
      <c r="B583" s="33">
        <v>192.25762939453099</v>
      </c>
      <c r="C583" s="33">
        <v>65.013565063476605</v>
      </c>
      <c r="D583" s="33">
        <v>70.657394409179702</v>
      </c>
      <c r="E583" s="33">
        <v>88.477096557617202</v>
      </c>
    </row>
    <row r="584" spans="1:5" ht="15" customHeight="1" x14ac:dyDescent="0.2">
      <c r="A584" s="32" t="s">
        <v>585</v>
      </c>
      <c r="B584" s="33">
        <v>195.86817932128901</v>
      </c>
      <c r="C584" s="33">
        <v>65.826911926269503</v>
      </c>
      <c r="D584" s="33">
        <v>72.255477905273395</v>
      </c>
      <c r="E584" s="33">
        <v>88.157997131347699</v>
      </c>
    </row>
    <row r="585" spans="1:5" ht="15" customHeight="1" x14ac:dyDescent="0.2">
      <c r="A585" s="32" t="s">
        <v>586</v>
      </c>
      <c r="B585" s="33">
        <v>197.57287597656301</v>
      </c>
      <c r="C585" s="33">
        <v>65.800102233886705</v>
      </c>
      <c r="D585" s="33">
        <v>73.142311096191406</v>
      </c>
      <c r="E585" s="33">
        <v>88.610061645507798</v>
      </c>
    </row>
    <row r="586" spans="1:5" ht="15" customHeight="1" x14ac:dyDescent="0.2">
      <c r="A586" s="32" t="s">
        <v>587</v>
      </c>
      <c r="B586" s="33">
        <v>197.47711181640599</v>
      </c>
      <c r="C586" s="33">
        <v>65.701789855957003</v>
      </c>
      <c r="D586" s="33">
        <v>72.597915649414105</v>
      </c>
      <c r="E586" s="33">
        <v>87.702743530273395</v>
      </c>
    </row>
    <row r="587" spans="1:5" ht="15" customHeight="1" x14ac:dyDescent="0.2">
      <c r="A587" s="32" t="s">
        <v>588</v>
      </c>
      <c r="B587" s="33">
        <v>195.06367492675801</v>
      </c>
      <c r="C587" s="33">
        <v>65.040390014648395</v>
      </c>
      <c r="D587" s="33">
        <v>71.368629455566406</v>
      </c>
      <c r="E587" s="33">
        <v>88.555862426757798</v>
      </c>
    </row>
    <row r="588" spans="1:5" ht="15" customHeight="1" x14ac:dyDescent="0.2">
      <c r="A588" s="32" t="s">
        <v>589</v>
      </c>
      <c r="B588" s="33">
        <v>193.92405700683599</v>
      </c>
      <c r="C588" s="33">
        <v>65.210212707519503</v>
      </c>
      <c r="D588" s="33">
        <v>71.087654113769503</v>
      </c>
      <c r="E588" s="33">
        <v>88.946884155273395</v>
      </c>
    </row>
    <row r="589" spans="1:5" ht="15" customHeight="1" x14ac:dyDescent="0.2">
      <c r="A589" s="32" t="s">
        <v>590</v>
      </c>
      <c r="B589" s="33">
        <v>192.47792053222699</v>
      </c>
      <c r="C589" s="33">
        <v>65.076141357421903</v>
      </c>
      <c r="D589" s="33">
        <v>71.675949096679702</v>
      </c>
      <c r="E589" s="33">
        <v>88.840248107910199</v>
      </c>
    </row>
    <row r="590" spans="1:5" ht="15" customHeight="1" x14ac:dyDescent="0.2">
      <c r="A590" s="32" t="s">
        <v>591</v>
      </c>
      <c r="B590" s="33">
        <v>196.031005859375</v>
      </c>
      <c r="C590" s="33">
        <v>66.032485961914105</v>
      </c>
      <c r="D590" s="33">
        <v>72.8701171875</v>
      </c>
      <c r="E590" s="33">
        <v>88.555862426757798</v>
      </c>
    </row>
    <row r="591" spans="1:5" ht="15" customHeight="1" x14ac:dyDescent="0.2">
      <c r="A591" s="32" t="s">
        <v>592</v>
      </c>
      <c r="B591" s="33">
        <v>196.24168395996099</v>
      </c>
      <c r="C591" s="33">
        <v>66.050361633300795</v>
      </c>
      <c r="D591" s="33">
        <v>72.448646545410199</v>
      </c>
      <c r="E591" s="33">
        <v>88.067100524902301</v>
      </c>
    </row>
    <row r="592" spans="1:5" ht="15" customHeight="1" x14ac:dyDescent="0.2">
      <c r="A592" s="32" t="s">
        <v>593</v>
      </c>
      <c r="B592" s="33">
        <v>195.43717956543</v>
      </c>
      <c r="C592" s="33">
        <v>65.782234191894503</v>
      </c>
      <c r="D592" s="33">
        <v>72.141334533691406</v>
      </c>
      <c r="E592" s="33">
        <v>87.987106323242202</v>
      </c>
    </row>
    <row r="593" spans="1:5" ht="15" customHeight="1" x14ac:dyDescent="0.2">
      <c r="A593" s="32" t="s">
        <v>594</v>
      </c>
      <c r="B593" s="33">
        <v>196.29914855957</v>
      </c>
      <c r="C593" s="33">
        <v>65.648147583007798</v>
      </c>
      <c r="D593" s="33">
        <v>72.834991455078097</v>
      </c>
      <c r="E593" s="33">
        <v>88.555862426757798</v>
      </c>
    </row>
    <row r="594" spans="1:5" ht="15" customHeight="1" x14ac:dyDescent="0.2">
      <c r="A594" s="32" t="s">
        <v>595</v>
      </c>
      <c r="B594" s="33">
        <v>196.04054260253901</v>
      </c>
      <c r="C594" s="33">
        <v>65.487274169921903</v>
      </c>
      <c r="D594" s="33">
        <v>72.035957336425795</v>
      </c>
      <c r="E594" s="33">
        <v>88.822448730468807</v>
      </c>
    </row>
    <row r="595" spans="1:5" ht="15" customHeight="1" x14ac:dyDescent="0.2">
      <c r="A595" s="32" t="s">
        <v>596</v>
      </c>
      <c r="B595" s="33">
        <v>195.58085632324199</v>
      </c>
      <c r="C595" s="33">
        <v>65.371078491210895</v>
      </c>
      <c r="D595" s="33">
        <v>72.027183532714801</v>
      </c>
      <c r="E595" s="33">
        <v>88.324821472167997</v>
      </c>
    </row>
    <row r="596" spans="1:5" ht="15" customHeight="1" x14ac:dyDescent="0.2">
      <c r="A596" s="32" t="s">
        <v>597</v>
      </c>
      <c r="B596" s="33">
        <v>196.4140625</v>
      </c>
      <c r="C596" s="33">
        <v>65.871597290039105</v>
      </c>
      <c r="D596" s="33">
        <v>71.904258728027301</v>
      </c>
      <c r="E596" s="33">
        <v>88.102638244628906</v>
      </c>
    </row>
    <row r="597" spans="1:5" ht="15" customHeight="1" x14ac:dyDescent="0.2">
      <c r="A597" s="32" t="s">
        <v>598</v>
      </c>
      <c r="B597" s="33">
        <v>194.89132690429699</v>
      </c>
      <c r="C597" s="33">
        <v>65.2459716796875</v>
      </c>
      <c r="D597" s="33">
        <v>70.104240417480497</v>
      </c>
      <c r="E597" s="33">
        <v>87.898254394531307</v>
      </c>
    </row>
    <row r="598" spans="1:5" ht="15" customHeight="1" x14ac:dyDescent="0.2">
      <c r="A598" s="32" t="s">
        <v>599</v>
      </c>
      <c r="B598" s="33">
        <v>197.41964721679699</v>
      </c>
      <c r="C598" s="33">
        <v>65.549835205078097</v>
      </c>
      <c r="D598" s="33">
        <v>71.052536010742202</v>
      </c>
      <c r="E598" s="33">
        <v>87.764953613281307</v>
      </c>
    </row>
    <row r="599" spans="1:5" ht="15" customHeight="1" x14ac:dyDescent="0.2">
      <c r="A599" s="32" t="s">
        <v>600</v>
      </c>
      <c r="B599" s="33">
        <v>199.38293457031301</v>
      </c>
      <c r="C599" s="33">
        <v>65.4515380859375</v>
      </c>
      <c r="D599" s="33">
        <v>70.710090637207003</v>
      </c>
      <c r="E599" s="33">
        <v>87.356163024902301</v>
      </c>
    </row>
    <row r="600" spans="1:5" ht="15" customHeight="1" x14ac:dyDescent="0.2">
      <c r="A600" s="32" t="s">
        <v>601</v>
      </c>
      <c r="B600" s="33">
        <v>198.90408325195301</v>
      </c>
      <c r="C600" s="33">
        <v>65.835861206054702</v>
      </c>
      <c r="D600" s="33">
        <v>70.595939636230497</v>
      </c>
      <c r="E600" s="33">
        <v>87.160652160644503</v>
      </c>
    </row>
    <row r="601" spans="1:5" ht="15" customHeight="1" x14ac:dyDescent="0.2">
      <c r="A601" s="32" t="s">
        <v>602</v>
      </c>
      <c r="B601" s="33">
        <v>199.24884033203099</v>
      </c>
      <c r="C601" s="33">
        <v>65.853729248046903</v>
      </c>
      <c r="D601" s="33">
        <v>71.026199340820298</v>
      </c>
      <c r="E601" s="33">
        <v>87.080673217773395</v>
      </c>
    </row>
    <row r="602" spans="1:5" ht="15" customHeight="1" x14ac:dyDescent="0.2">
      <c r="A602" s="32" t="s">
        <v>603</v>
      </c>
      <c r="B602" s="33">
        <v>197.14190673828099</v>
      </c>
      <c r="C602" s="33">
        <v>64.888442993164105</v>
      </c>
      <c r="D602" s="33">
        <v>70.358848571777301</v>
      </c>
      <c r="E602" s="33">
        <v>87.178428649902301</v>
      </c>
    </row>
    <row r="603" spans="1:5" ht="15" customHeight="1" x14ac:dyDescent="0.2">
      <c r="A603" s="32" t="s">
        <v>604</v>
      </c>
      <c r="B603" s="33">
        <v>195.619140625</v>
      </c>
      <c r="C603" s="33">
        <v>63.941036224365199</v>
      </c>
      <c r="D603" s="33">
        <v>68.848609924316406</v>
      </c>
      <c r="E603" s="33">
        <v>86.956275939941406</v>
      </c>
    </row>
    <row r="604" spans="1:5" ht="15" customHeight="1" x14ac:dyDescent="0.2">
      <c r="A604" s="32" t="s">
        <v>605</v>
      </c>
      <c r="B604" s="33">
        <v>196.95033264160199</v>
      </c>
      <c r="C604" s="33">
        <v>63.851654052734403</v>
      </c>
      <c r="D604" s="33">
        <v>68.839820861816406</v>
      </c>
      <c r="E604" s="33">
        <v>86.636322021484403</v>
      </c>
    </row>
    <row r="605" spans="1:5" ht="15" customHeight="1" x14ac:dyDescent="0.2">
      <c r="A605" s="32" t="s">
        <v>606</v>
      </c>
      <c r="B605" s="33">
        <v>199.54574584960901</v>
      </c>
      <c r="C605" s="33">
        <v>64.477310180664105</v>
      </c>
      <c r="D605" s="33">
        <v>69.630081176757798</v>
      </c>
      <c r="E605" s="33">
        <v>86.707435607910199</v>
      </c>
    </row>
    <row r="606" spans="1:5" ht="15" customHeight="1" x14ac:dyDescent="0.2">
      <c r="A606" s="32" t="s">
        <v>607</v>
      </c>
      <c r="B606" s="33">
        <v>199.61273193359401</v>
      </c>
      <c r="C606" s="33">
        <v>63.824859619140597</v>
      </c>
      <c r="D606" s="33">
        <v>69.893486022949205</v>
      </c>
      <c r="E606" s="33">
        <v>87.285079956054702</v>
      </c>
    </row>
    <row r="607" spans="1:5" ht="15" customHeight="1" x14ac:dyDescent="0.2">
      <c r="A607" s="32" t="s">
        <v>608</v>
      </c>
      <c r="B607" s="33">
        <v>198.41564941406301</v>
      </c>
      <c r="C607" s="33">
        <v>63.163444519042997</v>
      </c>
      <c r="D607" s="33">
        <v>70.244728088378906</v>
      </c>
      <c r="E607" s="33">
        <v>87.596099853515597</v>
      </c>
    </row>
    <row r="608" spans="1:5" ht="15" customHeight="1" x14ac:dyDescent="0.2">
      <c r="A608" s="32" t="s">
        <v>609</v>
      </c>
      <c r="B608" s="33">
        <v>200.39807128906301</v>
      </c>
      <c r="C608" s="33">
        <v>64.101921081542997</v>
      </c>
      <c r="D608" s="33">
        <v>70.253486633300795</v>
      </c>
      <c r="E608" s="33">
        <v>87.861625671386705</v>
      </c>
    </row>
    <row r="609" spans="1:5" ht="15" customHeight="1" x14ac:dyDescent="0.2">
      <c r="A609" s="32" t="s">
        <v>610</v>
      </c>
      <c r="B609" s="33">
        <v>203.71170043945301</v>
      </c>
      <c r="C609" s="33">
        <v>64.933128356933594</v>
      </c>
      <c r="D609" s="33">
        <v>71.965728759765597</v>
      </c>
      <c r="E609" s="33">
        <v>87.3983154296875</v>
      </c>
    </row>
    <row r="610" spans="1:5" ht="15" customHeight="1" x14ac:dyDescent="0.2">
      <c r="A610" s="32" t="s">
        <v>611</v>
      </c>
      <c r="B610" s="33">
        <v>203.17539978027301</v>
      </c>
      <c r="C610" s="33">
        <v>64.557762145996094</v>
      </c>
      <c r="D610" s="33">
        <v>71.465232849121094</v>
      </c>
      <c r="E610" s="33">
        <v>87.389389038085895</v>
      </c>
    </row>
    <row r="611" spans="1:5" ht="15" customHeight="1" x14ac:dyDescent="0.2">
      <c r="A611" s="32" t="s">
        <v>612</v>
      </c>
      <c r="B611" s="33">
        <v>204.10435485839801</v>
      </c>
      <c r="C611" s="33">
        <v>65.094024658203097</v>
      </c>
      <c r="D611" s="33">
        <v>72.150108337402301</v>
      </c>
      <c r="E611" s="33">
        <v>87.496307373046903</v>
      </c>
    </row>
    <row r="612" spans="1:5" ht="15" customHeight="1" x14ac:dyDescent="0.2">
      <c r="A612" s="32" t="s">
        <v>613</v>
      </c>
      <c r="B612" s="33">
        <v>203.70211791992199</v>
      </c>
      <c r="C612" s="33">
        <v>64.521530151367202</v>
      </c>
      <c r="D612" s="33">
        <v>73.475975036621094</v>
      </c>
      <c r="E612" s="33">
        <v>87.033004760742202</v>
      </c>
    </row>
    <row r="613" spans="1:5" ht="15" customHeight="1" x14ac:dyDescent="0.2">
      <c r="A613" s="32" t="s">
        <v>614</v>
      </c>
      <c r="B613" s="33">
        <v>204.65985107421901</v>
      </c>
      <c r="C613" s="33">
        <v>65.204139709472699</v>
      </c>
      <c r="D613" s="33">
        <v>73.019378662109403</v>
      </c>
      <c r="E613" s="33">
        <v>87.496307373046903</v>
      </c>
    </row>
    <row r="614" spans="1:5" ht="15" customHeight="1" x14ac:dyDescent="0.2">
      <c r="A614" s="32" t="s">
        <v>615</v>
      </c>
      <c r="B614" s="33">
        <v>204.88005065918</v>
      </c>
      <c r="C614" s="33">
        <v>65.094924926757798</v>
      </c>
      <c r="D614" s="33">
        <v>72.597915649414105</v>
      </c>
      <c r="E614" s="33">
        <v>87.291374206542997</v>
      </c>
    </row>
    <row r="615" spans="1:5" ht="15" customHeight="1" x14ac:dyDescent="0.2">
      <c r="A615" s="32" t="s">
        <v>616</v>
      </c>
      <c r="B615" s="33">
        <v>206.71887207031301</v>
      </c>
      <c r="C615" s="33">
        <v>65.377082824707003</v>
      </c>
      <c r="D615" s="33">
        <v>72.615486145019503</v>
      </c>
      <c r="E615" s="33">
        <v>87.442848205566406</v>
      </c>
    </row>
    <row r="616" spans="1:5" ht="15" customHeight="1" x14ac:dyDescent="0.2">
      <c r="A616" s="32" t="s">
        <v>617</v>
      </c>
      <c r="B616" s="33">
        <v>208.241622924805</v>
      </c>
      <c r="C616" s="33">
        <v>65.995994567871094</v>
      </c>
      <c r="D616" s="33">
        <v>73.080856323242202</v>
      </c>
      <c r="E616" s="33">
        <v>87.033004760742202</v>
      </c>
    </row>
    <row r="617" spans="1:5" ht="15" customHeight="1" x14ac:dyDescent="0.2">
      <c r="A617" s="32" t="s">
        <v>618</v>
      </c>
      <c r="B617" s="33">
        <v>208.241622924805</v>
      </c>
      <c r="C617" s="33">
        <v>66.241729736328097</v>
      </c>
      <c r="D617" s="33">
        <v>73.353042602539105</v>
      </c>
      <c r="E617" s="33">
        <v>87.113166809082003</v>
      </c>
    </row>
    <row r="618" spans="1:5" ht="15" customHeight="1" x14ac:dyDescent="0.2">
      <c r="A618" s="32" t="s">
        <v>619</v>
      </c>
      <c r="B618" s="33">
        <v>210.77951049804699</v>
      </c>
      <c r="C618" s="33">
        <v>66.942558288574205</v>
      </c>
      <c r="D618" s="33">
        <v>73.739387512207003</v>
      </c>
      <c r="E618" s="33">
        <v>87.719055175781307</v>
      </c>
    </row>
    <row r="619" spans="1:5" ht="15" customHeight="1" x14ac:dyDescent="0.2">
      <c r="A619" s="32" t="s">
        <v>620</v>
      </c>
      <c r="B619" s="33">
        <v>209.98460388183599</v>
      </c>
      <c r="C619" s="33">
        <v>66.796936035156307</v>
      </c>
      <c r="D619" s="33">
        <v>73.686706542968807</v>
      </c>
      <c r="E619" s="33">
        <v>87.442848205566406</v>
      </c>
    </row>
    <row r="620" spans="1:5" ht="15" customHeight="1" x14ac:dyDescent="0.2">
      <c r="A620" s="32" t="s">
        <v>621</v>
      </c>
      <c r="B620" s="33">
        <v>208.95030212402301</v>
      </c>
      <c r="C620" s="33">
        <v>65.914070129394503</v>
      </c>
      <c r="D620" s="33">
        <v>72.817443847656307</v>
      </c>
      <c r="E620" s="33">
        <v>87.603225708007798</v>
      </c>
    </row>
    <row r="621" spans="1:5" ht="15" customHeight="1" x14ac:dyDescent="0.2">
      <c r="A621" s="32" t="s">
        <v>622</v>
      </c>
      <c r="B621" s="33">
        <v>207.80107116699199</v>
      </c>
      <c r="C621" s="33">
        <v>66.014190673828097</v>
      </c>
      <c r="D621" s="33">
        <v>72.37841796875</v>
      </c>
      <c r="E621" s="33">
        <v>87.745796203613295</v>
      </c>
    </row>
    <row r="622" spans="1:5" ht="15" customHeight="1" x14ac:dyDescent="0.2">
      <c r="A622" s="32" t="s">
        <v>623</v>
      </c>
      <c r="B622" s="33">
        <v>208.35653686523401</v>
      </c>
      <c r="C622" s="33">
        <v>65.604621887207003</v>
      </c>
      <c r="D622" s="33">
        <v>71.342308044433594</v>
      </c>
      <c r="E622" s="33">
        <v>87.291374206542997</v>
      </c>
    </row>
    <row r="623" spans="1:5" ht="15" customHeight="1" x14ac:dyDescent="0.2">
      <c r="A623" s="32" t="s">
        <v>624</v>
      </c>
      <c r="B623" s="33">
        <v>206.63284301757801</v>
      </c>
      <c r="C623" s="33">
        <v>64.585235595703097</v>
      </c>
      <c r="D623" s="33">
        <v>70.358848571777301</v>
      </c>
      <c r="E623" s="33">
        <v>87.549774169921903</v>
      </c>
    </row>
    <row r="624" spans="1:5" ht="15" customHeight="1" x14ac:dyDescent="0.2">
      <c r="A624" s="32" t="s">
        <v>625</v>
      </c>
      <c r="B624" s="33">
        <v>205.91180419921901</v>
      </c>
      <c r="C624" s="33">
        <v>64.667144775390597</v>
      </c>
      <c r="D624" s="33">
        <v>71.983283996582003</v>
      </c>
      <c r="E624" s="33">
        <v>87.656677246093807</v>
      </c>
    </row>
    <row r="625" spans="1:5" ht="15" customHeight="1" x14ac:dyDescent="0.2">
      <c r="A625" s="32" t="s">
        <v>626</v>
      </c>
      <c r="B625" s="33">
        <v>208.42092895507801</v>
      </c>
      <c r="C625" s="33">
        <v>65.231452941894503</v>
      </c>
      <c r="D625" s="33">
        <v>72.8701171875</v>
      </c>
      <c r="E625" s="33">
        <v>87.487411499023395</v>
      </c>
    </row>
    <row r="626" spans="1:5" ht="15" customHeight="1" x14ac:dyDescent="0.2">
      <c r="A626" s="32" t="s">
        <v>627</v>
      </c>
      <c r="B626" s="33">
        <v>208.59396362304699</v>
      </c>
      <c r="C626" s="33">
        <v>65.276962280273395</v>
      </c>
      <c r="D626" s="33">
        <v>72.975479125976605</v>
      </c>
      <c r="E626" s="33">
        <v>87.745796203613295</v>
      </c>
    </row>
    <row r="627" spans="1:5" ht="15" customHeight="1" x14ac:dyDescent="0.2">
      <c r="A627" s="32" t="s">
        <v>628</v>
      </c>
      <c r="B627" s="33">
        <v>209.59378051757801</v>
      </c>
      <c r="C627" s="33">
        <v>65.185951232910199</v>
      </c>
      <c r="D627" s="33">
        <v>73.790634155273395</v>
      </c>
      <c r="E627" s="33">
        <v>87.068649291992202</v>
      </c>
    </row>
    <row r="628" spans="1:5" ht="15" customHeight="1" x14ac:dyDescent="0.2">
      <c r="A628" s="32" t="s">
        <v>629</v>
      </c>
      <c r="B628" s="33">
        <v>211.76643371582</v>
      </c>
      <c r="C628" s="33">
        <v>65.986885070800795</v>
      </c>
      <c r="D628" s="33">
        <v>74.199119567871094</v>
      </c>
      <c r="E628" s="33">
        <v>87.273529052734403</v>
      </c>
    </row>
    <row r="629" spans="1:5" ht="15" customHeight="1" x14ac:dyDescent="0.2">
      <c r="A629" s="32" t="s">
        <v>630</v>
      </c>
      <c r="B629" s="33">
        <v>212.40093994140599</v>
      </c>
      <c r="C629" s="33">
        <v>65.914070129394503</v>
      </c>
      <c r="D629" s="33">
        <v>74.927253723144503</v>
      </c>
      <c r="E629" s="33">
        <v>87.170814514160199</v>
      </c>
    </row>
    <row r="630" spans="1:5" ht="15" customHeight="1" x14ac:dyDescent="0.2">
      <c r="A630" s="32" t="s">
        <v>631</v>
      </c>
      <c r="B630" s="33">
        <v>211.7568359375</v>
      </c>
      <c r="C630" s="33">
        <v>65.176849365234403</v>
      </c>
      <c r="D630" s="33">
        <v>75.095970153808594</v>
      </c>
      <c r="E630" s="33">
        <v>86.777755737304702</v>
      </c>
    </row>
    <row r="631" spans="1:5" ht="15" customHeight="1" x14ac:dyDescent="0.2">
      <c r="A631" s="32" t="s">
        <v>632</v>
      </c>
      <c r="B631" s="33">
        <v>209.87255859375</v>
      </c>
      <c r="C631" s="33">
        <v>64.048240661621094</v>
      </c>
      <c r="D631" s="33">
        <v>74.518775939941406</v>
      </c>
      <c r="E631" s="33">
        <v>86.214958190917997</v>
      </c>
    </row>
    <row r="632" spans="1:5" ht="15" customHeight="1" x14ac:dyDescent="0.2">
      <c r="A632" s="32" t="s">
        <v>633</v>
      </c>
      <c r="B632" s="33">
        <v>209.61300659179699</v>
      </c>
      <c r="C632" s="33">
        <v>64.530624389648395</v>
      </c>
      <c r="D632" s="33">
        <v>74.350059509277301</v>
      </c>
      <c r="E632" s="33">
        <v>86.232826232910199</v>
      </c>
    </row>
    <row r="633" spans="1:5" ht="15" customHeight="1" x14ac:dyDescent="0.2">
      <c r="A633" s="32" t="s">
        <v>634</v>
      </c>
      <c r="B633" s="33">
        <v>210.52632141113301</v>
      </c>
      <c r="C633" s="33">
        <v>64.712654113769503</v>
      </c>
      <c r="D633" s="33">
        <v>74.669746398925795</v>
      </c>
      <c r="E633" s="33">
        <v>86.474037170410199</v>
      </c>
    </row>
    <row r="634" spans="1:5" ht="15" customHeight="1" x14ac:dyDescent="0.2">
      <c r="A634" s="32" t="s">
        <v>635</v>
      </c>
      <c r="B634" s="33">
        <v>212.17980957031301</v>
      </c>
      <c r="C634" s="33">
        <v>65.295166015625</v>
      </c>
      <c r="D634" s="33">
        <v>75.735298156738295</v>
      </c>
      <c r="E634" s="33">
        <v>86.661636352539105</v>
      </c>
    </row>
    <row r="635" spans="1:5" ht="15" customHeight="1" x14ac:dyDescent="0.2">
      <c r="A635" s="32" t="s">
        <v>636</v>
      </c>
      <c r="B635" s="33">
        <v>213.80448913574199</v>
      </c>
      <c r="C635" s="33">
        <v>66.542091369628906</v>
      </c>
      <c r="D635" s="33">
        <v>76.143775939941406</v>
      </c>
      <c r="E635" s="33">
        <v>87.367347717285199</v>
      </c>
    </row>
    <row r="636" spans="1:5" ht="15" customHeight="1" x14ac:dyDescent="0.2">
      <c r="A636" s="32" t="s">
        <v>637</v>
      </c>
      <c r="B636" s="33">
        <v>215.61186218261699</v>
      </c>
      <c r="C636" s="33">
        <v>67.606979370117202</v>
      </c>
      <c r="D636" s="33">
        <v>76.632164001464801</v>
      </c>
      <c r="E636" s="33">
        <v>87.912284851074205</v>
      </c>
    </row>
    <row r="637" spans="1:5" ht="15" customHeight="1" x14ac:dyDescent="0.2">
      <c r="A637" s="32" t="s">
        <v>638</v>
      </c>
      <c r="B637" s="33">
        <v>215.29461669921901</v>
      </c>
      <c r="C637" s="33">
        <v>67.224708557128906</v>
      </c>
      <c r="D637" s="33">
        <v>76.481185913085895</v>
      </c>
      <c r="E637" s="33">
        <v>87.492416381835895</v>
      </c>
    </row>
    <row r="638" spans="1:5" ht="15" customHeight="1" x14ac:dyDescent="0.2">
      <c r="A638" s="32" t="s">
        <v>639</v>
      </c>
      <c r="B638" s="33">
        <v>216.11175537109401</v>
      </c>
      <c r="C638" s="33">
        <v>67.142791748046903</v>
      </c>
      <c r="D638" s="33">
        <v>75.983947753906307</v>
      </c>
      <c r="E638" s="33">
        <v>87.590690612792997</v>
      </c>
    </row>
    <row r="639" spans="1:5" ht="15" customHeight="1" x14ac:dyDescent="0.2">
      <c r="A639" s="32" t="s">
        <v>640</v>
      </c>
      <c r="B639" s="33">
        <v>217.832595825195</v>
      </c>
      <c r="C639" s="33">
        <v>67.579673767089801</v>
      </c>
      <c r="D639" s="33">
        <v>75.566589355468807</v>
      </c>
      <c r="E639" s="33">
        <v>87.662147521972699</v>
      </c>
    </row>
    <row r="640" spans="1:5" ht="15" customHeight="1" x14ac:dyDescent="0.2">
      <c r="A640" s="32" t="s">
        <v>641</v>
      </c>
      <c r="B640" s="33">
        <v>218.39978027343801</v>
      </c>
      <c r="C640" s="33">
        <v>67.543266296386705</v>
      </c>
      <c r="D640" s="33">
        <v>76.419044494628906</v>
      </c>
      <c r="E640" s="33">
        <v>87.930145263671903</v>
      </c>
    </row>
    <row r="641" spans="1:5" ht="15" customHeight="1" x14ac:dyDescent="0.2">
      <c r="A641" s="32" t="s">
        <v>642</v>
      </c>
      <c r="B641" s="33">
        <v>216.82315063476599</v>
      </c>
      <c r="C641" s="33">
        <v>67.197402954101605</v>
      </c>
      <c r="D641" s="33">
        <v>76.17041015625</v>
      </c>
      <c r="E641" s="33">
        <v>87.474563598632798</v>
      </c>
    </row>
    <row r="642" spans="1:5" ht="15" customHeight="1" x14ac:dyDescent="0.2">
      <c r="A642" s="32" t="s">
        <v>643</v>
      </c>
      <c r="B642" s="33">
        <v>216.80390930175801</v>
      </c>
      <c r="C642" s="33">
        <v>67.333938598632798</v>
      </c>
      <c r="D642" s="33">
        <v>76.525596618652301</v>
      </c>
      <c r="E642" s="33">
        <v>87.537101745605497</v>
      </c>
    </row>
    <row r="643" spans="1:5" ht="15" customHeight="1" x14ac:dyDescent="0.2">
      <c r="A643" s="32" t="s">
        <v>644</v>
      </c>
      <c r="B643" s="33">
        <v>217.57301330566401</v>
      </c>
      <c r="C643" s="33">
        <v>67.170104980468807</v>
      </c>
      <c r="D643" s="33">
        <v>77.156066894531307</v>
      </c>
      <c r="E643" s="33">
        <v>87.376289367675795</v>
      </c>
    </row>
    <row r="644" spans="1:5" ht="15" customHeight="1" x14ac:dyDescent="0.2">
      <c r="A644" s="32" t="s">
        <v>645</v>
      </c>
      <c r="B644" s="33">
        <v>218.12098693847699</v>
      </c>
      <c r="C644" s="33">
        <v>67.242919921875</v>
      </c>
      <c r="D644" s="33">
        <v>76.605529785156307</v>
      </c>
      <c r="E644" s="33">
        <v>87.278022766113295</v>
      </c>
    </row>
    <row r="645" spans="1:5" ht="15" customHeight="1" x14ac:dyDescent="0.2">
      <c r="A645" s="32" t="s">
        <v>646</v>
      </c>
      <c r="B645" s="33">
        <v>218.28439331054699</v>
      </c>
      <c r="C645" s="33">
        <v>67.424949645996094</v>
      </c>
      <c r="D645" s="33">
        <v>76.951828002929702</v>
      </c>
      <c r="E645" s="33">
        <v>87.563873291015597</v>
      </c>
    </row>
    <row r="646" spans="1:5" ht="15" customHeight="1" x14ac:dyDescent="0.2">
      <c r="A646" s="32" t="s">
        <v>647</v>
      </c>
      <c r="B646" s="33">
        <v>216.60203552246099</v>
      </c>
      <c r="C646" s="33">
        <v>67.270217895507798</v>
      </c>
      <c r="D646" s="33">
        <v>75.282432556152301</v>
      </c>
      <c r="E646" s="33">
        <v>86.813499450683594</v>
      </c>
    </row>
    <row r="647" spans="1:5" ht="15" customHeight="1" x14ac:dyDescent="0.2">
      <c r="A647" s="32" t="s">
        <v>648</v>
      </c>
      <c r="B647" s="33">
        <v>218.86123657226599</v>
      </c>
      <c r="C647" s="33">
        <v>67.752609252929702</v>
      </c>
      <c r="D647" s="33">
        <v>75.220283508300795</v>
      </c>
      <c r="E647" s="33">
        <v>87.152961730957003</v>
      </c>
    </row>
    <row r="648" spans="1:5" ht="15" customHeight="1" x14ac:dyDescent="0.2">
      <c r="A648" s="32" t="s">
        <v>649</v>
      </c>
      <c r="B648" s="33">
        <v>219.52455139160199</v>
      </c>
      <c r="C648" s="33">
        <v>67.770812988281307</v>
      </c>
      <c r="D648" s="33">
        <v>75.708679199218807</v>
      </c>
      <c r="E648" s="33">
        <v>87.260169982910199</v>
      </c>
    </row>
    <row r="649" spans="1:5" ht="15" customHeight="1" x14ac:dyDescent="0.2">
      <c r="A649" s="32" t="s">
        <v>650</v>
      </c>
      <c r="B649" s="33">
        <v>218.92851257324199</v>
      </c>
      <c r="C649" s="33">
        <v>66.924362182617202</v>
      </c>
      <c r="D649" s="33">
        <v>75.584358215332003</v>
      </c>
      <c r="E649" s="33">
        <v>86.682365417480497</v>
      </c>
    </row>
    <row r="650" spans="1:5" ht="15" customHeight="1" x14ac:dyDescent="0.2">
      <c r="A650" s="32" t="s">
        <v>651</v>
      </c>
      <c r="B650" s="33">
        <v>215.82337951660199</v>
      </c>
      <c r="C650" s="33">
        <v>65.677436828613295</v>
      </c>
      <c r="D650" s="33">
        <v>75.149238586425795</v>
      </c>
      <c r="E650" s="33">
        <v>86.476371765136705</v>
      </c>
    </row>
    <row r="651" spans="1:5" ht="15" customHeight="1" x14ac:dyDescent="0.2">
      <c r="A651" s="32" t="s">
        <v>652</v>
      </c>
      <c r="B651" s="33">
        <v>215.19847106933599</v>
      </c>
      <c r="C651" s="33">
        <v>65.495399475097699</v>
      </c>
      <c r="D651" s="33">
        <v>74.332305908203097</v>
      </c>
      <c r="E651" s="33">
        <v>85.894126892089801</v>
      </c>
    </row>
    <row r="652" spans="1:5" ht="15" customHeight="1" x14ac:dyDescent="0.2">
      <c r="A652" s="32" t="s">
        <v>653</v>
      </c>
      <c r="B652" s="33">
        <v>214.28518676757801</v>
      </c>
      <c r="C652" s="33">
        <v>65.677436828613295</v>
      </c>
      <c r="D652" s="33">
        <v>73.728492736816406</v>
      </c>
      <c r="E652" s="33">
        <v>86.601768493652301</v>
      </c>
    </row>
    <row r="653" spans="1:5" ht="15" customHeight="1" x14ac:dyDescent="0.2">
      <c r="A653" s="32" t="s">
        <v>654</v>
      </c>
      <c r="B653" s="33">
        <v>215.92909240722699</v>
      </c>
      <c r="C653" s="33">
        <v>66.232627868652301</v>
      </c>
      <c r="D653" s="33">
        <v>74.651992797851605</v>
      </c>
      <c r="E653" s="33">
        <v>86.619689941406307</v>
      </c>
    </row>
    <row r="654" spans="1:5" ht="15" customHeight="1" x14ac:dyDescent="0.2">
      <c r="A654" s="32" t="s">
        <v>655</v>
      </c>
      <c r="B654" s="33">
        <v>214.92929077148401</v>
      </c>
      <c r="C654" s="33">
        <v>65.832168579101605</v>
      </c>
      <c r="D654" s="33">
        <v>74.172470092773395</v>
      </c>
      <c r="E654" s="33">
        <v>86.825721740722699</v>
      </c>
    </row>
    <row r="655" spans="1:5" ht="15" customHeight="1" x14ac:dyDescent="0.2">
      <c r="A655" s="32" t="s">
        <v>656</v>
      </c>
      <c r="B655" s="33">
        <v>213.39112854003901</v>
      </c>
      <c r="C655" s="33">
        <v>65.813949584960895</v>
      </c>
      <c r="D655" s="33">
        <v>74.163589477539105</v>
      </c>
      <c r="E655" s="33">
        <v>86.888412475585895</v>
      </c>
    </row>
    <row r="656" spans="1:5" ht="15" customHeight="1" x14ac:dyDescent="0.2">
      <c r="A656" s="32" t="s">
        <v>657</v>
      </c>
      <c r="B656" s="33">
        <v>213.42958068847699</v>
      </c>
      <c r="C656" s="33">
        <v>66.096107482910199</v>
      </c>
      <c r="D656" s="33">
        <v>73.879432678222699</v>
      </c>
      <c r="E656" s="33">
        <v>86.324089050292997</v>
      </c>
    </row>
    <row r="657" spans="1:5" ht="15" customHeight="1" x14ac:dyDescent="0.2">
      <c r="A657" s="32" t="s">
        <v>658</v>
      </c>
      <c r="B657" s="33">
        <v>213.22770690918</v>
      </c>
      <c r="C657" s="33">
        <v>65.650131225585895</v>
      </c>
      <c r="D657" s="33">
        <v>73.994880676269503</v>
      </c>
      <c r="E657" s="33">
        <v>86.055389404296903</v>
      </c>
    </row>
    <row r="658" spans="1:5" ht="15" customHeight="1" x14ac:dyDescent="0.2">
      <c r="A658" s="32" t="s">
        <v>659</v>
      </c>
      <c r="B658" s="33">
        <v>214.28518676757801</v>
      </c>
      <c r="C658" s="33">
        <v>65.358871459960895</v>
      </c>
      <c r="D658" s="33">
        <v>73.506492614746094</v>
      </c>
      <c r="E658" s="33">
        <v>85.992660522460895</v>
      </c>
    </row>
    <row r="659" spans="1:5" ht="15" customHeight="1" x14ac:dyDescent="0.2">
      <c r="A659" s="32" t="s">
        <v>660</v>
      </c>
      <c r="B659" s="33">
        <v>211.852951049805</v>
      </c>
      <c r="C659" s="33">
        <v>64.548828125</v>
      </c>
      <c r="D659" s="33">
        <v>72.680686950683594</v>
      </c>
      <c r="E659" s="33">
        <v>85.759780883789105</v>
      </c>
    </row>
    <row r="660" spans="1:5" ht="15" customHeight="1" x14ac:dyDescent="0.2">
      <c r="A660" s="32" t="s">
        <v>661</v>
      </c>
      <c r="B660" s="33">
        <v>210.10330200195301</v>
      </c>
      <c r="C660" s="33">
        <v>64.020935058593807</v>
      </c>
      <c r="D660" s="33">
        <v>71.783828735351605</v>
      </c>
      <c r="E660" s="33">
        <v>85.553779602050795</v>
      </c>
    </row>
    <row r="661" spans="1:5" ht="15" customHeight="1" x14ac:dyDescent="0.2">
      <c r="A661" s="32" t="s">
        <v>662</v>
      </c>
      <c r="B661" s="33">
        <v>208.38247680664099</v>
      </c>
      <c r="C661" s="33">
        <v>63.565853118896499</v>
      </c>
      <c r="D661" s="33">
        <v>71.206626892089801</v>
      </c>
      <c r="E661" s="33">
        <v>85.464172363281307</v>
      </c>
    </row>
    <row r="662" spans="1:5" ht="15" customHeight="1" x14ac:dyDescent="0.2">
      <c r="A662" s="32" t="s">
        <v>663</v>
      </c>
      <c r="B662" s="33">
        <v>208.62281799316401</v>
      </c>
      <c r="C662" s="33">
        <v>63.565853118896499</v>
      </c>
      <c r="D662" s="33">
        <v>71.428642272949205</v>
      </c>
      <c r="E662" s="33">
        <v>85.652275085449205</v>
      </c>
    </row>
    <row r="663" spans="1:5" ht="15" customHeight="1" x14ac:dyDescent="0.2">
      <c r="A663" s="32" t="s">
        <v>664</v>
      </c>
      <c r="B663" s="33">
        <v>209.82450866699199</v>
      </c>
      <c r="C663" s="33">
        <v>63.802486419677699</v>
      </c>
      <c r="D663" s="33">
        <v>70.771522521972699</v>
      </c>
      <c r="E663" s="33">
        <v>85.222320556640597</v>
      </c>
    </row>
    <row r="664" spans="1:5" ht="15" customHeight="1" x14ac:dyDescent="0.2">
      <c r="A664" s="32" t="s">
        <v>665</v>
      </c>
      <c r="B664" s="33">
        <v>209.26690673828099</v>
      </c>
      <c r="C664" s="33">
        <v>63.684165954589801</v>
      </c>
      <c r="D664" s="33">
        <v>70.975769042968807</v>
      </c>
      <c r="E664" s="33">
        <v>85.311859130859403</v>
      </c>
    </row>
    <row r="665" spans="1:5" ht="15" customHeight="1" x14ac:dyDescent="0.2">
      <c r="A665" s="32" t="s">
        <v>666</v>
      </c>
      <c r="B665" s="33">
        <v>211.55491638183599</v>
      </c>
      <c r="C665" s="33">
        <v>64.375907897949205</v>
      </c>
      <c r="D665" s="33">
        <v>72.094619750976605</v>
      </c>
      <c r="E665" s="33">
        <v>86.127044677734403</v>
      </c>
    </row>
    <row r="666" spans="1:5" ht="15" customHeight="1" x14ac:dyDescent="0.2">
      <c r="A666" s="32" t="s">
        <v>667</v>
      </c>
      <c r="B666" s="33">
        <v>208.71896362304699</v>
      </c>
      <c r="C666" s="33">
        <v>63.493038177490199</v>
      </c>
      <c r="D666" s="33">
        <v>71.819343566894503</v>
      </c>
      <c r="E666" s="33">
        <v>85.929977416992202</v>
      </c>
    </row>
    <row r="667" spans="1:5" ht="15" customHeight="1" x14ac:dyDescent="0.2">
      <c r="A667" s="32" t="s">
        <v>668</v>
      </c>
      <c r="B667" s="33">
        <v>210.14173889160199</v>
      </c>
      <c r="C667" s="33">
        <v>63.920825958252003</v>
      </c>
      <c r="D667" s="33">
        <v>71.872627258300795</v>
      </c>
      <c r="E667" s="33">
        <v>85.876220703125</v>
      </c>
    </row>
    <row r="668" spans="1:5" ht="15" customHeight="1" x14ac:dyDescent="0.2">
      <c r="A668" s="32" t="s">
        <v>669</v>
      </c>
      <c r="B668" s="33">
        <v>211.48765563964801</v>
      </c>
      <c r="C668" s="33">
        <v>64.594337463378906</v>
      </c>
      <c r="D668" s="33">
        <v>72.547477722167997</v>
      </c>
      <c r="E668" s="33">
        <v>86.0643310546875</v>
      </c>
    </row>
    <row r="669" spans="1:5" ht="15" customHeight="1" x14ac:dyDescent="0.2">
      <c r="A669" s="32" t="s">
        <v>670</v>
      </c>
      <c r="B669" s="33">
        <v>214.56398010253901</v>
      </c>
      <c r="C669" s="33">
        <v>65.395278930664105</v>
      </c>
      <c r="D669" s="33">
        <v>73.426574707031307</v>
      </c>
      <c r="E669" s="33">
        <v>86.619689941406307</v>
      </c>
    </row>
    <row r="670" spans="1:5" ht="15" customHeight="1" x14ac:dyDescent="0.2">
      <c r="A670" s="32" t="s">
        <v>671</v>
      </c>
      <c r="B670" s="33">
        <v>215.51571655273401</v>
      </c>
      <c r="C670" s="33">
        <v>65.358871459960895</v>
      </c>
      <c r="D670" s="33">
        <v>73.692947387695298</v>
      </c>
      <c r="E670" s="33">
        <v>86.583854675292997</v>
      </c>
    </row>
    <row r="671" spans="1:5" ht="15" customHeight="1" x14ac:dyDescent="0.2">
      <c r="A671" s="32" t="s">
        <v>672</v>
      </c>
      <c r="B671" s="33">
        <v>215.28498840332</v>
      </c>
      <c r="C671" s="33">
        <v>65.104026794433594</v>
      </c>
      <c r="D671" s="33">
        <v>73.151298522949205</v>
      </c>
      <c r="E671" s="33">
        <v>86.709274291992202</v>
      </c>
    </row>
    <row r="672" spans="1:5" ht="15" customHeight="1" x14ac:dyDescent="0.2">
      <c r="A672" s="32" t="s">
        <v>673</v>
      </c>
      <c r="B672" s="33">
        <v>215.99638366699199</v>
      </c>
      <c r="C672" s="33">
        <v>65.067619323730497</v>
      </c>
      <c r="D672" s="33">
        <v>73.275619506835895</v>
      </c>
      <c r="E672" s="33">
        <v>86.260185241699205</v>
      </c>
    </row>
    <row r="673" spans="1:5" ht="15" customHeight="1" x14ac:dyDescent="0.2">
      <c r="A673" s="32" t="s">
        <v>674</v>
      </c>
      <c r="B673" s="33">
        <v>214.70817565918</v>
      </c>
      <c r="C673" s="33">
        <v>64.503326416015597</v>
      </c>
      <c r="D673" s="33">
        <v>72.423164367675795</v>
      </c>
      <c r="E673" s="33">
        <v>85.793159484863295</v>
      </c>
    </row>
    <row r="674" spans="1:5" ht="15" customHeight="1" x14ac:dyDescent="0.2">
      <c r="A674" s="32" t="s">
        <v>675</v>
      </c>
      <c r="B674" s="33">
        <v>213.36225891113301</v>
      </c>
      <c r="C674" s="33">
        <v>64.366806030273395</v>
      </c>
      <c r="D674" s="33">
        <v>72.272209167480497</v>
      </c>
      <c r="E674" s="33">
        <v>85.712287902832003</v>
      </c>
    </row>
    <row r="675" spans="1:5" ht="15" customHeight="1" x14ac:dyDescent="0.2">
      <c r="A675" s="32" t="s">
        <v>676</v>
      </c>
      <c r="B675" s="33">
        <v>212.63165283203099</v>
      </c>
      <c r="C675" s="33">
        <v>64.157463073730497</v>
      </c>
      <c r="D675" s="33">
        <v>72.725067138671903</v>
      </c>
      <c r="E675" s="33">
        <v>85.981765747070298</v>
      </c>
    </row>
    <row r="676" spans="1:5" ht="15" customHeight="1" x14ac:dyDescent="0.2">
      <c r="A676" s="32" t="s">
        <v>677</v>
      </c>
      <c r="B676" s="33">
        <v>212.86236572265599</v>
      </c>
      <c r="C676" s="33">
        <v>64.066436767578097</v>
      </c>
      <c r="D676" s="33">
        <v>72.440925598144503</v>
      </c>
      <c r="E676" s="33">
        <v>86.026672363281307</v>
      </c>
    </row>
    <row r="677" spans="1:5" ht="15" customHeight="1" x14ac:dyDescent="0.2">
      <c r="A677" s="32" t="s">
        <v>678</v>
      </c>
      <c r="B677" s="33">
        <v>214.19863891601599</v>
      </c>
      <c r="C677" s="33">
        <v>64.730865478515597</v>
      </c>
      <c r="D677" s="33">
        <v>72.449813842773395</v>
      </c>
      <c r="E677" s="33">
        <v>85.927879333496094</v>
      </c>
    </row>
    <row r="678" spans="1:5" ht="15" customHeight="1" x14ac:dyDescent="0.2">
      <c r="A678" s="32" t="s">
        <v>679</v>
      </c>
      <c r="B678" s="33">
        <v>213.16038513183599</v>
      </c>
      <c r="C678" s="33">
        <v>64.4669189453125</v>
      </c>
      <c r="D678" s="33">
        <v>72.414291381835895</v>
      </c>
      <c r="E678" s="33">
        <v>85.954818725585895</v>
      </c>
    </row>
    <row r="679" spans="1:5" ht="15" customHeight="1" x14ac:dyDescent="0.2">
      <c r="A679" s="32" t="s">
        <v>680</v>
      </c>
      <c r="B679" s="33">
        <v>213.18925476074199</v>
      </c>
      <c r="C679" s="33">
        <v>64.266685485839801</v>
      </c>
      <c r="D679" s="33">
        <v>71.623992919921903</v>
      </c>
      <c r="E679" s="33">
        <v>86.08056640625</v>
      </c>
    </row>
    <row r="680" spans="1:5" ht="15" customHeight="1" x14ac:dyDescent="0.2">
      <c r="A680" s="32" t="s">
        <v>681</v>
      </c>
      <c r="B680" s="33">
        <v>215.01580810546901</v>
      </c>
      <c r="C680" s="33">
        <v>65.113128662109403</v>
      </c>
      <c r="D680" s="33">
        <v>72.920433044433594</v>
      </c>
      <c r="E680" s="33">
        <v>85.963813781738295</v>
      </c>
    </row>
    <row r="681" spans="1:5" ht="15" customHeight="1" x14ac:dyDescent="0.2">
      <c r="A681" s="32" t="s">
        <v>682</v>
      </c>
      <c r="B681" s="33">
        <v>212.48745727539099</v>
      </c>
      <c r="C681" s="33">
        <v>64.967498779296903</v>
      </c>
      <c r="D681" s="33">
        <v>72.645149230957003</v>
      </c>
      <c r="E681" s="33">
        <v>85.766174316406307</v>
      </c>
    </row>
    <row r="682" spans="1:5" ht="15" customHeight="1" x14ac:dyDescent="0.2">
      <c r="A682" s="32" t="s">
        <v>683</v>
      </c>
      <c r="B682" s="33">
        <v>212.50668334960901</v>
      </c>
      <c r="C682" s="33">
        <v>64.739967346191406</v>
      </c>
      <c r="D682" s="33">
        <v>71.996932983398395</v>
      </c>
      <c r="E682" s="33">
        <v>85.891921997070298</v>
      </c>
    </row>
    <row r="683" spans="1:5" ht="15" customHeight="1" x14ac:dyDescent="0.2">
      <c r="A683" s="32" t="s">
        <v>684</v>
      </c>
      <c r="B683" s="33">
        <v>211.96832275390599</v>
      </c>
      <c r="C683" s="33">
        <v>64.794578552246094</v>
      </c>
      <c r="D683" s="33">
        <v>71.668380737304702</v>
      </c>
      <c r="E683" s="33">
        <v>85.640464782714801</v>
      </c>
    </row>
    <row r="684" spans="1:5" ht="15" customHeight="1" x14ac:dyDescent="0.2">
      <c r="A684" s="32" t="s">
        <v>685</v>
      </c>
      <c r="B684" s="33">
        <v>210.09370422363301</v>
      </c>
      <c r="C684" s="33">
        <v>64.639846801757798</v>
      </c>
      <c r="D684" s="33">
        <v>71.730545043945298</v>
      </c>
      <c r="E684" s="33">
        <v>85.595542907714801</v>
      </c>
    </row>
    <row r="685" spans="1:5" ht="15" customHeight="1" x14ac:dyDescent="0.2">
      <c r="A685" s="32" t="s">
        <v>686</v>
      </c>
      <c r="B685" s="33">
        <v>206.56996154785199</v>
      </c>
      <c r="C685" s="33">
        <v>63.565853118896499</v>
      </c>
      <c r="D685" s="33">
        <v>69.288619995117202</v>
      </c>
      <c r="E685" s="33">
        <v>85.011741638183594</v>
      </c>
    </row>
    <row r="686" spans="1:5" ht="15" customHeight="1" x14ac:dyDescent="0.2">
      <c r="A686" s="32" t="s">
        <v>687</v>
      </c>
      <c r="B686" s="33">
        <v>206.13575744628901</v>
      </c>
      <c r="C686" s="33">
        <v>63.620468139648402</v>
      </c>
      <c r="D686" s="33">
        <v>68.764724731445298</v>
      </c>
      <c r="E686" s="33">
        <v>85.370986938476605</v>
      </c>
    </row>
    <row r="687" spans="1:5" ht="15" customHeight="1" x14ac:dyDescent="0.2">
      <c r="A687" s="32" t="s">
        <v>688</v>
      </c>
      <c r="B687" s="33">
        <v>206.965576171875</v>
      </c>
      <c r="C687" s="33">
        <v>63.338306427002003</v>
      </c>
      <c r="D687" s="33">
        <v>68.702568054199205</v>
      </c>
      <c r="E687" s="33">
        <v>84.697357177734403</v>
      </c>
    </row>
    <row r="688" spans="1:5" ht="15" customHeight="1" x14ac:dyDescent="0.2">
      <c r="A688" s="32" t="s">
        <v>689</v>
      </c>
      <c r="B688" s="33">
        <v>203.98408508300801</v>
      </c>
      <c r="C688" s="33">
        <v>62.519161224365199</v>
      </c>
      <c r="D688" s="33">
        <v>67.450508117675795</v>
      </c>
      <c r="E688" s="33">
        <v>84.589599609375</v>
      </c>
    </row>
    <row r="689" spans="1:5" ht="15" customHeight="1" x14ac:dyDescent="0.2">
      <c r="A689" s="32" t="s">
        <v>690</v>
      </c>
      <c r="B689" s="33">
        <v>204.196365356445</v>
      </c>
      <c r="C689" s="33">
        <v>62.400833129882798</v>
      </c>
      <c r="D689" s="33">
        <v>66.997634887695298</v>
      </c>
      <c r="E689" s="33">
        <v>84.293205261230497</v>
      </c>
    </row>
    <row r="690" spans="1:5" ht="15" customHeight="1" x14ac:dyDescent="0.2">
      <c r="A690" s="32" t="s">
        <v>691</v>
      </c>
      <c r="B690" s="33">
        <v>205.54721069335901</v>
      </c>
      <c r="C690" s="33">
        <v>62.9105415344238</v>
      </c>
      <c r="D690" s="33">
        <v>67.640510559082003</v>
      </c>
      <c r="E690" s="33">
        <v>84.544662475585895</v>
      </c>
    </row>
    <row r="691" spans="1:5" ht="15" customHeight="1" x14ac:dyDescent="0.2">
      <c r="A691" s="32" t="s">
        <v>692</v>
      </c>
      <c r="B691" s="33">
        <v>204.94898986816401</v>
      </c>
      <c r="C691" s="33">
        <v>62.728500366210902</v>
      </c>
      <c r="D691" s="33">
        <v>67.8377685546875</v>
      </c>
      <c r="E691" s="33">
        <v>84.463836669921903</v>
      </c>
    </row>
    <row r="692" spans="1:5" ht="15" customHeight="1" x14ac:dyDescent="0.2">
      <c r="A692" s="32" t="s">
        <v>693</v>
      </c>
      <c r="B692" s="33">
        <v>204.67880249023401</v>
      </c>
      <c r="C692" s="33">
        <v>61.809242248535199</v>
      </c>
      <c r="D692" s="33">
        <v>66.591461181640597</v>
      </c>
      <c r="E692" s="33">
        <v>83.875762939453097</v>
      </c>
    </row>
    <row r="693" spans="1:5" ht="15" customHeight="1" x14ac:dyDescent="0.2">
      <c r="A693" s="32" t="s">
        <v>694</v>
      </c>
      <c r="B693" s="33">
        <v>201.70700073242199</v>
      </c>
      <c r="C693" s="33">
        <v>61.035591125488303</v>
      </c>
      <c r="D693" s="33">
        <v>65.2913818359375</v>
      </c>
      <c r="E693" s="33">
        <v>83.218276977539105</v>
      </c>
    </row>
    <row r="694" spans="1:5" ht="15" customHeight="1" x14ac:dyDescent="0.2">
      <c r="A694" s="32" t="s">
        <v>695</v>
      </c>
      <c r="B694" s="33">
        <v>203.16395568847699</v>
      </c>
      <c r="C694" s="33">
        <v>61.144813537597699</v>
      </c>
      <c r="D694" s="33">
        <v>66.089378356933594</v>
      </c>
      <c r="E694" s="33">
        <v>83.803688049316406</v>
      </c>
    </row>
    <row r="695" spans="1:5" ht="15" customHeight="1" x14ac:dyDescent="0.2">
      <c r="A695" s="32" t="s">
        <v>696</v>
      </c>
      <c r="B695" s="33">
        <v>203.05781555175801</v>
      </c>
      <c r="C695" s="33">
        <v>61.681804656982401</v>
      </c>
      <c r="D695" s="33">
        <v>66.456993103027301</v>
      </c>
      <c r="E695" s="33">
        <v>83.857719421386705</v>
      </c>
    </row>
    <row r="696" spans="1:5" ht="15" customHeight="1" x14ac:dyDescent="0.2">
      <c r="A696" s="32" t="s">
        <v>697</v>
      </c>
      <c r="B696" s="33">
        <v>205.47966003418</v>
      </c>
      <c r="C696" s="33">
        <v>62.3644409179688</v>
      </c>
      <c r="D696" s="33">
        <v>66.636314392089801</v>
      </c>
      <c r="E696" s="33">
        <v>83.533508300781307</v>
      </c>
    </row>
    <row r="697" spans="1:5" ht="15" customHeight="1" x14ac:dyDescent="0.2">
      <c r="A697" s="32" t="s">
        <v>698</v>
      </c>
      <c r="B697" s="33">
        <v>206.77259826660199</v>
      </c>
      <c r="C697" s="33">
        <v>62.2734184265137</v>
      </c>
      <c r="D697" s="33">
        <v>67.362548828125</v>
      </c>
      <c r="E697" s="33">
        <v>84.398101806640597</v>
      </c>
    </row>
    <row r="698" spans="1:5" ht="15" customHeight="1" x14ac:dyDescent="0.2">
      <c r="A698" s="32" t="s">
        <v>699</v>
      </c>
      <c r="B698" s="33">
        <v>208.05587768554699</v>
      </c>
      <c r="C698" s="33">
        <v>63.1289672851563</v>
      </c>
      <c r="D698" s="33">
        <v>67.685340881347699</v>
      </c>
      <c r="E698" s="33">
        <v>84.317031860351605</v>
      </c>
    </row>
    <row r="699" spans="1:5" ht="15" customHeight="1" x14ac:dyDescent="0.2">
      <c r="A699" s="32" t="s">
        <v>700</v>
      </c>
      <c r="B699" s="33">
        <v>208.87599182128901</v>
      </c>
      <c r="C699" s="33">
        <v>63.392913818359403</v>
      </c>
      <c r="D699" s="33">
        <v>68.859916687011705</v>
      </c>
      <c r="E699" s="33">
        <v>84.704307556152301</v>
      </c>
    </row>
    <row r="700" spans="1:5" ht="15" customHeight="1" x14ac:dyDescent="0.2">
      <c r="A700" s="32" t="s">
        <v>701</v>
      </c>
      <c r="B700" s="33">
        <v>207.19712829589801</v>
      </c>
      <c r="C700" s="33">
        <v>62.865016937255902</v>
      </c>
      <c r="D700" s="33">
        <v>67.855697631835895</v>
      </c>
      <c r="E700" s="33">
        <v>83.974777221679702</v>
      </c>
    </row>
    <row r="701" spans="1:5" ht="15" customHeight="1" x14ac:dyDescent="0.2">
      <c r="A701" s="32" t="s">
        <v>702</v>
      </c>
      <c r="B701" s="33">
        <v>206.02961730957</v>
      </c>
      <c r="C701" s="33">
        <v>62.282524108886697</v>
      </c>
      <c r="D701" s="33">
        <v>67.685340881347699</v>
      </c>
      <c r="E701" s="33">
        <v>84.335029602050795</v>
      </c>
    </row>
    <row r="702" spans="1:5" ht="15" customHeight="1" x14ac:dyDescent="0.2">
      <c r="A702" s="32" t="s">
        <v>703</v>
      </c>
      <c r="B702" s="33">
        <v>208.42251586914099</v>
      </c>
      <c r="C702" s="33">
        <v>62.737606048583999</v>
      </c>
      <c r="D702" s="33">
        <v>68.492301940917997</v>
      </c>
      <c r="E702" s="33">
        <v>83.866744995117202</v>
      </c>
    </row>
    <row r="703" spans="1:5" ht="15" customHeight="1" x14ac:dyDescent="0.2">
      <c r="A703" s="32" t="s">
        <v>704</v>
      </c>
      <c r="B703" s="33">
        <v>208.69267272949199</v>
      </c>
      <c r="C703" s="33">
        <v>62.774009704589801</v>
      </c>
      <c r="D703" s="33">
        <v>68.393669128417997</v>
      </c>
      <c r="E703" s="33">
        <v>83.263313293457003</v>
      </c>
    </row>
    <row r="704" spans="1:5" ht="15" customHeight="1" x14ac:dyDescent="0.2">
      <c r="A704" s="32" t="s">
        <v>705</v>
      </c>
      <c r="B704" s="33">
        <v>205.60508728027301</v>
      </c>
      <c r="C704" s="33">
        <v>61.681804656982401</v>
      </c>
      <c r="D704" s="33">
        <v>66.941162109375</v>
      </c>
      <c r="E704" s="33">
        <v>82.876029968261705</v>
      </c>
    </row>
    <row r="705" spans="1:5" ht="15" customHeight="1" x14ac:dyDescent="0.2">
      <c r="A705" s="32" t="s">
        <v>706</v>
      </c>
      <c r="B705" s="33">
        <v>203.66569519043</v>
      </c>
      <c r="C705" s="33">
        <v>61.135711669921903</v>
      </c>
      <c r="D705" s="33">
        <v>65.354148864746094</v>
      </c>
      <c r="E705" s="33">
        <v>82.560821533203097</v>
      </c>
    </row>
    <row r="706" spans="1:5" ht="15" customHeight="1" x14ac:dyDescent="0.2">
      <c r="A706" s="32" t="s">
        <v>707</v>
      </c>
      <c r="B706" s="33">
        <v>201.14735412597699</v>
      </c>
      <c r="C706" s="33">
        <v>60.5896186828613</v>
      </c>
      <c r="D706" s="33">
        <v>64.914810180664105</v>
      </c>
      <c r="E706" s="33">
        <v>82.858024597167997</v>
      </c>
    </row>
    <row r="707" spans="1:5" ht="15" customHeight="1" x14ac:dyDescent="0.2">
      <c r="A707" s="32" t="s">
        <v>708</v>
      </c>
      <c r="B707" s="33">
        <v>200.59739685058599</v>
      </c>
      <c r="C707" s="33">
        <v>60.635128021240199</v>
      </c>
      <c r="D707" s="33">
        <v>64.278205871582003</v>
      </c>
      <c r="E707" s="33">
        <v>83.1822509765625</v>
      </c>
    </row>
    <row r="708" spans="1:5" ht="15" customHeight="1" x14ac:dyDescent="0.2">
      <c r="A708" s="32" t="s">
        <v>709</v>
      </c>
      <c r="B708" s="33">
        <v>202.11224365234401</v>
      </c>
      <c r="C708" s="33">
        <v>60.980987548828097</v>
      </c>
      <c r="D708" s="33">
        <v>65.103088378906307</v>
      </c>
      <c r="E708" s="33">
        <v>83.479454040527301</v>
      </c>
    </row>
    <row r="709" spans="1:5" ht="15" customHeight="1" x14ac:dyDescent="0.2">
      <c r="A709" s="32" t="s">
        <v>710</v>
      </c>
      <c r="B709" s="33">
        <v>199.11151123046901</v>
      </c>
      <c r="C709" s="33">
        <v>60.544105529785199</v>
      </c>
      <c r="D709" s="33">
        <v>63.704380035400398</v>
      </c>
      <c r="E709" s="33">
        <v>82.858024597167997</v>
      </c>
    </row>
    <row r="710" spans="1:5" ht="15" customHeight="1" x14ac:dyDescent="0.2">
      <c r="A710" s="32" t="s">
        <v>711</v>
      </c>
      <c r="B710" s="33">
        <v>197.04664611816401</v>
      </c>
      <c r="C710" s="33">
        <v>60.107231140136697</v>
      </c>
      <c r="D710" s="33">
        <v>64.923767089843807</v>
      </c>
      <c r="E710" s="33">
        <v>83.416419982910199</v>
      </c>
    </row>
    <row r="711" spans="1:5" ht="15" customHeight="1" x14ac:dyDescent="0.2">
      <c r="A711" s="32" t="s">
        <v>712</v>
      </c>
      <c r="B711" s="33">
        <v>195.98529052734401</v>
      </c>
      <c r="C711" s="33">
        <v>59.9251899719238</v>
      </c>
      <c r="D711" s="33">
        <v>63.883705139160199</v>
      </c>
      <c r="E711" s="33">
        <v>83.389373779296903</v>
      </c>
    </row>
    <row r="712" spans="1:5" ht="15" customHeight="1" x14ac:dyDescent="0.2">
      <c r="A712" s="32" t="s">
        <v>713</v>
      </c>
      <c r="B712" s="33">
        <v>198.24310302734401</v>
      </c>
      <c r="C712" s="33">
        <v>60.689735412597699</v>
      </c>
      <c r="D712" s="33">
        <v>64.287178039550795</v>
      </c>
      <c r="E712" s="33">
        <v>83.191261291503906</v>
      </c>
    </row>
    <row r="713" spans="1:5" ht="15" customHeight="1" x14ac:dyDescent="0.2">
      <c r="A713" s="32" t="s">
        <v>714</v>
      </c>
      <c r="B713" s="33">
        <v>199.5263671875</v>
      </c>
      <c r="C713" s="33">
        <v>60.908180236816399</v>
      </c>
      <c r="D713" s="33">
        <v>65.381034851074205</v>
      </c>
      <c r="E713" s="33">
        <v>83.13720703125</v>
      </c>
    </row>
    <row r="714" spans="1:5" ht="15" customHeight="1" x14ac:dyDescent="0.2">
      <c r="A714" s="32" t="s">
        <v>715</v>
      </c>
      <c r="B714" s="33">
        <v>201.523681640625</v>
      </c>
      <c r="C714" s="33">
        <v>61.481575012207003</v>
      </c>
      <c r="D714" s="33">
        <v>65.784523010253906</v>
      </c>
      <c r="E714" s="33">
        <v>84.055915832519503</v>
      </c>
    </row>
    <row r="715" spans="1:5" ht="15" customHeight="1" x14ac:dyDescent="0.2">
      <c r="A715" s="32" t="s">
        <v>716</v>
      </c>
      <c r="B715" s="33">
        <v>205.52786254882801</v>
      </c>
      <c r="C715" s="33">
        <v>62.737606048583999</v>
      </c>
      <c r="D715" s="33">
        <v>67.945373535156307</v>
      </c>
      <c r="E715" s="33">
        <v>84.561775207519503</v>
      </c>
    </row>
    <row r="716" spans="1:5" ht="15" customHeight="1" x14ac:dyDescent="0.2">
      <c r="A716" s="32" t="s">
        <v>717</v>
      </c>
      <c r="B716" s="33">
        <v>207.84359741210901</v>
      </c>
      <c r="C716" s="33">
        <v>63.402030944824197</v>
      </c>
      <c r="D716" s="33">
        <v>69.568229675292997</v>
      </c>
      <c r="E716" s="33">
        <v>85.076698303222699</v>
      </c>
    </row>
    <row r="717" spans="1:5" ht="15" customHeight="1" x14ac:dyDescent="0.2">
      <c r="A717" s="32" t="s">
        <v>718</v>
      </c>
      <c r="B717" s="33">
        <v>207.93046569824199</v>
      </c>
      <c r="C717" s="33">
        <v>63.083461761474602</v>
      </c>
      <c r="D717" s="33">
        <v>68.564025878906307</v>
      </c>
      <c r="E717" s="33">
        <v>84.652122497558594</v>
      </c>
    </row>
    <row r="718" spans="1:5" ht="15" customHeight="1" x14ac:dyDescent="0.2">
      <c r="A718" s="32" t="s">
        <v>719</v>
      </c>
      <c r="B718" s="33">
        <v>208.54795837402301</v>
      </c>
      <c r="C718" s="33">
        <v>62.701194763183601</v>
      </c>
      <c r="D718" s="33">
        <v>67.999153137207003</v>
      </c>
      <c r="E718" s="33">
        <v>85.103797912597699</v>
      </c>
    </row>
    <row r="719" spans="1:5" ht="15" customHeight="1" x14ac:dyDescent="0.2">
      <c r="A719" s="32" t="s">
        <v>720</v>
      </c>
      <c r="B719" s="33">
        <v>208.51902770996099</v>
      </c>
      <c r="C719" s="33">
        <v>62.619285583496101</v>
      </c>
      <c r="D719" s="33">
        <v>68.223312377929702</v>
      </c>
      <c r="E719" s="33">
        <v>85.392860412597699</v>
      </c>
    </row>
    <row r="720" spans="1:5" ht="15" customHeight="1" x14ac:dyDescent="0.2">
      <c r="A720" s="32" t="s">
        <v>721</v>
      </c>
      <c r="B720" s="33">
        <v>206.74363708496099</v>
      </c>
      <c r="C720" s="33">
        <v>62.610179901123097</v>
      </c>
      <c r="D720" s="33">
        <v>67.147377014160199</v>
      </c>
      <c r="E720" s="33">
        <v>84.679214477539105</v>
      </c>
    </row>
    <row r="721" spans="1:5" ht="15" customHeight="1" x14ac:dyDescent="0.2">
      <c r="A721" s="32" t="s">
        <v>722</v>
      </c>
      <c r="B721" s="33">
        <v>209.82159423828099</v>
      </c>
      <c r="C721" s="33">
        <v>62.892326354980497</v>
      </c>
      <c r="D721" s="33">
        <v>67.775001525878906</v>
      </c>
      <c r="E721" s="33">
        <v>84.877960205078097</v>
      </c>
    </row>
    <row r="722" spans="1:5" ht="15" customHeight="1" x14ac:dyDescent="0.2">
      <c r="A722" s="32" t="s">
        <v>723</v>
      </c>
      <c r="B722" s="33">
        <v>209.69618225097699</v>
      </c>
      <c r="C722" s="33">
        <v>63.056156158447301</v>
      </c>
      <c r="D722" s="33">
        <v>67.210136413574205</v>
      </c>
      <c r="E722" s="33">
        <v>84.868927001953097</v>
      </c>
    </row>
    <row r="723" spans="1:5" ht="15" customHeight="1" x14ac:dyDescent="0.2">
      <c r="A723" s="32" t="s">
        <v>724</v>
      </c>
      <c r="B723" s="33">
        <v>214.34683227539099</v>
      </c>
      <c r="C723" s="33">
        <v>64.667144775390597</v>
      </c>
      <c r="D723" s="33">
        <v>70.940048217773395</v>
      </c>
      <c r="E723" s="33">
        <v>85.934867858886705</v>
      </c>
    </row>
    <row r="724" spans="1:5" ht="15" customHeight="1" x14ac:dyDescent="0.2">
      <c r="A724" s="32" t="s">
        <v>725</v>
      </c>
      <c r="B724" s="33">
        <v>214.877517700195</v>
      </c>
      <c r="C724" s="33">
        <v>64.567031860351605</v>
      </c>
      <c r="D724" s="33">
        <v>71.146270751953097</v>
      </c>
      <c r="E724" s="33">
        <v>85.401916503906307</v>
      </c>
    </row>
    <row r="725" spans="1:5" ht="15" customHeight="1" x14ac:dyDescent="0.2">
      <c r="A725" s="32" t="s">
        <v>726</v>
      </c>
      <c r="B725" s="33">
        <v>214.73280334472699</v>
      </c>
      <c r="C725" s="33">
        <v>64.521530151367202</v>
      </c>
      <c r="D725" s="33">
        <v>70.993858337402301</v>
      </c>
      <c r="E725" s="33">
        <v>85.871620178222699</v>
      </c>
    </row>
    <row r="726" spans="1:5" ht="15" customHeight="1" x14ac:dyDescent="0.2">
      <c r="A726" s="32" t="s">
        <v>727</v>
      </c>
      <c r="B726" s="33">
        <v>215.27314758300801</v>
      </c>
      <c r="C726" s="33">
        <v>65.395278930664105</v>
      </c>
      <c r="D726" s="33">
        <v>70.940048217773395</v>
      </c>
      <c r="E726" s="33">
        <v>86.043243408203097</v>
      </c>
    </row>
    <row r="727" spans="1:5" ht="15" customHeight="1" x14ac:dyDescent="0.2">
      <c r="A727" s="32" t="s">
        <v>728</v>
      </c>
      <c r="B727" s="33">
        <v>216.89408874511699</v>
      </c>
      <c r="C727" s="33">
        <v>65.641029357910199</v>
      </c>
      <c r="D727" s="33">
        <v>71.460075378417997</v>
      </c>
      <c r="E727" s="33">
        <v>86.178787231445298</v>
      </c>
    </row>
    <row r="728" spans="1:5" ht="15" customHeight="1" x14ac:dyDescent="0.2">
      <c r="A728" s="32" t="s">
        <v>729</v>
      </c>
      <c r="B728" s="33">
        <v>216.30554199218801</v>
      </c>
      <c r="C728" s="33">
        <v>65.386169433593807</v>
      </c>
      <c r="D728" s="33">
        <v>70.957984924316406</v>
      </c>
      <c r="E728" s="33">
        <v>86.269096374511705</v>
      </c>
    </row>
    <row r="729" spans="1:5" ht="15" customHeight="1" x14ac:dyDescent="0.2">
      <c r="A729" s="32" t="s">
        <v>730</v>
      </c>
      <c r="B729" s="33">
        <v>217.23181152343801</v>
      </c>
      <c r="C729" s="33">
        <v>65.540908813476605</v>
      </c>
      <c r="D729" s="33">
        <v>71.307655334472699</v>
      </c>
      <c r="E729" s="33">
        <v>86.350387573242202</v>
      </c>
    </row>
    <row r="730" spans="1:5" ht="15" customHeight="1" x14ac:dyDescent="0.2">
      <c r="A730" s="32" t="s">
        <v>731</v>
      </c>
      <c r="B730" s="33">
        <v>217.46342468261699</v>
      </c>
      <c r="C730" s="33">
        <v>66.041496276855497</v>
      </c>
      <c r="D730" s="33">
        <v>71.513885498046903</v>
      </c>
      <c r="E730" s="33">
        <v>85.952919006347699</v>
      </c>
    </row>
    <row r="731" spans="1:5" ht="15" customHeight="1" x14ac:dyDescent="0.2">
      <c r="A731" s="32" t="s">
        <v>732</v>
      </c>
      <c r="B731" s="33">
        <v>217.18359375</v>
      </c>
      <c r="C731" s="33">
        <v>65.813949584960895</v>
      </c>
      <c r="D731" s="33">
        <v>71.773895263671903</v>
      </c>
      <c r="E731" s="33">
        <v>86.440734863281307</v>
      </c>
    </row>
    <row r="732" spans="1:5" ht="15" customHeight="1" x14ac:dyDescent="0.2">
      <c r="A732" s="32" t="s">
        <v>733</v>
      </c>
      <c r="B732" s="33">
        <v>217.31866455078099</v>
      </c>
      <c r="C732" s="33">
        <v>65.832168579101605</v>
      </c>
      <c r="D732" s="33">
        <v>72.249122619628906</v>
      </c>
      <c r="E732" s="33">
        <v>86.820152282714801</v>
      </c>
    </row>
    <row r="733" spans="1:5" ht="15" customHeight="1" x14ac:dyDescent="0.2">
      <c r="A733" s="32" t="s">
        <v>734</v>
      </c>
      <c r="B733" s="33">
        <v>217.41514587402301</v>
      </c>
      <c r="C733" s="33">
        <v>65.968688964843807</v>
      </c>
      <c r="D733" s="33">
        <v>72.751205444335895</v>
      </c>
      <c r="E733" s="33">
        <v>87.244705200195298</v>
      </c>
    </row>
    <row r="734" spans="1:5" ht="15" customHeight="1" x14ac:dyDescent="0.2">
      <c r="A734" s="32" t="s">
        <v>735</v>
      </c>
      <c r="B734" s="33">
        <v>218.31248474121099</v>
      </c>
      <c r="C734" s="33">
        <v>65.914070129394503</v>
      </c>
      <c r="D734" s="33">
        <v>73.280204772949205</v>
      </c>
      <c r="E734" s="33">
        <v>86.955657958984403</v>
      </c>
    </row>
    <row r="735" spans="1:5" ht="15" customHeight="1" x14ac:dyDescent="0.2">
      <c r="A735" s="32" t="s">
        <v>736</v>
      </c>
      <c r="B735" s="33">
        <v>220.15541076660199</v>
      </c>
      <c r="C735" s="33">
        <v>66.605796813964801</v>
      </c>
      <c r="D735" s="33">
        <v>75.0823974609375</v>
      </c>
      <c r="E735" s="33">
        <v>87.720260620117202</v>
      </c>
    </row>
    <row r="736" spans="1:5" ht="15" customHeight="1" x14ac:dyDescent="0.2">
      <c r="A736" s="32" t="s">
        <v>737</v>
      </c>
      <c r="B736" s="33">
        <v>219.364181518555</v>
      </c>
      <c r="C736" s="33">
        <v>66.087013244628906</v>
      </c>
      <c r="D736" s="33">
        <v>75.629333496093807</v>
      </c>
      <c r="E736" s="33">
        <v>87.385055541992202</v>
      </c>
    </row>
    <row r="737" spans="1:5" ht="15" customHeight="1" x14ac:dyDescent="0.2">
      <c r="A737" s="32" t="s">
        <v>738</v>
      </c>
      <c r="B737" s="33">
        <v>218.93966674804699</v>
      </c>
      <c r="C737" s="33">
        <v>65.850357055664105</v>
      </c>
      <c r="D737" s="33">
        <v>75.127227783203097</v>
      </c>
      <c r="E737" s="33">
        <v>87.96484375</v>
      </c>
    </row>
    <row r="738" spans="1:5" ht="15" customHeight="1" x14ac:dyDescent="0.2">
      <c r="A738" s="32" t="s">
        <v>739</v>
      </c>
      <c r="B738" s="33">
        <v>218.01336669921901</v>
      </c>
      <c r="C738" s="33">
        <v>66.050605773925795</v>
      </c>
      <c r="D738" s="33">
        <v>74.903076171875</v>
      </c>
      <c r="E738" s="33">
        <v>88.191329956054702</v>
      </c>
    </row>
    <row r="739" spans="1:5" ht="15" customHeight="1" x14ac:dyDescent="0.2">
      <c r="A739" s="32" t="s">
        <v>740</v>
      </c>
      <c r="B739" s="33">
        <v>219.75982666015599</v>
      </c>
      <c r="C739" s="33">
        <v>66.369163513183594</v>
      </c>
      <c r="D739" s="33">
        <v>75.118255615234403</v>
      </c>
      <c r="E739" s="33">
        <v>88.218498229980497</v>
      </c>
    </row>
    <row r="740" spans="1:5" ht="15" customHeight="1" x14ac:dyDescent="0.2">
      <c r="A740" s="32" t="s">
        <v>741</v>
      </c>
      <c r="B740" s="33">
        <v>220.81150817871099</v>
      </c>
      <c r="C740" s="33">
        <v>66.569389343261705</v>
      </c>
      <c r="D740" s="33">
        <v>74.992736816406307</v>
      </c>
      <c r="E740" s="33">
        <v>87.774597167968807</v>
      </c>
    </row>
    <row r="741" spans="1:5" ht="15" customHeight="1" x14ac:dyDescent="0.2">
      <c r="A741" s="32" t="s">
        <v>742</v>
      </c>
      <c r="B741" s="33">
        <v>221.71849060058599</v>
      </c>
      <c r="C741" s="33">
        <v>66.733230590820298</v>
      </c>
      <c r="D741" s="33">
        <v>75.198959350585895</v>
      </c>
      <c r="E741" s="33">
        <v>87.783638000488295</v>
      </c>
    </row>
    <row r="742" spans="1:5" ht="15" customHeight="1" x14ac:dyDescent="0.2">
      <c r="A742" s="32" t="s">
        <v>743</v>
      </c>
      <c r="B742" s="33">
        <v>222.55795288085901</v>
      </c>
      <c r="C742" s="33">
        <v>66.851539611816406</v>
      </c>
      <c r="D742" s="33">
        <v>75.154121398925795</v>
      </c>
      <c r="E742" s="33">
        <v>88.046379089355497</v>
      </c>
    </row>
    <row r="743" spans="1:5" ht="15" customHeight="1" x14ac:dyDescent="0.2">
      <c r="A743" s="32" t="s">
        <v>744</v>
      </c>
      <c r="B743" s="33">
        <v>226.01219177246099</v>
      </c>
      <c r="C743" s="33">
        <v>67.825424194335895</v>
      </c>
      <c r="D743" s="33">
        <v>78.032257080078097</v>
      </c>
      <c r="E743" s="33">
        <v>89.151588439941406</v>
      </c>
    </row>
    <row r="744" spans="1:5" ht="15" customHeight="1" x14ac:dyDescent="0.2">
      <c r="A744" s="32" t="s">
        <v>745</v>
      </c>
      <c r="B744" s="33">
        <v>227.35337829589801</v>
      </c>
      <c r="C744" s="33">
        <v>68.326019287109403</v>
      </c>
      <c r="D744" s="33">
        <v>80.282760620117202</v>
      </c>
      <c r="E744" s="33">
        <v>89.871154785156307</v>
      </c>
    </row>
    <row r="745" spans="1:5" ht="15" customHeight="1" x14ac:dyDescent="0.2">
      <c r="A745" s="32" t="s">
        <v>746</v>
      </c>
      <c r="B745" s="33">
        <v>227.04458618164099</v>
      </c>
      <c r="C745" s="33">
        <v>67.661582946777301</v>
      </c>
      <c r="D745" s="33">
        <v>79.153022766113295</v>
      </c>
      <c r="E745" s="33">
        <v>89.662208557128906</v>
      </c>
    </row>
    <row r="746" spans="1:5" ht="15" customHeight="1" x14ac:dyDescent="0.2">
      <c r="A746" s="32" t="s">
        <v>747</v>
      </c>
      <c r="B746" s="33">
        <v>228.02877807617199</v>
      </c>
      <c r="C746" s="33">
        <v>67.825424194335895</v>
      </c>
      <c r="D746" s="33">
        <v>78.973709106445298</v>
      </c>
      <c r="E746" s="33">
        <v>89.480476379394503</v>
      </c>
    </row>
    <row r="747" spans="1:5" ht="15" customHeight="1" x14ac:dyDescent="0.2">
      <c r="A747" s="32" t="s">
        <v>748</v>
      </c>
      <c r="B747" s="33">
        <v>229.697998046875</v>
      </c>
      <c r="C747" s="33">
        <v>68.398818969726605</v>
      </c>
      <c r="D747" s="33">
        <v>79.574447631835895</v>
      </c>
      <c r="E747" s="33">
        <v>89.589500427246094</v>
      </c>
    </row>
    <row r="748" spans="1:5" ht="15" customHeight="1" x14ac:dyDescent="0.2">
      <c r="A748" s="32" t="s">
        <v>749</v>
      </c>
      <c r="B748" s="33">
        <v>226.272705078125</v>
      </c>
      <c r="C748" s="33">
        <v>67.708564758300795</v>
      </c>
      <c r="D748" s="33">
        <v>78.606094360351605</v>
      </c>
      <c r="E748" s="33">
        <v>89.916564941406307</v>
      </c>
    </row>
    <row r="749" spans="1:5" ht="15" customHeight="1" x14ac:dyDescent="0.2">
      <c r="A749" s="32" t="s">
        <v>750</v>
      </c>
      <c r="B749" s="33">
        <v>228.77468872070301</v>
      </c>
      <c r="C749" s="33">
        <v>68.805236816406307</v>
      </c>
      <c r="D749" s="33">
        <v>79.303192138671903</v>
      </c>
      <c r="E749" s="33">
        <v>89.907470703125</v>
      </c>
    </row>
    <row r="750" spans="1:5" ht="15" customHeight="1" x14ac:dyDescent="0.2">
      <c r="A750" s="32" t="s">
        <v>751</v>
      </c>
      <c r="B750" s="33">
        <v>229.29797363281301</v>
      </c>
      <c r="C750" s="33">
        <v>68.869758605957003</v>
      </c>
      <c r="D750" s="33">
        <v>79.611793518066406</v>
      </c>
      <c r="E750" s="33">
        <v>89.789375305175795</v>
      </c>
    </row>
    <row r="751" spans="1:5" ht="15" customHeight="1" x14ac:dyDescent="0.2">
      <c r="A751" s="32" t="s">
        <v>752</v>
      </c>
      <c r="B751" s="33">
        <v>230.431716918945</v>
      </c>
      <c r="C751" s="33">
        <v>69.183090209960895</v>
      </c>
      <c r="D751" s="33">
        <v>80.201789855957003</v>
      </c>
      <c r="E751" s="33">
        <v>89.9710693359375</v>
      </c>
    </row>
    <row r="752" spans="1:5" ht="15" customHeight="1" x14ac:dyDescent="0.2">
      <c r="A752" s="32" t="s">
        <v>753</v>
      </c>
      <c r="B752" s="33">
        <v>230.86779785156301</v>
      </c>
      <c r="C752" s="33">
        <v>69.551719665527301</v>
      </c>
      <c r="D752" s="33">
        <v>80.592071533203097</v>
      </c>
      <c r="E752" s="33">
        <v>90.543449401855497</v>
      </c>
    </row>
    <row r="753" spans="1:5" ht="15" customHeight="1" x14ac:dyDescent="0.2">
      <c r="A753" s="32" t="s">
        <v>754</v>
      </c>
      <c r="B753" s="33">
        <v>230.75149536132801</v>
      </c>
      <c r="C753" s="33">
        <v>69.367393493652301</v>
      </c>
      <c r="D753" s="33">
        <v>81.163909912109403</v>
      </c>
      <c r="E753" s="33">
        <v>90.343559265136705</v>
      </c>
    </row>
    <row r="754" spans="1:5" ht="15" customHeight="1" x14ac:dyDescent="0.2">
      <c r="A754" s="32" t="s">
        <v>755</v>
      </c>
      <c r="B754" s="33">
        <v>229.869705200195</v>
      </c>
      <c r="C754" s="33">
        <v>69.441123962402301</v>
      </c>
      <c r="D754" s="33">
        <v>80.201789855957003</v>
      </c>
      <c r="E754" s="33">
        <v>90.170967102050795</v>
      </c>
    </row>
    <row r="755" spans="1:5" ht="15" customHeight="1" x14ac:dyDescent="0.2">
      <c r="A755" s="32" t="s">
        <v>756</v>
      </c>
      <c r="B755" s="33">
        <v>228.32896423339801</v>
      </c>
      <c r="C755" s="33">
        <v>68.667007446289105</v>
      </c>
      <c r="D755" s="33">
        <v>80.891609191894503</v>
      </c>
      <c r="E755" s="33">
        <v>89.743949890136705</v>
      </c>
    </row>
    <row r="756" spans="1:5" ht="15" customHeight="1" x14ac:dyDescent="0.2">
      <c r="A756" s="32" t="s">
        <v>757</v>
      </c>
      <c r="B756" s="33">
        <v>226.13897705078099</v>
      </c>
      <c r="C756" s="33">
        <v>68.150917053222699</v>
      </c>
      <c r="D756" s="33">
        <v>78.958259582519503</v>
      </c>
      <c r="E756" s="33">
        <v>89.789375305175795</v>
      </c>
    </row>
    <row r="757" spans="1:5" ht="15" customHeight="1" x14ac:dyDescent="0.2">
      <c r="A757" s="32" t="s">
        <v>758</v>
      </c>
      <c r="B757" s="33">
        <v>225.55757141113301</v>
      </c>
      <c r="C757" s="33">
        <v>68.307594299316406</v>
      </c>
      <c r="D757" s="33">
        <v>78.813049316406307</v>
      </c>
      <c r="E757" s="33">
        <v>89.425956726074205</v>
      </c>
    </row>
    <row r="758" spans="1:5" ht="15" customHeight="1" x14ac:dyDescent="0.2">
      <c r="A758" s="32" t="s">
        <v>759</v>
      </c>
      <c r="B758" s="33">
        <v>225.89674377441401</v>
      </c>
      <c r="C758" s="33">
        <v>68.353660583496094</v>
      </c>
      <c r="D758" s="33">
        <v>78.613365173339801</v>
      </c>
      <c r="E758" s="33">
        <v>89.217010498046903</v>
      </c>
    </row>
    <row r="759" spans="1:5" ht="15" customHeight="1" x14ac:dyDescent="0.2">
      <c r="A759" s="32" t="s">
        <v>760</v>
      </c>
      <c r="B759" s="33">
        <v>229.12356567382801</v>
      </c>
      <c r="C759" s="33">
        <v>69.081710815429702</v>
      </c>
      <c r="D759" s="33">
        <v>79.738861083984403</v>
      </c>
      <c r="E759" s="33">
        <v>89.553184509277301</v>
      </c>
    </row>
    <row r="760" spans="1:5" ht="15" customHeight="1" x14ac:dyDescent="0.2">
      <c r="A760" s="32" t="s">
        <v>761</v>
      </c>
      <c r="B760" s="33">
        <v>228.697189331055</v>
      </c>
      <c r="C760" s="33">
        <v>68.464256286621094</v>
      </c>
      <c r="D760" s="33">
        <v>79.203346252441406</v>
      </c>
      <c r="E760" s="33">
        <v>89.534988403320298</v>
      </c>
    </row>
    <row r="761" spans="1:5" ht="15" customHeight="1" x14ac:dyDescent="0.2">
      <c r="A761" s="32" t="s">
        <v>762</v>
      </c>
      <c r="B761" s="33">
        <v>229.87937927246099</v>
      </c>
      <c r="C761" s="33">
        <v>68.906608581542997</v>
      </c>
      <c r="D761" s="33">
        <v>79.294113159179702</v>
      </c>
      <c r="E761" s="33">
        <v>89.362358093261705</v>
      </c>
    </row>
    <row r="762" spans="1:5" ht="15" customHeight="1" x14ac:dyDescent="0.2">
      <c r="A762" s="32" t="s">
        <v>763</v>
      </c>
      <c r="B762" s="33">
        <v>229.724365234375</v>
      </c>
      <c r="C762" s="33">
        <v>68.897392272949205</v>
      </c>
      <c r="D762" s="33">
        <v>78.558914184570298</v>
      </c>
      <c r="E762" s="33">
        <v>89.871154785156307</v>
      </c>
    </row>
    <row r="763" spans="1:5" ht="15" customHeight="1" x14ac:dyDescent="0.2">
      <c r="A763" s="32" t="s">
        <v>764</v>
      </c>
      <c r="B763" s="33">
        <v>229.76309204101599</v>
      </c>
      <c r="C763" s="33">
        <v>69.183090209960895</v>
      </c>
      <c r="D763" s="33">
        <v>79.030876159667997</v>
      </c>
      <c r="E763" s="33">
        <v>90.03466796875</v>
      </c>
    </row>
    <row r="764" spans="1:5" ht="15" customHeight="1" x14ac:dyDescent="0.2">
      <c r="A764" s="32" t="s">
        <v>765</v>
      </c>
      <c r="B764" s="33">
        <v>228.697189331055</v>
      </c>
      <c r="C764" s="33">
        <v>68.021896362304702</v>
      </c>
      <c r="D764" s="33">
        <v>78.449981689453097</v>
      </c>
      <c r="E764" s="33">
        <v>89.362358093261705</v>
      </c>
    </row>
    <row r="765" spans="1:5" ht="15" customHeight="1" x14ac:dyDescent="0.2">
      <c r="A765" s="32" t="s">
        <v>766</v>
      </c>
      <c r="B765" s="33">
        <v>227.32116699218801</v>
      </c>
      <c r="C765" s="33">
        <v>67.376785278320298</v>
      </c>
      <c r="D765" s="33">
        <v>77.015853881835895</v>
      </c>
      <c r="E765" s="33">
        <v>89.1170654296875</v>
      </c>
    </row>
    <row r="766" spans="1:5" ht="15" customHeight="1" x14ac:dyDescent="0.2">
      <c r="A766" s="32" t="s">
        <v>767</v>
      </c>
      <c r="B766" s="33">
        <v>229.32704162597699</v>
      </c>
      <c r="C766" s="33">
        <v>67.975814819335895</v>
      </c>
      <c r="D766" s="33">
        <v>76.598320007324205</v>
      </c>
      <c r="E766" s="33">
        <v>89.035308837890597</v>
      </c>
    </row>
    <row r="767" spans="1:5" ht="15" customHeight="1" x14ac:dyDescent="0.2">
      <c r="A767" s="32" t="s">
        <v>768</v>
      </c>
      <c r="B767" s="33">
        <v>232.11778259277301</v>
      </c>
      <c r="C767" s="33">
        <v>68.132484436035199</v>
      </c>
      <c r="D767" s="33">
        <v>77.515068054199205</v>
      </c>
      <c r="E767" s="33">
        <v>89.053466796875</v>
      </c>
    </row>
    <row r="768" spans="1:5" ht="15" customHeight="1" x14ac:dyDescent="0.2">
      <c r="A768" s="32" t="s">
        <v>769</v>
      </c>
      <c r="B768" s="33">
        <v>233.12559509277301</v>
      </c>
      <c r="C768" s="33">
        <v>68.344451904296903</v>
      </c>
      <c r="D768" s="33">
        <v>77.978004455566406</v>
      </c>
      <c r="E768" s="33">
        <v>89.217010498046903</v>
      </c>
    </row>
    <row r="769" spans="1:5" ht="15" customHeight="1" x14ac:dyDescent="0.2">
      <c r="A769" s="32" t="s">
        <v>770</v>
      </c>
      <c r="B769" s="33">
        <v>233.55192565918</v>
      </c>
      <c r="C769" s="33">
        <v>68.150917053222699</v>
      </c>
      <c r="D769" s="33">
        <v>77.442466735839801</v>
      </c>
      <c r="E769" s="33">
        <v>88.998954772949205</v>
      </c>
    </row>
    <row r="770" spans="1:5" ht="15" customHeight="1" x14ac:dyDescent="0.2">
      <c r="A770" s="32" t="s">
        <v>771</v>
      </c>
      <c r="B770" s="33">
        <v>233.51318359375</v>
      </c>
      <c r="C770" s="33">
        <v>68.667007446289105</v>
      </c>
      <c r="D770" s="33">
        <v>76.335098266601605</v>
      </c>
      <c r="E770" s="33">
        <v>88.799095153808594</v>
      </c>
    </row>
    <row r="771" spans="1:5" ht="15" customHeight="1" x14ac:dyDescent="0.2">
      <c r="A771" s="32" t="s">
        <v>772</v>
      </c>
      <c r="B771" s="33">
        <v>234.81167602539099</v>
      </c>
      <c r="C771" s="33">
        <v>68.860534667968807</v>
      </c>
      <c r="D771" s="33">
        <v>77.315391540527301</v>
      </c>
      <c r="E771" s="33">
        <v>89.198829650878906</v>
      </c>
    </row>
    <row r="772" spans="1:5" ht="15" customHeight="1" x14ac:dyDescent="0.2">
      <c r="A772" s="32" t="s">
        <v>773</v>
      </c>
      <c r="B772" s="33">
        <v>234.61787414550801</v>
      </c>
      <c r="C772" s="33">
        <v>69.164657592773395</v>
      </c>
      <c r="D772" s="33">
        <v>77.097549438476605</v>
      </c>
      <c r="E772" s="33">
        <v>89.098892211914105</v>
      </c>
    </row>
    <row r="773" spans="1:5" ht="15" customHeight="1" x14ac:dyDescent="0.2">
      <c r="A773" s="32" t="s">
        <v>774</v>
      </c>
      <c r="B773" s="33">
        <v>236.74969482421901</v>
      </c>
      <c r="C773" s="33">
        <v>69.570144653320298</v>
      </c>
      <c r="D773" s="33">
        <v>77.605850219726605</v>
      </c>
      <c r="E773" s="33">
        <v>89.453201293945298</v>
      </c>
    </row>
    <row r="774" spans="1:5" ht="15" customHeight="1" x14ac:dyDescent="0.2">
      <c r="A774" s="32" t="s">
        <v>775</v>
      </c>
      <c r="B774" s="33">
        <v>236.42024230957</v>
      </c>
      <c r="C774" s="33">
        <v>69.477996826171903</v>
      </c>
      <c r="D774" s="33">
        <v>76.879699707031307</v>
      </c>
      <c r="E774" s="33">
        <v>89.625831604003906</v>
      </c>
    </row>
    <row r="775" spans="1:5" ht="15" customHeight="1" x14ac:dyDescent="0.2">
      <c r="A775" s="32" t="s">
        <v>776</v>
      </c>
      <c r="B775" s="33">
        <v>232.437576293945</v>
      </c>
      <c r="C775" s="33">
        <v>69.127792358398395</v>
      </c>
      <c r="D775" s="33">
        <v>76.144485473632798</v>
      </c>
      <c r="E775" s="33">
        <v>90.03466796875</v>
      </c>
    </row>
    <row r="776" spans="1:5" ht="15" customHeight="1" x14ac:dyDescent="0.2">
      <c r="A776" s="32" t="s">
        <v>777</v>
      </c>
      <c r="B776" s="33">
        <v>235.56750488281301</v>
      </c>
      <c r="C776" s="33">
        <v>69.809753417968807</v>
      </c>
      <c r="D776" s="33">
        <v>77.524169921875</v>
      </c>
      <c r="E776" s="33">
        <v>90.547706604003906</v>
      </c>
    </row>
    <row r="777" spans="1:5" ht="15" customHeight="1" x14ac:dyDescent="0.2">
      <c r="A777" s="32" t="s">
        <v>778</v>
      </c>
      <c r="B777" s="33">
        <v>237.58302307128901</v>
      </c>
      <c r="C777" s="33">
        <v>69.256805419921903</v>
      </c>
      <c r="D777" s="33">
        <v>76.562019348144503</v>
      </c>
      <c r="E777" s="33">
        <v>89.718475341796903</v>
      </c>
    </row>
    <row r="778" spans="1:5" ht="15" customHeight="1" x14ac:dyDescent="0.2">
      <c r="A778" s="32" t="s">
        <v>779</v>
      </c>
      <c r="B778" s="33">
        <v>236.45899963378901</v>
      </c>
      <c r="C778" s="33">
        <v>68.88818359375</v>
      </c>
      <c r="D778" s="33">
        <v>74.955429077148395</v>
      </c>
      <c r="E778" s="33">
        <v>88.980392456054702</v>
      </c>
    </row>
    <row r="779" spans="1:5" ht="15" customHeight="1" x14ac:dyDescent="0.2">
      <c r="A779" s="32" t="s">
        <v>780</v>
      </c>
      <c r="B779" s="33">
        <v>237.26327514648401</v>
      </c>
      <c r="C779" s="33">
        <v>69.312110900878906</v>
      </c>
      <c r="D779" s="33">
        <v>75.962951660156307</v>
      </c>
      <c r="E779" s="33">
        <v>89.445137023925795</v>
      </c>
    </row>
    <row r="780" spans="1:5" ht="15" customHeight="1" x14ac:dyDescent="0.2">
      <c r="A780" s="32" t="s">
        <v>781</v>
      </c>
      <c r="B780" s="33">
        <v>239.13346862793</v>
      </c>
      <c r="C780" s="33">
        <v>69.275238037109403</v>
      </c>
      <c r="D780" s="33">
        <v>75.854034423828097</v>
      </c>
      <c r="E780" s="33">
        <v>89.262878417968807</v>
      </c>
    </row>
    <row r="781" spans="1:5" ht="15" customHeight="1" x14ac:dyDescent="0.2">
      <c r="A781" s="32" t="s">
        <v>782</v>
      </c>
      <c r="B781" s="33">
        <v>239.72454833984401</v>
      </c>
      <c r="C781" s="33">
        <v>69.155433654785199</v>
      </c>
      <c r="D781" s="33">
        <v>76.471244812011705</v>
      </c>
      <c r="E781" s="33">
        <v>88.989524841308594</v>
      </c>
    </row>
    <row r="782" spans="1:5" ht="15" customHeight="1" x14ac:dyDescent="0.2">
      <c r="A782" s="32" t="s">
        <v>783</v>
      </c>
      <c r="B782" s="33">
        <v>241.18777465820301</v>
      </c>
      <c r="C782" s="33">
        <v>69.395050048828097</v>
      </c>
      <c r="D782" s="33">
        <v>76.589241027832003</v>
      </c>
      <c r="E782" s="33">
        <v>88.962158203125</v>
      </c>
    </row>
    <row r="783" spans="1:5" ht="15" customHeight="1" x14ac:dyDescent="0.2">
      <c r="A783" s="32" t="s">
        <v>784</v>
      </c>
      <c r="B783" s="33">
        <v>241.420333862305</v>
      </c>
      <c r="C783" s="33">
        <v>69.514854431152301</v>
      </c>
      <c r="D783" s="33">
        <v>76.607398986816406</v>
      </c>
      <c r="E783" s="33">
        <v>88.980392456054702</v>
      </c>
    </row>
    <row r="784" spans="1:5" ht="15" customHeight="1" x14ac:dyDescent="0.2">
      <c r="A784" s="32" t="s">
        <v>785</v>
      </c>
      <c r="B784" s="33">
        <v>237.55397033691401</v>
      </c>
      <c r="C784" s="33">
        <v>68.445823669433594</v>
      </c>
      <c r="D784" s="33">
        <v>75.028053283691406</v>
      </c>
      <c r="E784" s="33">
        <v>88.160285949707003</v>
      </c>
    </row>
    <row r="785" spans="1:5" ht="15" customHeight="1" x14ac:dyDescent="0.2">
      <c r="A785" s="32" t="s">
        <v>786</v>
      </c>
      <c r="B785" s="33">
        <v>240.18000793457</v>
      </c>
      <c r="C785" s="33">
        <v>69.210739135742202</v>
      </c>
      <c r="D785" s="33">
        <v>75.6180419921875</v>
      </c>
      <c r="E785" s="33">
        <v>88.552116394042997</v>
      </c>
    </row>
    <row r="786" spans="1:5" ht="15" customHeight="1" x14ac:dyDescent="0.2">
      <c r="A786" s="32" t="s">
        <v>787</v>
      </c>
      <c r="B786" s="33">
        <v>242.03082275390599</v>
      </c>
      <c r="C786" s="33">
        <v>69.994071960449205</v>
      </c>
      <c r="D786" s="33">
        <v>77.378929138183594</v>
      </c>
      <c r="E786" s="33">
        <v>88.761711120605497</v>
      </c>
    </row>
    <row r="787" spans="1:5" ht="15" customHeight="1" x14ac:dyDescent="0.2">
      <c r="A787" s="32" t="s">
        <v>788</v>
      </c>
      <c r="B787" s="33">
        <v>240.76142883300801</v>
      </c>
      <c r="C787" s="33">
        <v>70.104660034179702</v>
      </c>
      <c r="D787" s="33">
        <v>76.580177307128906</v>
      </c>
      <c r="E787" s="33">
        <v>88.479232788085895</v>
      </c>
    </row>
    <row r="788" spans="1:5" ht="15" customHeight="1" x14ac:dyDescent="0.2">
      <c r="A788" s="32" t="s">
        <v>789</v>
      </c>
      <c r="B788" s="33">
        <v>239.249755859375</v>
      </c>
      <c r="C788" s="33">
        <v>70.390357971191406</v>
      </c>
      <c r="D788" s="33">
        <v>76.444015502929702</v>
      </c>
      <c r="E788" s="33">
        <v>88.561241149902301</v>
      </c>
    </row>
    <row r="789" spans="1:5" ht="15" customHeight="1" x14ac:dyDescent="0.2">
      <c r="A789" s="32" t="s">
        <v>790</v>
      </c>
      <c r="B789" s="33">
        <v>239.29820251464801</v>
      </c>
      <c r="C789" s="33">
        <v>70.445648193359403</v>
      </c>
      <c r="D789" s="33">
        <v>76.870628356933594</v>
      </c>
      <c r="E789" s="33">
        <v>88.296974182128906</v>
      </c>
    </row>
    <row r="790" spans="1:5" ht="15" customHeight="1" x14ac:dyDescent="0.2">
      <c r="A790" s="32" t="s">
        <v>791</v>
      </c>
      <c r="B790" s="33">
        <v>244.02700805664099</v>
      </c>
      <c r="C790" s="33">
        <v>71.238220214843807</v>
      </c>
      <c r="D790" s="33">
        <v>77.015853881835895</v>
      </c>
      <c r="E790" s="33">
        <v>88.369895935058594</v>
      </c>
    </row>
    <row r="791" spans="1:5" ht="15" customHeight="1" x14ac:dyDescent="0.2">
      <c r="A791" s="32" t="s">
        <v>792</v>
      </c>
      <c r="B791" s="33">
        <v>244.19171142578099</v>
      </c>
      <c r="C791" s="33">
        <v>71.330368041992202</v>
      </c>
      <c r="D791" s="33">
        <v>76.979545593261705</v>
      </c>
      <c r="E791" s="33">
        <v>88.697906494140597</v>
      </c>
    </row>
    <row r="792" spans="1:5" ht="15" customHeight="1" x14ac:dyDescent="0.2">
      <c r="A792" s="32" t="s">
        <v>793</v>
      </c>
      <c r="B792" s="33">
        <v>243.45527648925801</v>
      </c>
      <c r="C792" s="33">
        <v>71.228996276855497</v>
      </c>
      <c r="D792" s="33">
        <v>76.135406494140597</v>
      </c>
      <c r="E792" s="33">
        <v>88.506561279296903</v>
      </c>
    </row>
    <row r="793" spans="1:5" ht="15" customHeight="1" x14ac:dyDescent="0.2">
      <c r="A793" s="32" t="s">
        <v>794</v>
      </c>
      <c r="B793" s="33">
        <v>244.13357543945301</v>
      </c>
      <c r="C793" s="33">
        <v>71.422531127929702</v>
      </c>
      <c r="D793" s="33">
        <v>76.226181030273395</v>
      </c>
      <c r="E793" s="33">
        <v>88.388107299804702</v>
      </c>
    </row>
    <row r="794" spans="1:5" ht="15" customHeight="1" x14ac:dyDescent="0.2">
      <c r="A794" s="32" t="s">
        <v>795</v>
      </c>
      <c r="B794" s="33">
        <v>243.72659301757801</v>
      </c>
      <c r="C794" s="33">
        <v>71.007820129394503</v>
      </c>
      <c r="D794" s="33">
        <v>76.997703552246094</v>
      </c>
      <c r="E794" s="33">
        <v>88.561241149902301</v>
      </c>
    </row>
    <row r="795" spans="1:5" ht="15" customHeight="1" x14ac:dyDescent="0.2">
      <c r="A795" s="32" t="s">
        <v>796</v>
      </c>
      <c r="B795" s="33">
        <v>244.75376892089801</v>
      </c>
      <c r="C795" s="33">
        <v>71.192131042480497</v>
      </c>
      <c r="D795" s="33">
        <v>77.651237487792997</v>
      </c>
      <c r="E795" s="33">
        <v>88.707038879394503</v>
      </c>
    </row>
    <row r="796" spans="1:5" ht="15" customHeight="1" x14ac:dyDescent="0.2">
      <c r="A796" s="32" t="s">
        <v>797</v>
      </c>
      <c r="B796" s="33">
        <v>247.00189208984401</v>
      </c>
      <c r="C796" s="33">
        <v>71.883323669433594</v>
      </c>
      <c r="D796" s="33">
        <v>78.577049255371094</v>
      </c>
      <c r="E796" s="33">
        <v>89.132919311523395</v>
      </c>
    </row>
    <row r="797" spans="1:5" ht="15" customHeight="1" x14ac:dyDescent="0.2">
      <c r="A797" s="32" t="s">
        <v>798</v>
      </c>
      <c r="B797" s="33">
        <v>246.75962829589801</v>
      </c>
      <c r="C797" s="33">
        <v>71.699005126953097</v>
      </c>
      <c r="D797" s="33">
        <v>79.312255859375</v>
      </c>
      <c r="E797" s="33">
        <v>88.913589477539105</v>
      </c>
    </row>
    <row r="798" spans="1:5" ht="15" customHeight="1" x14ac:dyDescent="0.2">
      <c r="A798" s="32" t="s">
        <v>799</v>
      </c>
      <c r="B798" s="33">
        <v>244.14329528808599</v>
      </c>
      <c r="C798" s="33">
        <v>71.569984436035199</v>
      </c>
      <c r="D798" s="33">
        <v>78.350128173828097</v>
      </c>
      <c r="E798" s="33">
        <v>89.397956848144503</v>
      </c>
    </row>
    <row r="799" spans="1:5" ht="15" customHeight="1" x14ac:dyDescent="0.2">
      <c r="A799" s="32" t="s">
        <v>800</v>
      </c>
      <c r="B799" s="33">
        <v>245.58711242675801</v>
      </c>
      <c r="C799" s="33">
        <v>72.417839050292997</v>
      </c>
      <c r="D799" s="33">
        <v>78.740447998046903</v>
      </c>
      <c r="E799" s="33">
        <v>89.5350341796875</v>
      </c>
    </row>
    <row r="800" spans="1:5" ht="15" customHeight="1" x14ac:dyDescent="0.2">
      <c r="A800" s="32" t="s">
        <v>801</v>
      </c>
      <c r="B800" s="33">
        <v>247.98059082031301</v>
      </c>
      <c r="C800" s="33">
        <v>73.274909973144503</v>
      </c>
      <c r="D800" s="33">
        <v>78.722282409667997</v>
      </c>
      <c r="E800" s="33">
        <v>89.726943969726605</v>
      </c>
    </row>
    <row r="801" spans="1:5" ht="15" customHeight="1" x14ac:dyDescent="0.2">
      <c r="A801" s="32" t="s">
        <v>802</v>
      </c>
      <c r="B801" s="33">
        <v>246.54644775390599</v>
      </c>
      <c r="C801" s="33">
        <v>73.035293579101605</v>
      </c>
      <c r="D801" s="33">
        <v>79.629959106445298</v>
      </c>
      <c r="E801" s="33">
        <v>89.809181213378906</v>
      </c>
    </row>
    <row r="802" spans="1:5" ht="15" customHeight="1" x14ac:dyDescent="0.2">
      <c r="A802" s="32" t="s">
        <v>803</v>
      </c>
      <c r="B802" s="33">
        <v>246.14913940429699</v>
      </c>
      <c r="C802" s="33">
        <v>72.620590209960895</v>
      </c>
      <c r="D802" s="33">
        <v>79.248718261718807</v>
      </c>
      <c r="E802" s="33">
        <v>89.708702087402301</v>
      </c>
    </row>
    <row r="803" spans="1:5" ht="15" customHeight="1" x14ac:dyDescent="0.2">
      <c r="A803" s="32" t="s">
        <v>804</v>
      </c>
      <c r="B803" s="33">
        <v>248.58135986328099</v>
      </c>
      <c r="C803" s="33">
        <v>73.201171875</v>
      </c>
      <c r="D803" s="33">
        <v>79.076263427734403</v>
      </c>
      <c r="E803" s="33">
        <v>89.480209350585895</v>
      </c>
    </row>
    <row r="804" spans="1:5" ht="15" customHeight="1" x14ac:dyDescent="0.2">
      <c r="A804" s="32" t="s">
        <v>805</v>
      </c>
      <c r="B804" s="33">
        <v>248.27125549316401</v>
      </c>
      <c r="C804" s="33">
        <v>73.210395812988295</v>
      </c>
      <c r="D804" s="33">
        <v>78.676902770996094</v>
      </c>
      <c r="E804" s="33">
        <v>89.315704345703097</v>
      </c>
    </row>
    <row r="805" spans="1:5" ht="15" customHeight="1" x14ac:dyDescent="0.2">
      <c r="A805" s="32" t="s">
        <v>806</v>
      </c>
      <c r="B805" s="33">
        <v>247.31195068359401</v>
      </c>
      <c r="C805" s="33">
        <v>72.675880432128906</v>
      </c>
      <c r="D805" s="33">
        <v>77.496925354003906</v>
      </c>
      <c r="E805" s="33">
        <v>88.749069213867202</v>
      </c>
    </row>
    <row r="806" spans="1:5" ht="15" customHeight="1" x14ac:dyDescent="0.2">
      <c r="A806" s="32" t="s">
        <v>807</v>
      </c>
      <c r="B806" s="33">
        <v>245.84873962402301</v>
      </c>
      <c r="C806" s="33">
        <v>72.703521728515597</v>
      </c>
      <c r="D806" s="33">
        <v>77.324478149414105</v>
      </c>
      <c r="E806" s="33">
        <v>88.739936828613295</v>
      </c>
    </row>
    <row r="807" spans="1:5" ht="15" customHeight="1" x14ac:dyDescent="0.2">
      <c r="A807" s="32" t="s">
        <v>808</v>
      </c>
      <c r="B807" s="33">
        <v>247.09877014160199</v>
      </c>
      <c r="C807" s="33">
        <v>72.685096740722699</v>
      </c>
      <c r="D807" s="33">
        <v>77.360778808593807</v>
      </c>
      <c r="E807" s="33">
        <v>88.648536682128906</v>
      </c>
    </row>
    <row r="808" spans="1:5" ht="15" customHeight="1" x14ac:dyDescent="0.2">
      <c r="A808" s="32" t="s">
        <v>809</v>
      </c>
      <c r="B808" s="33">
        <v>248.52320861816401</v>
      </c>
      <c r="C808" s="33">
        <v>72.814117431640597</v>
      </c>
      <c r="D808" s="33">
        <v>77.333534240722699</v>
      </c>
      <c r="E808" s="33">
        <v>88.867874145507798</v>
      </c>
    </row>
    <row r="809" spans="1:5" ht="15" customHeight="1" x14ac:dyDescent="0.2">
      <c r="A809" s="32" t="s">
        <v>810</v>
      </c>
      <c r="B809" s="33">
        <v>251.04264831543</v>
      </c>
      <c r="C809" s="33">
        <v>73.588241577148395</v>
      </c>
      <c r="D809" s="33">
        <v>77.841835021972699</v>
      </c>
      <c r="E809" s="33">
        <v>89.0506591796875</v>
      </c>
    </row>
    <row r="810" spans="1:5" ht="15" customHeight="1" x14ac:dyDescent="0.2">
      <c r="A810" s="32" t="s">
        <v>811</v>
      </c>
      <c r="B810" s="33">
        <v>252.07948303222699</v>
      </c>
      <c r="C810" s="33">
        <v>73.551383972167997</v>
      </c>
      <c r="D810" s="33">
        <v>78.404586791992202</v>
      </c>
      <c r="E810" s="33">
        <v>89.114662170410199</v>
      </c>
    </row>
    <row r="811" spans="1:5" ht="15" customHeight="1" x14ac:dyDescent="0.2">
      <c r="A811" s="32" t="s">
        <v>812</v>
      </c>
      <c r="B811" s="33">
        <v>251.37060546875</v>
      </c>
      <c r="C811" s="33">
        <v>73.394706726074205</v>
      </c>
      <c r="D811" s="33">
        <v>77.417762756347699</v>
      </c>
      <c r="E811" s="33">
        <v>89.397956848144503</v>
      </c>
    </row>
    <row r="812" spans="1:5" ht="15" customHeight="1" x14ac:dyDescent="0.2">
      <c r="A812" s="32" t="s">
        <v>813</v>
      </c>
      <c r="B812" s="33">
        <v>250.80662536621099</v>
      </c>
      <c r="C812" s="33">
        <v>73.238044738769503</v>
      </c>
      <c r="D812" s="33">
        <v>76.941734313964801</v>
      </c>
      <c r="E812" s="33">
        <v>89.233428955078097</v>
      </c>
    </row>
    <row r="813" spans="1:5" ht="15" customHeight="1" x14ac:dyDescent="0.2">
      <c r="A813" s="32" t="s">
        <v>814</v>
      </c>
      <c r="B813" s="33">
        <v>250.35925292968801</v>
      </c>
      <c r="C813" s="33">
        <v>73.320976257324205</v>
      </c>
      <c r="D813" s="33">
        <v>76.6304931640625</v>
      </c>
      <c r="E813" s="33">
        <v>89.324844360351605</v>
      </c>
    </row>
    <row r="814" spans="1:5" ht="15" customHeight="1" x14ac:dyDescent="0.2">
      <c r="A814" s="32" t="s">
        <v>815</v>
      </c>
      <c r="B814" s="33">
        <v>252.56671142578099</v>
      </c>
      <c r="C814" s="33">
        <v>73.763343811035199</v>
      </c>
      <c r="D814" s="33">
        <v>78.607818603515597</v>
      </c>
      <c r="E814" s="33">
        <v>89.617279052734403</v>
      </c>
    </row>
    <row r="815" spans="1:5" ht="15" customHeight="1" x14ac:dyDescent="0.2">
      <c r="A815" s="32" t="s">
        <v>816</v>
      </c>
      <c r="B815" s="33">
        <v>252.732009887695</v>
      </c>
      <c r="C815" s="33">
        <v>73.597457885742202</v>
      </c>
      <c r="D815" s="33">
        <v>79.166236877441406</v>
      </c>
      <c r="E815" s="33">
        <v>89.507606506347699</v>
      </c>
    </row>
    <row r="816" spans="1:5" ht="15" customHeight="1" x14ac:dyDescent="0.2">
      <c r="A816" s="32" t="s">
        <v>817</v>
      </c>
      <c r="B816" s="33">
        <v>252.53755187988301</v>
      </c>
      <c r="C816" s="33">
        <v>73.284126281738295</v>
      </c>
      <c r="D816" s="33">
        <v>77.838859558105497</v>
      </c>
      <c r="E816" s="33">
        <v>88.856819152832003</v>
      </c>
    </row>
    <row r="817" spans="1:5" ht="15" customHeight="1" x14ac:dyDescent="0.2">
      <c r="A817" s="32" t="s">
        <v>818</v>
      </c>
      <c r="B817" s="33">
        <v>250.203689575195</v>
      </c>
      <c r="C817" s="33">
        <v>72.768043518066406</v>
      </c>
      <c r="D817" s="33">
        <v>76.859344482421903</v>
      </c>
      <c r="E817" s="33">
        <v>88.792648315429702</v>
      </c>
    </row>
    <row r="818" spans="1:5" ht="15" customHeight="1" x14ac:dyDescent="0.2">
      <c r="A818" s="32" t="s">
        <v>819</v>
      </c>
      <c r="B818" s="33">
        <v>250.59271240234401</v>
      </c>
      <c r="C818" s="33">
        <v>73.173530578613295</v>
      </c>
      <c r="D818" s="33">
        <v>76.941734313964801</v>
      </c>
      <c r="E818" s="33">
        <v>88.847633361816406</v>
      </c>
    </row>
    <row r="819" spans="1:5" ht="15" customHeight="1" x14ac:dyDescent="0.2">
      <c r="A819" s="32" t="s">
        <v>820</v>
      </c>
      <c r="B819" s="33">
        <v>247.58792114257801</v>
      </c>
      <c r="C819" s="33">
        <v>72.546867370605497</v>
      </c>
      <c r="D819" s="33">
        <v>76.447402954101605</v>
      </c>
      <c r="E819" s="33">
        <v>89.0584716796875</v>
      </c>
    </row>
    <row r="820" spans="1:5" ht="15" customHeight="1" x14ac:dyDescent="0.2">
      <c r="A820" s="32" t="s">
        <v>821</v>
      </c>
      <c r="B820" s="33">
        <v>250.08702087402301</v>
      </c>
      <c r="C820" s="33">
        <v>72.777244567871094</v>
      </c>
      <c r="D820" s="33">
        <v>76.841041564941406</v>
      </c>
      <c r="E820" s="33">
        <v>88.618492126464801</v>
      </c>
    </row>
    <row r="821" spans="1:5" ht="15" customHeight="1" x14ac:dyDescent="0.2">
      <c r="A821" s="32" t="s">
        <v>822</v>
      </c>
      <c r="B821" s="33">
        <v>250.37876892089801</v>
      </c>
      <c r="C821" s="33">
        <v>73.136665344238295</v>
      </c>
      <c r="D821" s="33">
        <v>77.6649169921875</v>
      </c>
      <c r="E821" s="33">
        <v>88.536003112792997</v>
      </c>
    </row>
    <row r="822" spans="1:5" ht="15" customHeight="1" x14ac:dyDescent="0.2">
      <c r="A822" s="32" t="s">
        <v>823</v>
      </c>
      <c r="B822" s="33">
        <v>250.738525390625</v>
      </c>
      <c r="C822" s="33">
        <v>73.127456665039105</v>
      </c>
      <c r="D822" s="33">
        <v>78.699356079101605</v>
      </c>
      <c r="E822" s="33">
        <v>88.838478088378906</v>
      </c>
    </row>
    <row r="823" spans="1:5" ht="15" customHeight="1" x14ac:dyDescent="0.2">
      <c r="A823" s="32" t="s">
        <v>824</v>
      </c>
      <c r="B823" s="33">
        <v>247.93797302246099</v>
      </c>
      <c r="C823" s="33">
        <v>72.159797668457003</v>
      </c>
      <c r="D823" s="33">
        <v>75.440444946289105</v>
      </c>
      <c r="E823" s="33">
        <v>87.775215148925795</v>
      </c>
    </row>
    <row r="824" spans="1:5" ht="15" customHeight="1" x14ac:dyDescent="0.2">
      <c r="A824" s="32" t="s">
        <v>825</v>
      </c>
      <c r="B824" s="33">
        <v>249.62028503418</v>
      </c>
      <c r="C824" s="33">
        <v>72.353332519531307</v>
      </c>
      <c r="D824" s="33">
        <v>75.696746826171903</v>
      </c>
      <c r="E824" s="33">
        <v>87.793525695800795</v>
      </c>
    </row>
    <row r="825" spans="1:5" ht="15" customHeight="1" x14ac:dyDescent="0.2">
      <c r="A825" s="32" t="s">
        <v>826</v>
      </c>
      <c r="B825" s="33">
        <v>246.02229309082</v>
      </c>
      <c r="C825" s="33">
        <v>71.182914733886705</v>
      </c>
      <c r="D825" s="33">
        <v>74.799629211425795</v>
      </c>
      <c r="E825" s="33">
        <v>87.958526611328097</v>
      </c>
    </row>
    <row r="826" spans="1:5" ht="15" customHeight="1" x14ac:dyDescent="0.2">
      <c r="A826" s="32" t="s">
        <v>827</v>
      </c>
      <c r="B826" s="33">
        <v>242.99809265136699</v>
      </c>
      <c r="C826" s="33">
        <v>70.970954895019503</v>
      </c>
      <c r="D826" s="33">
        <v>73.527191162109403</v>
      </c>
      <c r="E826" s="33">
        <v>87.4268798828125</v>
      </c>
    </row>
    <row r="827" spans="1:5" ht="15" customHeight="1" x14ac:dyDescent="0.2">
      <c r="A827" s="32" t="s">
        <v>828</v>
      </c>
      <c r="B827" s="33">
        <v>242.26875305175801</v>
      </c>
      <c r="C827" s="33">
        <v>70.270553588867202</v>
      </c>
      <c r="D827" s="33">
        <v>72.492752075195298</v>
      </c>
      <c r="E827" s="33">
        <v>87.179397583007798</v>
      </c>
    </row>
    <row r="828" spans="1:5" ht="15" customHeight="1" x14ac:dyDescent="0.2">
      <c r="A828" s="32" t="s">
        <v>829</v>
      </c>
      <c r="B828" s="33">
        <v>240.84901428222699</v>
      </c>
      <c r="C828" s="33">
        <v>70.316642761230497</v>
      </c>
      <c r="D828" s="33">
        <v>71.961799621582003</v>
      </c>
      <c r="E828" s="33">
        <v>87.582717895507798</v>
      </c>
    </row>
    <row r="829" spans="1:5" ht="15" customHeight="1" x14ac:dyDescent="0.2">
      <c r="A829" s="32" t="s">
        <v>830</v>
      </c>
      <c r="B829" s="33">
        <v>240.35308837890599</v>
      </c>
      <c r="C829" s="33">
        <v>70.123100280761705</v>
      </c>
      <c r="D829" s="33">
        <v>71.970970153808594</v>
      </c>
      <c r="E829" s="33">
        <v>87.335235595703097</v>
      </c>
    </row>
    <row r="830" spans="1:5" ht="15" customHeight="1" x14ac:dyDescent="0.2">
      <c r="A830" s="32" t="s">
        <v>831</v>
      </c>
      <c r="B830" s="33">
        <v>238.46659851074199</v>
      </c>
      <c r="C830" s="33">
        <v>70.150749206542997</v>
      </c>
      <c r="D830" s="33">
        <v>72.318824768066406</v>
      </c>
      <c r="E830" s="33">
        <v>87.4268798828125</v>
      </c>
    </row>
    <row r="831" spans="1:5" ht="15" customHeight="1" x14ac:dyDescent="0.2">
      <c r="A831" s="32" t="s">
        <v>832</v>
      </c>
      <c r="B831" s="33">
        <v>240.81011962890599</v>
      </c>
      <c r="C831" s="33">
        <v>70.970954895019503</v>
      </c>
      <c r="D831" s="33">
        <v>72.959617614746094</v>
      </c>
      <c r="E831" s="33">
        <v>87.481887817382798</v>
      </c>
    </row>
    <row r="832" spans="1:5" ht="15" customHeight="1" x14ac:dyDescent="0.2">
      <c r="A832" s="32" t="s">
        <v>833</v>
      </c>
      <c r="B832" s="33">
        <v>243.67875671386699</v>
      </c>
      <c r="C832" s="33">
        <v>71.745079040527301</v>
      </c>
      <c r="D832" s="33">
        <v>73.627883911132798</v>
      </c>
      <c r="E832" s="33">
        <v>87.665206909179702</v>
      </c>
    </row>
    <row r="833" spans="1:5" ht="15" customHeight="1" x14ac:dyDescent="0.2">
      <c r="A833" s="32" t="s">
        <v>834</v>
      </c>
      <c r="B833" s="33">
        <v>243.73710632324199</v>
      </c>
      <c r="C833" s="33">
        <v>71.606834411621094</v>
      </c>
      <c r="D833" s="33">
        <v>73.765213012695298</v>
      </c>
      <c r="E833" s="33">
        <v>87.436058044433594</v>
      </c>
    </row>
    <row r="834" spans="1:5" ht="15" customHeight="1" x14ac:dyDescent="0.2">
      <c r="A834" s="32" t="s">
        <v>835</v>
      </c>
      <c r="B834" s="33">
        <v>242.57994079589801</v>
      </c>
      <c r="C834" s="33">
        <v>71.275077819824205</v>
      </c>
      <c r="D834" s="33">
        <v>73.344100952148395</v>
      </c>
      <c r="E834" s="33">
        <v>87.188583374023395</v>
      </c>
    </row>
    <row r="835" spans="1:5" ht="15" customHeight="1" x14ac:dyDescent="0.2">
      <c r="A835" s="32" t="s">
        <v>836</v>
      </c>
      <c r="B835" s="33">
        <v>244.8359375</v>
      </c>
      <c r="C835" s="33">
        <v>71.846443176269503</v>
      </c>
      <c r="D835" s="33">
        <v>73.380722045898395</v>
      </c>
      <c r="E835" s="33">
        <v>87.381065368652301</v>
      </c>
    </row>
    <row r="836" spans="1:5" ht="15" customHeight="1" x14ac:dyDescent="0.2">
      <c r="A836" s="32" t="s">
        <v>837</v>
      </c>
      <c r="B836" s="33">
        <v>245.79862976074199</v>
      </c>
      <c r="C836" s="33">
        <v>72.122932434082003</v>
      </c>
      <c r="D836" s="33">
        <v>74.131378173828097</v>
      </c>
      <c r="E836" s="33">
        <v>87.646881103515597</v>
      </c>
    </row>
    <row r="837" spans="1:5" ht="15" customHeight="1" x14ac:dyDescent="0.2">
      <c r="A837" s="32" t="s">
        <v>838</v>
      </c>
      <c r="B837" s="33">
        <v>241.75338745117199</v>
      </c>
      <c r="C837" s="33">
        <v>71.210556030273395</v>
      </c>
      <c r="D837" s="33">
        <v>72.877227783203097</v>
      </c>
      <c r="E837" s="33">
        <v>87.289405822753906</v>
      </c>
    </row>
    <row r="838" spans="1:5" ht="15" customHeight="1" x14ac:dyDescent="0.2">
      <c r="A838" s="32" t="s">
        <v>839</v>
      </c>
      <c r="B838" s="33">
        <v>241.150466918945</v>
      </c>
      <c r="C838" s="33">
        <v>71.053901672363295</v>
      </c>
      <c r="D838" s="33">
        <v>72.904701232910199</v>
      </c>
      <c r="E838" s="33">
        <v>87.597427368164105</v>
      </c>
    </row>
    <row r="839" spans="1:5" ht="15" customHeight="1" x14ac:dyDescent="0.2">
      <c r="A839" s="32" t="s">
        <v>840</v>
      </c>
      <c r="B839" s="33">
        <v>243.64961242675801</v>
      </c>
      <c r="C839" s="33">
        <v>72.012336730957003</v>
      </c>
      <c r="D839" s="33">
        <v>73.929969787597699</v>
      </c>
      <c r="E839" s="33">
        <v>87.992790222167997</v>
      </c>
    </row>
    <row r="840" spans="1:5" ht="15" customHeight="1" x14ac:dyDescent="0.2">
      <c r="A840" s="32" t="s">
        <v>841</v>
      </c>
      <c r="B840" s="33">
        <v>246.537673950195</v>
      </c>
      <c r="C840" s="33">
        <v>72.731170654296903</v>
      </c>
      <c r="D840" s="33">
        <v>74.424308776855497</v>
      </c>
      <c r="E840" s="33">
        <v>88.443336486816406</v>
      </c>
    </row>
    <row r="841" spans="1:5" ht="15" customHeight="1" x14ac:dyDescent="0.2">
      <c r="A841" s="32" t="s">
        <v>842</v>
      </c>
      <c r="B841" s="33">
        <v>249.18264770507801</v>
      </c>
      <c r="C841" s="33">
        <v>73.228828430175795</v>
      </c>
      <c r="D841" s="33">
        <v>74.488395690917997</v>
      </c>
      <c r="E841" s="33">
        <v>88.5076904296875</v>
      </c>
    </row>
    <row r="842" spans="1:5" ht="15" customHeight="1" x14ac:dyDescent="0.2">
      <c r="A842" s="32" t="s">
        <v>843</v>
      </c>
      <c r="B842" s="33">
        <v>249.40635681152301</v>
      </c>
      <c r="C842" s="33">
        <v>73.422355651855497</v>
      </c>
      <c r="D842" s="33">
        <v>75.193275451660199</v>
      </c>
      <c r="E842" s="33">
        <v>88.691589355468807</v>
      </c>
    </row>
    <row r="843" spans="1:5" ht="15" customHeight="1" x14ac:dyDescent="0.2">
      <c r="A843" s="32" t="s">
        <v>844</v>
      </c>
      <c r="B843" s="33">
        <v>249.23127746582</v>
      </c>
      <c r="C843" s="33">
        <v>73.339416503906307</v>
      </c>
      <c r="D843" s="33">
        <v>74.561614990234403</v>
      </c>
      <c r="E843" s="33">
        <v>88.5076904296875</v>
      </c>
    </row>
    <row r="844" spans="1:5" ht="15" customHeight="1" x14ac:dyDescent="0.2">
      <c r="A844" s="32" t="s">
        <v>845</v>
      </c>
      <c r="B844" s="33">
        <v>250.69964599609401</v>
      </c>
      <c r="C844" s="33">
        <v>73.901580810546903</v>
      </c>
      <c r="D844" s="33">
        <v>76.090385437011705</v>
      </c>
      <c r="E844" s="33">
        <v>88.673187255859403</v>
      </c>
    </row>
    <row r="845" spans="1:5" ht="15" customHeight="1" x14ac:dyDescent="0.2">
      <c r="A845" s="32" t="s">
        <v>846</v>
      </c>
      <c r="B845" s="33">
        <v>250.93298339843801</v>
      </c>
      <c r="C845" s="33">
        <v>74.039810180664105</v>
      </c>
      <c r="D845" s="33">
        <v>75.879844665527301</v>
      </c>
      <c r="E845" s="33">
        <v>88.489311218261705</v>
      </c>
    </row>
    <row r="846" spans="1:5" ht="15" customHeight="1" x14ac:dyDescent="0.2">
      <c r="A846" s="32" t="s">
        <v>847</v>
      </c>
      <c r="B846" s="33">
        <v>251.06915283203099</v>
      </c>
      <c r="C846" s="33">
        <v>74.039810180664105</v>
      </c>
      <c r="D846" s="33">
        <v>76.127014160156307</v>
      </c>
      <c r="E846" s="33">
        <v>88.5352783203125</v>
      </c>
    </row>
    <row r="847" spans="1:5" ht="15" customHeight="1" x14ac:dyDescent="0.2">
      <c r="A847" s="32" t="s">
        <v>848</v>
      </c>
      <c r="B847" s="33">
        <v>252.29441833496099</v>
      </c>
      <c r="C847" s="33">
        <v>74.592765808105497</v>
      </c>
      <c r="D847" s="33">
        <v>76.712875366210895</v>
      </c>
      <c r="E847" s="33">
        <v>88.774353027343807</v>
      </c>
    </row>
    <row r="848" spans="1:5" ht="15" customHeight="1" x14ac:dyDescent="0.2">
      <c r="A848" s="32" t="s">
        <v>849</v>
      </c>
      <c r="B848" s="33">
        <v>255.39645385742199</v>
      </c>
      <c r="C848" s="33">
        <v>75.385330200195298</v>
      </c>
      <c r="D848" s="33">
        <v>77.774772644042997</v>
      </c>
      <c r="E848" s="33">
        <v>89.362800598144503</v>
      </c>
    </row>
    <row r="849" spans="1:5" ht="15" customHeight="1" x14ac:dyDescent="0.2">
      <c r="A849" s="32" t="s">
        <v>850</v>
      </c>
      <c r="B849" s="33">
        <v>254.705978393555</v>
      </c>
      <c r="C849" s="33">
        <v>74.979835510253906</v>
      </c>
      <c r="D849" s="33">
        <v>77.719863891601605</v>
      </c>
      <c r="E849" s="33">
        <v>89.261650085449205</v>
      </c>
    </row>
    <row r="850" spans="1:5" ht="15" customHeight="1" x14ac:dyDescent="0.2">
      <c r="A850" s="32" t="s">
        <v>851</v>
      </c>
      <c r="B850" s="33">
        <v>255.06582641601599</v>
      </c>
      <c r="C850" s="33">
        <v>75.237869262695298</v>
      </c>
      <c r="D850" s="33">
        <v>77.710700988769503</v>
      </c>
      <c r="E850" s="33">
        <v>88.976593017578097</v>
      </c>
    </row>
    <row r="851" spans="1:5" ht="15" customHeight="1" x14ac:dyDescent="0.2">
      <c r="A851" s="32" t="s">
        <v>852</v>
      </c>
      <c r="B851" s="33">
        <v>255.328369140625</v>
      </c>
      <c r="C851" s="33">
        <v>75.293167114257798</v>
      </c>
      <c r="D851" s="33">
        <v>77.252983093261705</v>
      </c>
      <c r="E851" s="33">
        <v>88.893836975097699</v>
      </c>
    </row>
    <row r="852" spans="1:5" ht="15" customHeight="1" x14ac:dyDescent="0.2">
      <c r="A852" s="32" t="s">
        <v>853</v>
      </c>
      <c r="B852" s="33">
        <v>255.853439331055</v>
      </c>
      <c r="C852" s="33">
        <v>75.173362731933594</v>
      </c>
      <c r="D852" s="33">
        <v>77.225502014160199</v>
      </c>
      <c r="E852" s="33">
        <v>89.059379577636705</v>
      </c>
    </row>
    <row r="853" spans="1:5" ht="15" customHeight="1" x14ac:dyDescent="0.2">
      <c r="A853" s="32" t="s">
        <v>854</v>
      </c>
      <c r="B853" s="33">
        <v>254.98799133300801</v>
      </c>
      <c r="C853" s="33">
        <v>74.463752746582003</v>
      </c>
      <c r="D853" s="33">
        <v>76.529792785644503</v>
      </c>
      <c r="E853" s="33">
        <v>88.949020385742202</v>
      </c>
    </row>
    <row r="854" spans="1:5" ht="15" customHeight="1" x14ac:dyDescent="0.2">
      <c r="A854" s="32" t="s">
        <v>855</v>
      </c>
      <c r="B854" s="33">
        <v>252.81954956054699</v>
      </c>
      <c r="C854" s="33">
        <v>74.085899353027301</v>
      </c>
      <c r="D854" s="33">
        <v>74.882026672363295</v>
      </c>
      <c r="E854" s="33">
        <v>88.700782775878906</v>
      </c>
    </row>
    <row r="855" spans="1:5" ht="15" customHeight="1" x14ac:dyDescent="0.2">
      <c r="A855" s="32" t="s">
        <v>856</v>
      </c>
      <c r="B855" s="33">
        <v>254.64768981933599</v>
      </c>
      <c r="C855" s="33">
        <v>74.694137573242202</v>
      </c>
      <c r="D855" s="33">
        <v>74.936943054199205</v>
      </c>
      <c r="E855" s="33">
        <v>88.801910400390597</v>
      </c>
    </row>
    <row r="856" spans="1:5" ht="15" customHeight="1" x14ac:dyDescent="0.2">
      <c r="A856" s="32" t="s">
        <v>857</v>
      </c>
      <c r="B856" s="33">
        <v>254.64768981933599</v>
      </c>
      <c r="C856" s="33">
        <v>74.666488647460895</v>
      </c>
      <c r="D856" s="33">
        <v>74.442604064941406</v>
      </c>
      <c r="E856" s="33">
        <v>88.388160705566406</v>
      </c>
    </row>
    <row r="857" spans="1:5" ht="15" customHeight="1" x14ac:dyDescent="0.2">
      <c r="A857" s="32" t="s">
        <v>858</v>
      </c>
      <c r="B857" s="33">
        <v>252.55697631835901</v>
      </c>
      <c r="C857" s="33">
        <v>73.486869812011705</v>
      </c>
      <c r="D857" s="33">
        <v>73.719413757324205</v>
      </c>
      <c r="E857" s="33">
        <v>88.047966003417997</v>
      </c>
    </row>
    <row r="858" spans="1:5" ht="15" customHeight="1" x14ac:dyDescent="0.2">
      <c r="A858" s="32" t="s">
        <v>859</v>
      </c>
      <c r="B858" s="33">
        <v>251.322021484375</v>
      </c>
      <c r="C858" s="33">
        <v>74.104331970214801</v>
      </c>
      <c r="D858" s="33">
        <v>74.799629211425795</v>
      </c>
      <c r="E858" s="33">
        <v>88.461700439453097</v>
      </c>
    </row>
    <row r="859" spans="1:5" ht="15" customHeight="1" x14ac:dyDescent="0.2">
      <c r="A859" s="32" t="s">
        <v>860</v>
      </c>
      <c r="B859" s="33">
        <v>253.25709533691401</v>
      </c>
      <c r="C859" s="33">
        <v>74.813941955566406</v>
      </c>
      <c r="D859" s="33">
        <v>76.200233459472699</v>
      </c>
      <c r="E859" s="33">
        <v>88.746757507324205</v>
      </c>
    </row>
    <row r="860" spans="1:5" ht="15" customHeight="1" x14ac:dyDescent="0.2">
      <c r="A860" s="32" t="s">
        <v>861</v>
      </c>
      <c r="B860" s="33">
        <v>253.33486938476599</v>
      </c>
      <c r="C860" s="33">
        <v>75.025917053222699</v>
      </c>
      <c r="D860" s="33">
        <v>76.026313781738295</v>
      </c>
      <c r="E860" s="33">
        <v>89.2835693359375</v>
      </c>
    </row>
    <row r="861" spans="1:5" ht="15" customHeight="1" x14ac:dyDescent="0.2">
      <c r="A861" s="32" t="s">
        <v>862</v>
      </c>
      <c r="B861" s="33">
        <v>253.305740356445</v>
      </c>
      <c r="C861" s="33">
        <v>74.933753967285199</v>
      </c>
      <c r="D861" s="33">
        <v>76.612174987792997</v>
      </c>
      <c r="E861" s="33">
        <v>89.606369018554702</v>
      </c>
    </row>
    <row r="862" spans="1:5" ht="15" customHeight="1" x14ac:dyDescent="0.2">
      <c r="A862" s="32" t="s">
        <v>863</v>
      </c>
      <c r="B862" s="33">
        <v>256.40774536132801</v>
      </c>
      <c r="C862" s="33">
        <v>75.459045410156307</v>
      </c>
      <c r="D862" s="33">
        <v>76.520645141601605</v>
      </c>
      <c r="E862" s="33">
        <v>89.883102416992202</v>
      </c>
    </row>
    <row r="863" spans="1:5" ht="15" customHeight="1" x14ac:dyDescent="0.2">
      <c r="A863" s="32" t="s">
        <v>864</v>
      </c>
      <c r="B863" s="33">
        <v>256.18408203125</v>
      </c>
      <c r="C863" s="33">
        <v>75.717109680175795</v>
      </c>
      <c r="D863" s="33">
        <v>76.667121887207003</v>
      </c>
      <c r="E863" s="33">
        <v>89.910781860351605</v>
      </c>
    </row>
    <row r="864" spans="1:5" ht="15" customHeight="1" x14ac:dyDescent="0.2">
      <c r="A864" s="32" t="s">
        <v>865</v>
      </c>
      <c r="B864" s="33">
        <v>255.69795227050801</v>
      </c>
      <c r="C864" s="33">
        <v>74.896881103515597</v>
      </c>
      <c r="D864" s="33">
        <v>75.943916320800795</v>
      </c>
      <c r="E864" s="33">
        <v>89.117530822753906</v>
      </c>
    </row>
    <row r="865" spans="1:5" ht="15" customHeight="1" x14ac:dyDescent="0.2">
      <c r="A865" s="32" t="s">
        <v>866</v>
      </c>
      <c r="B865" s="33">
        <v>256.55361938476602</v>
      </c>
      <c r="C865" s="33">
        <v>74.841590881347699</v>
      </c>
      <c r="D865" s="33">
        <v>76.200233459472699</v>
      </c>
      <c r="E865" s="33">
        <v>89.043769836425795</v>
      </c>
    </row>
    <row r="866" spans="1:5" ht="15" customHeight="1" x14ac:dyDescent="0.2">
      <c r="A866" s="32" t="s">
        <v>867</v>
      </c>
      <c r="B866" s="33">
        <v>256.9912109375</v>
      </c>
      <c r="C866" s="33">
        <v>73.991127014160199</v>
      </c>
      <c r="D866" s="33">
        <v>75.925613403320298</v>
      </c>
      <c r="E866" s="33">
        <v>89.348129272460895</v>
      </c>
    </row>
    <row r="867" spans="1:5" ht="15" customHeight="1" x14ac:dyDescent="0.2">
      <c r="A867" s="32" t="s">
        <v>868</v>
      </c>
      <c r="B867" s="33">
        <v>259.41247558593801</v>
      </c>
      <c r="C867" s="33">
        <v>74.8631591796875</v>
      </c>
      <c r="D867" s="33">
        <v>76.603034973144503</v>
      </c>
      <c r="E867" s="33">
        <v>89.772399902343807</v>
      </c>
    </row>
    <row r="868" spans="1:5" ht="15" customHeight="1" x14ac:dyDescent="0.2">
      <c r="A868" s="32" t="s">
        <v>869</v>
      </c>
      <c r="B868" s="33">
        <v>259.52920532226602</v>
      </c>
      <c r="C868" s="33">
        <v>73.794219970703097</v>
      </c>
      <c r="D868" s="33">
        <v>76.914268493652301</v>
      </c>
      <c r="E868" s="33">
        <v>90.224372863769503</v>
      </c>
    </row>
    <row r="869" spans="1:5" ht="15" customHeight="1" x14ac:dyDescent="0.2">
      <c r="A869" s="32" t="s">
        <v>870</v>
      </c>
      <c r="B869" s="33">
        <v>259.33474731445301</v>
      </c>
      <c r="C869" s="33">
        <v>72.978454589843807</v>
      </c>
      <c r="D869" s="33">
        <v>76.895957946777301</v>
      </c>
      <c r="E869" s="33">
        <v>90.316581726074205</v>
      </c>
    </row>
    <row r="870" spans="1:5" ht="15" customHeight="1" x14ac:dyDescent="0.2">
      <c r="A870" s="32" t="s">
        <v>871</v>
      </c>
      <c r="B870" s="33">
        <v>261.30874633789102</v>
      </c>
      <c r="C870" s="33">
        <v>73.269126892089801</v>
      </c>
      <c r="D870" s="33">
        <v>76.5938720703125</v>
      </c>
      <c r="E870" s="33">
        <v>89.9937744140625</v>
      </c>
    </row>
    <row r="871" spans="1:5" ht="15" customHeight="1" x14ac:dyDescent="0.2">
      <c r="A871" s="32" t="s">
        <v>872</v>
      </c>
      <c r="B871" s="33">
        <v>261.97000122070301</v>
      </c>
      <c r="C871" s="33">
        <v>73.559799194335895</v>
      </c>
      <c r="D871" s="33">
        <v>76.895957946777301</v>
      </c>
      <c r="E871" s="33">
        <v>90.316581726074205</v>
      </c>
    </row>
    <row r="872" spans="1:5" ht="15" customHeight="1" x14ac:dyDescent="0.2">
      <c r="A872" s="32" t="s">
        <v>873</v>
      </c>
      <c r="B872" s="33">
        <v>261.30874633789102</v>
      </c>
      <c r="C872" s="33">
        <v>73.606697082519503</v>
      </c>
      <c r="D872" s="33">
        <v>76.676254272460895</v>
      </c>
      <c r="E872" s="33">
        <v>90.1597900390625</v>
      </c>
    </row>
    <row r="873" spans="1:5" ht="15" customHeight="1" x14ac:dyDescent="0.2">
      <c r="A873" s="32" t="s">
        <v>874</v>
      </c>
      <c r="B873" s="33">
        <v>260.91006469726602</v>
      </c>
      <c r="C873" s="33">
        <v>73.090972900390597</v>
      </c>
      <c r="D873" s="33">
        <v>76.868492126464801</v>
      </c>
      <c r="E873" s="33">
        <v>90.169029235839801</v>
      </c>
    </row>
    <row r="874" spans="1:5" ht="15" customHeight="1" x14ac:dyDescent="0.2">
      <c r="A874" s="32" t="s">
        <v>875</v>
      </c>
      <c r="B874" s="33">
        <v>260.47247314453102</v>
      </c>
      <c r="C874" s="33">
        <v>73.672325134277301</v>
      </c>
      <c r="D874" s="33">
        <v>77.463539123535199</v>
      </c>
      <c r="E874" s="33">
        <v>90.2427978515625</v>
      </c>
    </row>
    <row r="875" spans="1:5" ht="15" customHeight="1" x14ac:dyDescent="0.2">
      <c r="A875" s="32" t="s">
        <v>876</v>
      </c>
      <c r="B875" s="33">
        <v>261.32815551757801</v>
      </c>
      <c r="C875" s="33">
        <v>73.850479125976605</v>
      </c>
      <c r="D875" s="33">
        <v>76.511482238769503</v>
      </c>
      <c r="E875" s="33">
        <v>90.233581542968807</v>
      </c>
    </row>
    <row r="876" spans="1:5" ht="15" customHeight="1" x14ac:dyDescent="0.2">
      <c r="A876" s="32" t="s">
        <v>877</v>
      </c>
      <c r="B876" s="33">
        <v>261.31845092773398</v>
      </c>
      <c r="C876" s="33">
        <v>73.306632995605497</v>
      </c>
      <c r="D876" s="33">
        <v>76.273475646972699</v>
      </c>
      <c r="E876" s="33">
        <v>89.827735900878906</v>
      </c>
    </row>
    <row r="877" spans="1:5" ht="15" customHeight="1" x14ac:dyDescent="0.2">
      <c r="A877" s="32" t="s">
        <v>878</v>
      </c>
      <c r="B877" s="33">
        <v>261.95056152343801</v>
      </c>
      <c r="C877" s="33">
        <v>73.362892150878906</v>
      </c>
      <c r="D877" s="33">
        <v>77.014961242675795</v>
      </c>
      <c r="E877" s="33">
        <v>89.975318908691406</v>
      </c>
    </row>
    <row r="878" spans="1:5" ht="15" customHeight="1" x14ac:dyDescent="0.2">
      <c r="A878" s="32" t="s">
        <v>879</v>
      </c>
      <c r="B878" s="33">
        <v>261.0546875</v>
      </c>
      <c r="C878" s="33">
        <v>73.447288513183594</v>
      </c>
      <c r="D878" s="33">
        <v>77.629440307617202</v>
      </c>
      <c r="E878" s="33">
        <v>89.5325927734375</v>
      </c>
    </row>
    <row r="879" spans="1:5" ht="15" customHeight="1" x14ac:dyDescent="0.2">
      <c r="A879" s="32" t="s">
        <v>880</v>
      </c>
      <c r="B879" s="33">
        <v>261.58163452148398</v>
      </c>
      <c r="C879" s="33">
        <v>73.578559875488295</v>
      </c>
      <c r="D879" s="33">
        <v>76.897262573242202</v>
      </c>
      <c r="E879" s="33">
        <v>89.052413940429702</v>
      </c>
    </row>
    <row r="880" spans="1:5" ht="15" customHeight="1" x14ac:dyDescent="0.2">
      <c r="A880" s="32" t="s">
        <v>881</v>
      </c>
      <c r="B880" s="33">
        <v>263.09426879882801</v>
      </c>
      <c r="C880" s="33">
        <v>73.756721496582003</v>
      </c>
      <c r="D880" s="33">
        <v>77.258712768554702</v>
      </c>
      <c r="E880" s="33">
        <v>89.348480224609403</v>
      </c>
    </row>
    <row r="881" spans="1:5" ht="15" customHeight="1" x14ac:dyDescent="0.2">
      <c r="A881" s="32" t="s">
        <v>882</v>
      </c>
      <c r="B881" s="33">
        <v>264.17745971679699</v>
      </c>
      <c r="C881" s="33">
        <v>74.600616455078097</v>
      </c>
      <c r="D881" s="33">
        <v>77.184562683105497</v>
      </c>
      <c r="E881" s="33">
        <v>89.829574584960895</v>
      </c>
    </row>
    <row r="882" spans="1:5" ht="15" customHeight="1" x14ac:dyDescent="0.2">
      <c r="A882" s="32" t="s">
        <v>883</v>
      </c>
      <c r="B882" s="33">
        <v>265.55349731445301</v>
      </c>
      <c r="C882" s="33">
        <v>75.097572326660199</v>
      </c>
      <c r="D882" s="33">
        <v>77.397743225097699</v>
      </c>
      <c r="E882" s="33">
        <v>90.282936096191406</v>
      </c>
    </row>
    <row r="883" spans="1:5" ht="15" customHeight="1" x14ac:dyDescent="0.2">
      <c r="A883" s="32" t="s">
        <v>884</v>
      </c>
      <c r="B883" s="33">
        <v>265.91452026367199</v>
      </c>
      <c r="C883" s="33">
        <v>74.722518920898395</v>
      </c>
      <c r="D883" s="33">
        <v>77.647979736328097</v>
      </c>
      <c r="E883" s="33">
        <v>90.310691833496094</v>
      </c>
    </row>
    <row r="884" spans="1:5" ht="15" customHeight="1" x14ac:dyDescent="0.2">
      <c r="A884" s="32" t="s">
        <v>885</v>
      </c>
      <c r="B884" s="33">
        <v>265.84619140625</v>
      </c>
      <c r="C884" s="33">
        <v>74.422470092773395</v>
      </c>
      <c r="D884" s="33">
        <v>77.629440307617202</v>
      </c>
      <c r="E884" s="33">
        <v>90.227432250976605</v>
      </c>
    </row>
    <row r="885" spans="1:5" ht="15" customHeight="1" x14ac:dyDescent="0.2">
      <c r="A885" s="32" t="s">
        <v>886</v>
      </c>
      <c r="B885" s="33">
        <v>268.42248535156301</v>
      </c>
      <c r="C885" s="33">
        <v>75.472640991210895</v>
      </c>
      <c r="D885" s="33">
        <v>78.204055786132798</v>
      </c>
      <c r="E885" s="33">
        <v>90.319961547851605</v>
      </c>
    </row>
    <row r="886" spans="1:5" ht="15" customHeight="1" x14ac:dyDescent="0.2">
      <c r="A886" s="32" t="s">
        <v>887</v>
      </c>
      <c r="B886" s="33">
        <v>267.22216796875</v>
      </c>
      <c r="C886" s="33">
        <v>75.688308715820298</v>
      </c>
      <c r="D886" s="33">
        <v>80.446937561035199</v>
      </c>
      <c r="E886" s="33">
        <v>90.782569885253906</v>
      </c>
    </row>
    <row r="887" spans="1:5" ht="15" customHeight="1" x14ac:dyDescent="0.2">
      <c r="A887" s="32" t="s">
        <v>888</v>
      </c>
      <c r="B887" s="33">
        <v>268.988525390625</v>
      </c>
      <c r="C887" s="33">
        <v>76.494705200195298</v>
      </c>
      <c r="D887" s="33">
        <v>81.058631896972699</v>
      </c>
      <c r="E887" s="33">
        <v>91.0323486328125</v>
      </c>
    </row>
    <row r="888" spans="1:5" ht="15" customHeight="1" x14ac:dyDescent="0.2">
      <c r="A888" s="32" t="s">
        <v>889</v>
      </c>
      <c r="B888" s="33">
        <v>270.14001464843801</v>
      </c>
      <c r="C888" s="33">
        <v>75.819580078125</v>
      </c>
      <c r="D888" s="33">
        <v>81.605453491210895</v>
      </c>
      <c r="E888" s="33">
        <v>90.717796325683594</v>
      </c>
    </row>
    <row r="889" spans="1:5" ht="15" customHeight="1" x14ac:dyDescent="0.2">
      <c r="A889" s="32" t="s">
        <v>890</v>
      </c>
      <c r="B889" s="33">
        <v>272.36502075195301</v>
      </c>
      <c r="C889" s="33">
        <v>76.185264587402301</v>
      </c>
      <c r="D889" s="33">
        <v>82.606391906738295</v>
      </c>
      <c r="E889" s="33">
        <v>91.087890625</v>
      </c>
    </row>
    <row r="890" spans="1:5" ht="15" customHeight="1" x14ac:dyDescent="0.2">
      <c r="A890" s="32" t="s">
        <v>891</v>
      </c>
      <c r="B890" s="33">
        <v>268.52011108398398</v>
      </c>
      <c r="C890" s="33">
        <v>75.782081604003906</v>
      </c>
      <c r="D890" s="33">
        <v>83.1717529296875</v>
      </c>
      <c r="E890" s="33">
        <v>91.152641296386705</v>
      </c>
    </row>
    <row r="891" spans="1:5" ht="15" customHeight="1" x14ac:dyDescent="0.2">
      <c r="A891" s="32" t="s">
        <v>892</v>
      </c>
      <c r="B891" s="33">
        <v>266.17800903320301</v>
      </c>
      <c r="C891" s="33">
        <v>75.031936645507798</v>
      </c>
      <c r="D891" s="33">
        <v>82.439567565917997</v>
      </c>
      <c r="E891" s="33">
        <v>90.902854919433594</v>
      </c>
    </row>
    <row r="892" spans="1:5" ht="15" customHeight="1" x14ac:dyDescent="0.2">
      <c r="A892" s="32" t="s">
        <v>893</v>
      </c>
      <c r="B892" s="33">
        <v>264.51901245117199</v>
      </c>
      <c r="C892" s="33">
        <v>74.572486877441406</v>
      </c>
      <c r="D892" s="33">
        <v>82.291290283203097</v>
      </c>
      <c r="E892" s="33">
        <v>90.717796325683594</v>
      </c>
    </row>
    <row r="893" spans="1:5" ht="15" customHeight="1" x14ac:dyDescent="0.2">
      <c r="A893" s="32" t="s">
        <v>894</v>
      </c>
      <c r="B893" s="33">
        <v>267.28079223632801</v>
      </c>
      <c r="C893" s="33">
        <v>75.360130310058594</v>
      </c>
      <c r="D893" s="33">
        <v>83.143951416015597</v>
      </c>
      <c r="E893" s="33">
        <v>90.680809020996094</v>
      </c>
    </row>
    <row r="894" spans="1:5" ht="15" customHeight="1" x14ac:dyDescent="0.2">
      <c r="A894" s="32" t="s">
        <v>895</v>
      </c>
      <c r="B894" s="33">
        <v>267.08557128906301</v>
      </c>
      <c r="C894" s="33">
        <v>74.938171386718807</v>
      </c>
      <c r="D894" s="33">
        <v>83.079071044921903</v>
      </c>
      <c r="E894" s="33">
        <v>90.671554565429702</v>
      </c>
    </row>
    <row r="895" spans="1:5" ht="15" customHeight="1" x14ac:dyDescent="0.2">
      <c r="A895" s="32" t="s">
        <v>896</v>
      </c>
      <c r="B895" s="33">
        <v>261.07418823242199</v>
      </c>
      <c r="C895" s="33">
        <v>73.991127014160199</v>
      </c>
      <c r="D895" s="33">
        <v>81.855690002441406</v>
      </c>
      <c r="E895" s="33">
        <v>90.393959045410199</v>
      </c>
    </row>
    <row r="896" spans="1:5" ht="15" customHeight="1" x14ac:dyDescent="0.2">
      <c r="A896" s="32" t="s">
        <v>897</v>
      </c>
      <c r="B896" s="33">
        <v>260.069091796875</v>
      </c>
      <c r="C896" s="33">
        <v>73.522300720214801</v>
      </c>
      <c r="D896" s="33">
        <v>81.586906433105497</v>
      </c>
      <c r="E896" s="33">
        <v>90.643775939941406</v>
      </c>
    </row>
    <row r="897" spans="1:5" ht="15" customHeight="1" x14ac:dyDescent="0.2">
      <c r="A897" s="32" t="s">
        <v>898</v>
      </c>
      <c r="B897" s="33">
        <v>263.18206787109398</v>
      </c>
      <c r="C897" s="33">
        <v>74.459976196289105</v>
      </c>
      <c r="D897" s="33">
        <v>83.014205932617202</v>
      </c>
      <c r="E897" s="33">
        <v>90.967620849609403</v>
      </c>
    </row>
    <row r="898" spans="1:5" ht="15" customHeight="1" x14ac:dyDescent="0.2">
      <c r="A898" s="32" t="s">
        <v>899</v>
      </c>
      <c r="B898" s="33">
        <v>263.20162963867199</v>
      </c>
      <c r="C898" s="33">
        <v>74.131790161132798</v>
      </c>
      <c r="D898" s="33">
        <v>83.440528869628906</v>
      </c>
      <c r="E898" s="33">
        <v>91.115638732910199</v>
      </c>
    </row>
    <row r="899" spans="1:5" ht="15" customHeight="1" x14ac:dyDescent="0.2">
      <c r="A899" s="32" t="s">
        <v>900</v>
      </c>
      <c r="B899" s="33">
        <v>262.10861206054699</v>
      </c>
      <c r="C899" s="33">
        <v>74.300559997558594</v>
      </c>
      <c r="D899" s="33">
        <v>84.089302062988295</v>
      </c>
      <c r="E899" s="33">
        <v>91.208175659179702</v>
      </c>
    </row>
    <row r="900" spans="1:5" ht="15" customHeight="1" x14ac:dyDescent="0.2">
      <c r="A900" s="32" t="s">
        <v>901</v>
      </c>
      <c r="B900" s="33">
        <v>265.99258422851602</v>
      </c>
      <c r="C900" s="33">
        <v>75.350746154785199</v>
      </c>
      <c r="D900" s="33">
        <v>83.792716979980497</v>
      </c>
      <c r="E900" s="33">
        <v>91.698539733886705</v>
      </c>
    </row>
    <row r="901" spans="1:5" ht="15" customHeight="1" x14ac:dyDescent="0.2">
      <c r="A901" s="32" t="s">
        <v>902</v>
      </c>
      <c r="B901" s="33">
        <v>261.82559204101602</v>
      </c>
      <c r="C901" s="33">
        <v>73.353530883789105</v>
      </c>
      <c r="D901" s="33">
        <v>84.636123657226605</v>
      </c>
      <c r="E901" s="33">
        <v>92.082771301269503</v>
      </c>
    </row>
    <row r="902" spans="1:5" ht="15" customHeight="1" x14ac:dyDescent="0.2">
      <c r="A902" s="32" t="s">
        <v>903</v>
      </c>
      <c r="B902" s="33">
        <v>256.55593872070301</v>
      </c>
      <c r="C902" s="33">
        <v>72.2001953125</v>
      </c>
      <c r="D902" s="33">
        <v>84.589775085449205</v>
      </c>
      <c r="E902" s="33">
        <v>93.112930297851605</v>
      </c>
    </row>
    <row r="903" spans="1:5" ht="15" customHeight="1" x14ac:dyDescent="0.2">
      <c r="A903" s="32" t="s">
        <v>904</v>
      </c>
      <c r="B903" s="33">
        <v>249.022216796875</v>
      </c>
      <c r="C903" s="33">
        <v>70.624923706054702</v>
      </c>
      <c r="D903" s="33">
        <v>82.170806884765597</v>
      </c>
      <c r="E903" s="33">
        <v>93.038681030273395</v>
      </c>
    </row>
    <row r="904" spans="1:5" ht="15" customHeight="1" x14ac:dyDescent="0.2">
      <c r="A904" s="32" t="s">
        <v>905</v>
      </c>
      <c r="B904" s="33">
        <v>251.549728393555</v>
      </c>
      <c r="C904" s="33">
        <v>70.746810913085895</v>
      </c>
      <c r="D904" s="33">
        <v>83.792716979980497</v>
      </c>
      <c r="E904" s="33">
        <v>92.481819152832102</v>
      </c>
    </row>
    <row r="905" spans="1:5" ht="15" customHeight="1" x14ac:dyDescent="0.2">
      <c r="A905" s="32" t="s">
        <v>906</v>
      </c>
      <c r="B905" s="33">
        <v>249.62727355957</v>
      </c>
      <c r="C905" s="33">
        <v>71.084373474121094</v>
      </c>
      <c r="D905" s="33">
        <v>83.218093872070298</v>
      </c>
      <c r="E905" s="33">
        <v>92.203392028808594</v>
      </c>
    </row>
    <row r="906" spans="1:5" ht="15" customHeight="1" x14ac:dyDescent="0.2">
      <c r="A906" s="32" t="s">
        <v>907</v>
      </c>
      <c r="B906" s="33">
        <v>255.47271728515599</v>
      </c>
      <c r="C906" s="33">
        <v>72.275215148925795</v>
      </c>
      <c r="D906" s="33">
        <v>84.033676147460895</v>
      </c>
      <c r="E906" s="33">
        <v>92.064193725585895</v>
      </c>
    </row>
    <row r="907" spans="1:5" ht="15" customHeight="1" x14ac:dyDescent="0.2">
      <c r="A907" s="32" t="s">
        <v>908</v>
      </c>
      <c r="B907" s="33">
        <v>256.57546997070301</v>
      </c>
      <c r="C907" s="33">
        <v>72.556503295898395</v>
      </c>
      <c r="D907" s="33">
        <v>84.422950744628906</v>
      </c>
      <c r="E907" s="33">
        <v>92.3890380859375</v>
      </c>
    </row>
    <row r="908" spans="1:5" ht="15" customHeight="1" x14ac:dyDescent="0.2">
      <c r="A908" s="32" t="s">
        <v>909</v>
      </c>
      <c r="B908" s="33">
        <v>256.40957641601602</v>
      </c>
      <c r="C908" s="33">
        <v>72.490867614746094</v>
      </c>
      <c r="D908" s="33">
        <v>83.801986694335895</v>
      </c>
      <c r="E908" s="33">
        <v>92.546798706054702</v>
      </c>
    </row>
    <row r="909" spans="1:5" ht="15" customHeight="1" x14ac:dyDescent="0.2">
      <c r="A909" s="32" t="s">
        <v>910</v>
      </c>
      <c r="B909" s="33">
        <v>260.67410278320301</v>
      </c>
      <c r="C909" s="33">
        <v>73.737968444824205</v>
      </c>
      <c r="D909" s="33">
        <v>84.534172058105497</v>
      </c>
      <c r="E909" s="33">
        <v>92.918014526367202</v>
      </c>
    </row>
    <row r="910" spans="1:5" ht="15" customHeight="1" x14ac:dyDescent="0.2">
      <c r="A910" s="32" t="s">
        <v>911</v>
      </c>
      <c r="B910" s="33">
        <v>261.415771484375</v>
      </c>
      <c r="C910" s="33">
        <v>74.009895324707003</v>
      </c>
      <c r="D910" s="33">
        <v>84.756591796875</v>
      </c>
      <c r="E910" s="33">
        <v>93.085067749023395</v>
      </c>
    </row>
    <row r="911" spans="1:5" ht="15" customHeight="1" x14ac:dyDescent="0.2">
      <c r="A911" s="32" t="s">
        <v>912</v>
      </c>
      <c r="B911" s="33">
        <v>265.94378662109398</v>
      </c>
      <c r="C911" s="33">
        <v>74.910041809082003</v>
      </c>
      <c r="D911" s="33">
        <v>84.691711425781307</v>
      </c>
      <c r="E911" s="33">
        <v>92.695281982421903</v>
      </c>
    </row>
    <row r="912" spans="1:5" ht="15" customHeight="1" x14ac:dyDescent="0.2">
      <c r="A912" s="32" t="s">
        <v>913</v>
      </c>
      <c r="B912" s="33">
        <v>266.578125</v>
      </c>
      <c r="C912" s="33">
        <v>75.322616577148395</v>
      </c>
      <c r="D912" s="33">
        <v>84.6453857421875</v>
      </c>
      <c r="E912" s="33">
        <v>92.918014526367202</v>
      </c>
    </row>
    <row r="913" spans="1:5" ht="15" customHeight="1" x14ac:dyDescent="0.2">
      <c r="A913" s="32" t="s">
        <v>914</v>
      </c>
      <c r="B913" s="33">
        <v>269.09582519531301</v>
      </c>
      <c r="C913" s="33">
        <v>76.241523742675795</v>
      </c>
      <c r="D913" s="33">
        <v>85.349761962890597</v>
      </c>
      <c r="E913" s="33">
        <v>93.020103454589801</v>
      </c>
    </row>
    <row r="914" spans="1:5" ht="15" customHeight="1" x14ac:dyDescent="0.2">
      <c r="A914" s="32" t="s">
        <v>915</v>
      </c>
      <c r="B914" s="33">
        <v>268.44198608398398</v>
      </c>
      <c r="C914" s="33">
        <v>76.007110595703097</v>
      </c>
      <c r="D914" s="33">
        <v>85.247810363769503</v>
      </c>
      <c r="E914" s="33">
        <v>93.298522949218807</v>
      </c>
    </row>
    <row r="915" spans="1:5" ht="15" customHeight="1" x14ac:dyDescent="0.2">
      <c r="A915" s="32" t="s">
        <v>916</v>
      </c>
      <c r="B915" s="33">
        <v>269.78869628906301</v>
      </c>
      <c r="C915" s="33">
        <v>76.710357666015597</v>
      </c>
      <c r="D915" s="33">
        <v>85.701934814453097</v>
      </c>
      <c r="E915" s="33">
        <v>93.474845886230497</v>
      </c>
    </row>
    <row r="916" spans="1:5" ht="15" customHeight="1" x14ac:dyDescent="0.2">
      <c r="A916" s="32" t="s">
        <v>917</v>
      </c>
      <c r="B916" s="33">
        <v>267.50518798828102</v>
      </c>
      <c r="C916" s="33">
        <v>76.260284423828097</v>
      </c>
      <c r="D916" s="33">
        <v>85.952178955078097</v>
      </c>
      <c r="E916" s="33">
        <v>93.094352722167997</v>
      </c>
    </row>
    <row r="917" spans="1:5" ht="15" customHeight="1" x14ac:dyDescent="0.2">
      <c r="A917" s="32" t="s">
        <v>918</v>
      </c>
      <c r="B917" s="33">
        <v>270.89144897460898</v>
      </c>
      <c r="C917" s="33">
        <v>77.657394409179702</v>
      </c>
      <c r="D917" s="33">
        <v>87.842864990234403</v>
      </c>
      <c r="E917" s="33">
        <v>93.521255493164105</v>
      </c>
    </row>
    <row r="918" spans="1:5" ht="15" customHeight="1" x14ac:dyDescent="0.2">
      <c r="A918" s="32" t="s">
        <v>919</v>
      </c>
      <c r="B918" s="33">
        <v>270.20837402343801</v>
      </c>
      <c r="C918" s="33">
        <v>77.310470581054702</v>
      </c>
      <c r="D918" s="33">
        <v>87.805793762207003</v>
      </c>
      <c r="E918" s="33">
        <v>93.437728881835895</v>
      </c>
    </row>
    <row r="919" spans="1:5" ht="15" customHeight="1" x14ac:dyDescent="0.2">
      <c r="A919" s="32" t="s">
        <v>920</v>
      </c>
      <c r="B919" s="33">
        <v>270.45230102539102</v>
      </c>
      <c r="C919" s="33">
        <v>77.666793823242202</v>
      </c>
      <c r="D919" s="33">
        <v>87.935546875</v>
      </c>
      <c r="E919" s="33">
        <v>93.465568542480497</v>
      </c>
    </row>
    <row r="920" spans="1:5" ht="15" customHeight="1" x14ac:dyDescent="0.2">
      <c r="A920" s="32" t="s">
        <v>921</v>
      </c>
      <c r="B920" s="33">
        <v>268.80313110351602</v>
      </c>
      <c r="C920" s="33">
        <v>77.394859313964801</v>
      </c>
      <c r="D920" s="33">
        <v>87.592636108398395</v>
      </c>
      <c r="E920" s="33">
        <v>93.382034301757798</v>
      </c>
    </row>
    <row r="921" spans="1:5" ht="15" customHeight="1" x14ac:dyDescent="0.2">
      <c r="A921" s="32" t="s">
        <v>922</v>
      </c>
      <c r="B921" s="33">
        <v>269.06658935546898</v>
      </c>
      <c r="C921" s="33">
        <v>77.685531616210895</v>
      </c>
      <c r="D921" s="33">
        <v>87.323844909667997</v>
      </c>
      <c r="E921" s="33">
        <v>93.261405944824205</v>
      </c>
    </row>
    <row r="922" spans="1:5" ht="15" customHeight="1" x14ac:dyDescent="0.2">
      <c r="A922" s="32" t="s">
        <v>923</v>
      </c>
      <c r="B922" s="33">
        <v>271.66238403320301</v>
      </c>
      <c r="C922" s="33">
        <v>77.807434082031307</v>
      </c>
      <c r="D922" s="33">
        <v>88.167251586914105</v>
      </c>
      <c r="E922" s="33">
        <v>93.038681030273395</v>
      </c>
    </row>
    <row r="923" spans="1:5" ht="15" customHeight="1" x14ac:dyDescent="0.2">
      <c r="A923" s="32" t="s">
        <v>924</v>
      </c>
      <c r="B923" s="33">
        <v>265.81695556640602</v>
      </c>
      <c r="C923" s="33">
        <v>76.579086303710895</v>
      </c>
      <c r="D923" s="33">
        <v>88.120910644531307</v>
      </c>
      <c r="E923" s="33">
        <v>93.4315185546875</v>
      </c>
    </row>
    <row r="924" spans="1:5" ht="15" customHeight="1" x14ac:dyDescent="0.2">
      <c r="A924" s="32" t="s">
        <v>925</v>
      </c>
      <c r="B924" s="33">
        <v>265.2216796875</v>
      </c>
      <c r="C924" s="33">
        <v>76.241523742675795</v>
      </c>
      <c r="D924" s="33">
        <v>88.371139526367202</v>
      </c>
      <c r="E924" s="33">
        <v>93.841148376464801</v>
      </c>
    </row>
    <row r="925" spans="1:5" ht="15" customHeight="1" x14ac:dyDescent="0.2">
      <c r="A925" s="32" t="s">
        <v>926</v>
      </c>
      <c r="B925" s="33">
        <v>264.40194702148398</v>
      </c>
      <c r="C925" s="33">
        <v>76.260284423828097</v>
      </c>
      <c r="D925" s="33">
        <v>88.083839416503906</v>
      </c>
      <c r="E925" s="33">
        <v>94.083198547363295</v>
      </c>
    </row>
    <row r="926" spans="1:5" ht="15" customHeight="1" x14ac:dyDescent="0.2">
      <c r="A926" s="32" t="s">
        <v>927</v>
      </c>
      <c r="B926" s="33">
        <v>260.010498046875</v>
      </c>
      <c r="C926" s="33">
        <v>74.825668334960895</v>
      </c>
      <c r="D926" s="33">
        <v>88.000427246093807</v>
      </c>
      <c r="E926" s="33">
        <v>94.204231262207102</v>
      </c>
    </row>
    <row r="927" spans="1:5" ht="15" customHeight="1" x14ac:dyDescent="0.2">
      <c r="A927" s="32" t="s">
        <v>928</v>
      </c>
      <c r="B927" s="33">
        <v>262.79177856445301</v>
      </c>
      <c r="C927" s="33">
        <v>75.575782775878906</v>
      </c>
      <c r="D927" s="33">
        <v>88.982833862304702</v>
      </c>
      <c r="E927" s="33">
        <v>94.343879699707102</v>
      </c>
    </row>
    <row r="928" spans="1:5" ht="15" customHeight="1" x14ac:dyDescent="0.2">
      <c r="A928" s="32" t="s">
        <v>929</v>
      </c>
      <c r="B928" s="33">
        <v>263.81640625</v>
      </c>
      <c r="C928" s="33">
        <v>75.200714111328097</v>
      </c>
      <c r="D928" s="33">
        <v>90.271110534667997</v>
      </c>
      <c r="E928" s="33">
        <v>94.632461547851605</v>
      </c>
    </row>
    <row r="929" spans="1:5" ht="15" customHeight="1" x14ac:dyDescent="0.2">
      <c r="A929" s="32" t="s">
        <v>930</v>
      </c>
      <c r="B929" s="33">
        <v>266.44143676757801</v>
      </c>
      <c r="C929" s="33">
        <v>75.650802612304702</v>
      </c>
      <c r="D929" s="33">
        <v>90.095016479492202</v>
      </c>
      <c r="E929" s="33">
        <v>94.604522705078097</v>
      </c>
    </row>
    <row r="930" spans="1:5" ht="15" customHeight="1" x14ac:dyDescent="0.2">
      <c r="A930" s="32" t="s">
        <v>931</v>
      </c>
      <c r="B930" s="33">
        <v>268.65667724609398</v>
      </c>
      <c r="C930" s="33">
        <v>76.2696533203125</v>
      </c>
      <c r="D930" s="33">
        <v>90.475006103515597</v>
      </c>
      <c r="E930" s="33">
        <v>94.520759582519503</v>
      </c>
    </row>
    <row r="931" spans="1:5" ht="15" customHeight="1" x14ac:dyDescent="0.2">
      <c r="A931" s="32" t="s">
        <v>932</v>
      </c>
      <c r="B931" s="33">
        <v>270.53039550781301</v>
      </c>
      <c r="C931" s="33">
        <v>76.447814941406307</v>
      </c>
      <c r="D931" s="33">
        <v>91.420349121093807</v>
      </c>
      <c r="E931" s="33">
        <v>94.716262817382798</v>
      </c>
    </row>
    <row r="932" spans="1:5" ht="15" customHeight="1" x14ac:dyDescent="0.2">
      <c r="A932" s="32" t="s">
        <v>933</v>
      </c>
      <c r="B932" s="33">
        <v>271.06710815429699</v>
      </c>
      <c r="C932" s="33">
        <v>77.066673278808594</v>
      </c>
      <c r="D932" s="33">
        <v>91.726188659667997</v>
      </c>
      <c r="E932" s="33">
        <v>94.939697265625</v>
      </c>
    </row>
    <row r="933" spans="1:5" ht="15" customHeight="1" x14ac:dyDescent="0.2">
      <c r="A933" s="32" t="s">
        <v>934</v>
      </c>
      <c r="B933" s="33">
        <v>271.34033203125</v>
      </c>
      <c r="C933" s="33">
        <v>76.635353088378906</v>
      </c>
      <c r="D933" s="33">
        <v>91.086700439453097</v>
      </c>
      <c r="E933" s="33">
        <v>94.846572875976605</v>
      </c>
    </row>
    <row r="934" spans="1:5" ht="15" customHeight="1" x14ac:dyDescent="0.2">
      <c r="A934" s="32" t="s">
        <v>935</v>
      </c>
      <c r="B934" s="33">
        <v>270.6572265625</v>
      </c>
      <c r="C934" s="33">
        <v>76.391555786132798</v>
      </c>
      <c r="D934" s="33">
        <v>90.975479125976605</v>
      </c>
      <c r="E934" s="33">
        <v>94.548683166503906</v>
      </c>
    </row>
    <row r="935" spans="1:5" ht="15" customHeight="1" x14ac:dyDescent="0.2">
      <c r="A935" s="32" t="s">
        <v>936</v>
      </c>
      <c r="B935" s="33">
        <v>275.24383544921898</v>
      </c>
      <c r="C935" s="33">
        <v>77.901199340820298</v>
      </c>
      <c r="D935" s="33">
        <v>90.9940185546875</v>
      </c>
      <c r="E935" s="33">
        <v>94.557998657226605</v>
      </c>
    </row>
    <row r="936" spans="1:5" ht="15" customHeight="1" x14ac:dyDescent="0.2">
      <c r="A936" s="32" t="s">
        <v>937</v>
      </c>
      <c r="B936" s="33">
        <v>274.66802978515602</v>
      </c>
      <c r="C936" s="33">
        <v>77.132316589355497</v>
      </c>
      <c r="D936" s="33">
        <v>90.632553100585895</v>
      </c>
      <c r="E936" s="33">
        <v>94.474205017089801</v>
      </c>
    </row>
    <row r="937" spans="1:5" ht="15" customHeight="1" x14ac:dyDescent="0.2">
      <c r="A937" s="32" t="s">
        <v>938</v>
      </c>
      <c r="B937" s="33">
        <v>275.35119628906301</v>
      </c>
      <c r="C937" s="33">
        <v>77.422988891601605</v>
      </c>
      <c r="D937" s="33">
        <v>91.531562805175795</v>
      </c>
      <c r="E937" s="33">
        <v>94.436981201171903</v>
      </c>
    </row>
    <row r="938" spans="1:5" ht="15" customHeight="1" x14ac:dyDescent="0.2">
      <c r="A938" s="32" t="s">
        <v>939</v>
      </c>
      <c r="B938" s="33">
        <v>276.04403686523398</v>
      </c>
      <c r="C938" s="33">
        <v>77.882431030273395</v>
      </c>
      <c r="D938" s="33">
        <v>91.661315917968807</v>
      </c>
      <c r="E938" s="33">
        <v>94.567298889160199</v>
      </c>
    </row>
    <row r="939" spans="1:5" ht="15" customHeight="1" x14ac:dyDescent="0.2">
      <c r="A939" s="32" t="s">
        <v>940</v>
      </c>
      <c r="B939" s="33">
        <v>275.13644409179699</v>
      </c>
      <c r="C939" s="33">
        <v>77.460494995117202</v>
      </c>
      <c r="D939" s="33">
        <v>91.049629211425795</v>
      </c>
      <c r="E939" s="33">
        <v>94.204231262207102</v>
      </c>
    </row>
    <row r="940" spans="1:5" ht="15" customHeight="1" x14ac:dyDescent="0.2">
      <c r="A940" s="32" t="s">
        <v>941</v>
      </c>
      <c r="B940" s="33">
        <v>276.36608886718801</v>
      </c>
      <c r="C940" s="33">
        <v>79.167045593261705</v>
      </c>
      <c r="D940" s="33">
        <v>90.224754333496094</v>
      </c>
      <c r="E940" s="33">
        <v>94.222854614257798</v>
      </c>
    </row>
    <row r="941" spans="1:5" ht="15" customHeight="1" x14ac:dyDescent="0.2">
      <c r="A941" s="32" t="s">
        <v>942</v>
      </c>
      <c r="B941" s="33">
        <v>276.09295654296898</v>
      </c>
      <c r="C941" s="33">
        <v>78.688835144042997</v>
      </c>
      <c r="D941" s="33">
        <v>90.339729309082102</v>
      </c>
      <c r="E941" s="33">
        <v>94.492820739746094</v>
      </c>
    </row>
    <row r="942" spans="1:5" ht="15" customHeight="1" x14ac:dyDescent="0.2">
      <c r="A942" s="32" t="s">
        <v>943</v>
      </c>
      <c r="B942" s="33">
        <v>277.17956542968801</v>
      </c>
      <c r="C942" s="33">
        <v>78.416915893554702</v>
      </c>
      <c r="D942" s="33">
        <v>91.050018310546903</v>
      </c>
      <c r="E942" s="33">
        <v>94.278694152832102</v>
      </c>
    </row>
    <row r="943" spans="1:5" ht="15" customHeight="1" x14ac:dyDescent="0.2">
      <c r="A943" s="32" t="s">
        <v>944</v>
      </c>
      <c r="B943" s="33">
        <v>274.65402221679699</v>
      </c>
      <c r="C943" s="33">
        <v>77.835563659667997</v>
      </c>
      <c r="D943" s="33">
        <v>90.461219787597699</v>
      </c>
      <c r="E943" s="33">
        <v>94.528038024902301</v>
      </c>
    </row>
    <row r="944" spans="1:5" ht="15" customHeight="1" x14ac:dyDescent="0.2">
      <c r="A944" s="32" t="s">
        <v>945</v>
      </c>
      <c r="B944" s="33">
        <v>274.71273803710898</v>
      </c>
      <c r="C944" s="33">
        <v>77.676155090332003</v>
      </c>
      <c r="D944" s="33">
        <v>90.143447875976605</v>
      </c>
      <c r="E944" s="33">
        <v>94.331932067871094</v>
      </c>
    </row>
    <row r="945" spans="1:5" ht="15" customHeight="1" x14ac:dyDescent="0.2">
      <c r="A945" s="32" t="s">
        <v>946</v>
      </c>
      <c r="B945" s="33">
        <v>274.12542724609398</v>
      </c>
      <c r="C945" s="33">
        <v>76.954147338867202</v>
      </c>
      <c r="D945" s="33">
        <v>89.320999145507798</v>
      </c>
      <c r="E945" s="33">
        <v>93.949066162109403</v>
      </c>
    </row>
    <row r="946" spans="1:5" ht="15" customHeight="1" x14ac:dyDescent="0.2">
      <c r="A946" s="32" t="s">
        <v>947</v>
      </c>
      <c r="B946" s="33">
        <v>276.77819824218801</v>
      </c>
      <c r="C946" s="33">
        <v>77.404235839843807</v>
      </c>
      <c r="D946" s="33">
        <v>88.891075134277301</v>
      </c>
      <c r="E946" s="33">
        <v>93.342117309570298</v>
      </c>
    </row>
    <row r="947" spans="1:5" ht="15" customHeight="1" x14ac:dyDescent="0.2">
      <c r="A947" s="32" t="s">
        <v>948</v>
      </c>
      <c r="B947" s="33">
        <v>274.252685546875</v>
      </c>
      <c r="C947" s="33">
        <v>76.972900390625</v>
      </c>
      <c r="D947" s="33">
        <v>88.105987548828097</v>
      </c>
      <c r="E947" s="33">
        <v>93.024642944335895</v>
      </c>
    </row>
    <row r="948" spans="1:5" ht="15" customHeight="1" x14ac:dyDescent="0.2">
      <c r="A948" s="32" t="s">
        <v>949</v>
      </c>
      <c r="B948" s="33">
        <v>276.56283569335898</v>
      </c>
      <c r="C948" s="33">
        <v>76.851013183593807</v>
      </c>
      <c r="D948" s="33">
        <v>88.283576965332003</v>
      </c>
      <c r="E948" s="33">
        <v>93.183357238769503</v>
      </c>
    </row>
    <row r="949" spans="1:5" ht="15" customHeight="1" x14ac:dyDescent="0.2">
      <c r="A949" s="32" t="s">
        <v>950</v>
      </c>
      <c r="B949" s="33">
        <v>278.4912109375</v>
      </c>
      <c r="C949" s="33">
        <v>76.869766235351605</v>
      </c>
      <c r="D949" s="33">
        <v>88.377037048339801</v>
      </c>
      <c r="E949" s="33">
        <v>92.940574645996094</v>
      </c>
    </row>
    <row r="950" spans="1:5" ht="15" customHeight="1" x14ac:dyDescent="0.2">
      <c r="A950" s="32" t="s">
        <v>951</v>
      </c>
      <c r="B950" s="33">
        <v>277.91369628906301</v>
      </c>
      <c r="C950" s="33">
        <v>76.775985717773395</v>
      </c>
      <c r="D950" s="33">
        <v>87.591972351074205</v>
      </c>
      <c r="E950" s="33">
        <v>92.884559631347699</v>
      </c>
    </row>
    <row r="951" spans="1:5" ht="15" customHeight="1" x14ac:dyDescent="0.2">
      <c r="A951" s="32" t="s">
        <v>952</v>
      </c>
      <c r="B951" s="33">
        <v>280.06723022460898</v>
      </c>
      <c r="C951" s="33">
        <v>77.169815063476605</v>
      </c>
      <c r="D951" s="33">
        <v>88.582649230957003</v>
      </c>
      <c r="E951" s="33">
        <v>92.912590026855497</v>
      </c>
    </row>
    <row r="952" spans="1:5" ht="15" customHeight="1" x14ac:dyDescent="0.2">
      <c r="A952" s="32" t="s">
        <v>953</v>
      </c>
      <c r="B952" s="33">
        <v>282.25012207031301</v>
      </c>
      <c r="C952" s="33">
        <v>77.394859313964801</v>
      </c>
      <c r="D952" s="33">
        <v>89.115379333496094</v>
      </c>
      <c r="E952" s="33">
        <v>92.828529357910199</v>
      </c>
    </row>
    <row r="953" spans="1:5" ht="15" customHeight="1" x14ac:dyDescent="0.2">
      <c r="A953" s="32" t="s">
        <v>954</v>
      </c>
      <c r="B953" s="33">
        <v>280.31188964843801</v>
      </c>
      <c r="C953" s="33">
        <v>76.110252380371094</v>
      </c>
      <c r="D953" s="33">
        <v>90.190193176269503</v>
      </c>
      <c r="E953" s="33">
        <v>93.202049255371094</v>
      </c>
    </row>
    <row r="954" spans="1:5" ht="15" customHeight="1" x14ac:dyDescent="0.2">
      <c r="A954" s="32" t="s">
        <v>955</v>
      </c>
      <c r="B954" s="33">
        <v>281.74105834960898</v>
      </c>
      <c r="C954" s="33">
        <v>76.307167053222699</v>
      </c>
      <c r="D954" s="33">
        <v>91.180877685546903</v>
      </c>
      <c r="E954" s="33">
        <v>93.323425292968807</v>
      </c>
    </row>
    <row r="955" spans="1:5" ht="15" customHeight="1" x14ac:dyDescent="0.2">
      <c r="A955" s="32" t="s">
        <v>956</v>
      </c>
      <c r="B955" s="33">
        <v>281.682373046875</v>
      </c>
      <c r="C955" s="33">
        <v>76.316543579101605</v>
      </c>
      <c r="D955" s="33">
        <v>90.461219787597699</v>
      </c>
      <c r="E955" s="33">
        <v>92.865882873535199</v>
      </c>
    </row>
    <row r="956" spans="1:5" ht="15" customHeight="1" x14ac:dyDescent="0.2">
      <c r="A956" s="32" t="s">
        <v>957</v>
      </c>
      <c r="B956" s="33">
        <v>282.78851318359398</v>
      </c>
      <c r="C956" s="33">
        <v>76.832260131835895</v>
      </c>
      <c r="D956" s="33">
        <v>91.134147644042997</v>
      </c>
      <c r="E956" s="33">
        <v>92.931236267089801</v>
      </c>
    </row>
    <row r="957" spans="1:5" ht="15" customHeight="1" x14ac:dyDescent="0.2">
      <c r="A957" s="32" t="s">
        <v>958</v>
      </c>
      <c r="B957" s="33">
        <v>281.89773559570301</v>
      </c>
      <c r="C957" s="33">
        <v>75.922721862792997</v>
      </c>
      <c r="D957" s="33">
        <v>89.349021911621094</v>
      </c>
      <c r="E957" s="33">
        <v>92.286933898925795</v>
      </c>
    </row>
    <row r="958" spans="1:5" ht="15" customHeight="1" x14ac:dyDescent="0.2">
      <c r="A958" s="32" t="s">
        <v>959</v>
      </c>
      <c r="B958" s="33">
        <v>281.57467651367199</v>
      </c>
      <c r="C958" s="33">
        <v>75.491401672363295</v>
      </c>
      <c r="D958" s="33">
        <v>89.479881286621094</v>
      </c>
      <c r="E958" s="33">
        <v>92.305587768554702</v>
      </c>
    </row>
    <row r="959" spans="1:5" ht="15" customHeight="1" x14ac:dyDescent="0.2">
      <c r="A959" s="32" t="s">
        <v>960</v>
      </c>
      <c r="B959" s="33">
        <v>279.02960205078102</v>
      </c>
      <c r="C959" s="33">
        <v>74.731887817382798</v>
      </c>
      <c r="D959" s="33">
        <v>90.134109497070298</v>
      </c>
      <c r="E959" s="33">
        <v>92.072151184082102</v>
      </c>
    </row>
    <row r="960" spans="1:5" ht="15" customHeight="1" x14ac:dyDescent="0.2">
      <c r="A960" s="32" t="s">
        <v>961</v>
      </c>
      <c r="B960" s="33">
        <v>279.77355957031301</v>
      </c>
      <c r="C960" s="33">
        <v>75.153846740722699</v>
      </c>
      <c r="D960" s="33">
        <v>90.330383300781193</v>
      </c>
      <c r="E960" s="33">
        <v>92.249572753906193</v>
      </c>
    </row>
    <row r="961" spans="1:5" ht="15" customHeight="1" x14ac:dyDescent="0.2">
      <c r="A961" s="32" t="s">
        <v>962</v>
      </c>
      <c r="B961" s="33">
        <v>279.50924682617199</v>
      </c>
      <c r="C961" s="33">
        <v>74.900665283203097</v>
      </c>
      <c r="D961" s="33">
        <v>89.479881286621094</v>
      </c>
      <c r="E961" s="33">
        <v>92.062820434570298</v>
      </c>
    </row>
    <row r="962" spans="1:5" ht="15" customHeight="1" x14ac:dyDescent="0.2">
      <c r="A962" s="32" t="s">
        <v>963</v>
      </c>
      <c r="B962" s="33">
        <v>280.64474487304699</v>
      </c>
      <c r="C962" s="33">
        <v>75.500770568847699</v>
      </c>
      <c r="D962" s="33">
        <v>89.760269165039105</v>
      </c>
      <c r="E962" s="33">
        <v>91.913391113281193</v>
      </c>
    </row>
    <row r="963" spans="1:5" ht="15" customHeight="1" x14ac:dyDescent="0.2">
      <c r="A963" s="32" t="s">
        <v>964</v>
      </c>
      <c r="B963" s="33">
        <v>281.01672363281301</v>
      </c>
      <c r="C963" s="33">
        <v>75.228858947753906</v>
      </c>
      <c r="D963" s="33">
        <v>89.115379333496094</v>
      </c>
      <c r="E963" s="33">
        <v>92.016120910644503</v>
      </c>
    </row>
    <row r="964" spans="1:5" ht="15" customHeight="1" x14ac:dyDescent="0.2">
      <c r="A964" s="32" t="s">
        <v>965</v>
      </c>
      <c r="B964" s="33">
        <v>280.32171630859398</v>
      </c>
      <c r="C964" s="33">
        <v>74.741256713867202</v>
      </c>
      <c r="D964" s="33">
        <v>89.507911682128906</v>
      </c>
      <c r="E964" s="33">
        <v>91.922737121582102</v>
      </c>
    </row>
    <row r="965" spans="1:5" ht="15" customHeight="1" x14ac:dyDescent="0.2">
      <c r="A965" s="32" t="s">
        <v>966</v>
      </c>
      <c r="B965" s="33">
        <v>275.09451293945301</v>
      </c>
      <c r="C965" s="33">
        <v>74.281814575195298</v>
      </c>
      <c r="D965" s="33">
        <v>87.993843078613295</v>
      </c>
      <c r="E965" s="33">
        <v>91.904060363769503</v>
      </c>
    </row>
    <row r="966" spans="1:5" ht="15" customHeight="1" x14ac:dyDescent="0.2">
      <c r="A966" s="32" t="s">
        <v>967</v>
      </c>
      <c r="B966" s="33">
        <v>276.26916503906301</v>
      </c>
      <c r="C966" s="33">
        <v>74.431838989257798</v>
      </c>
      <c r="D966" s="33">
        <v>87.0218505859375</v>
      </c>
      <c r="E966" s="33">
        <v>91.538749694824205</v>
      </c>
    </row>
    <row r="967" spans="1:5" ht="15" customHeight="1" x14ac:dyDescent="0.2">
      <c r="A967" s="32" t="s">
        <v>968</v>
      </c>
      <c r="B967" s="33">
        <v>275.76995849609398</v>
      </c>
      <c r="C967" s="33">
        <v>74.488105773925795</v>
      </c>
      <c r="D967" s="33">
        <v>87.975151062011705</v>
      </c>
      <c r="E967" s="33">
        <v>91.922790527343807</v>
      </c>
    </row>
    <row r="968" spans="1:5" ht="15" customHeight="1" x14ac:dyDescent="0.2">
      <c r="A968" s="32" t="s">
        <v>969</v>
      </c>
      <c r="B968" s="33">
        <v>279.27429199218801</v>
      </c>
      <c r="C968" s="33">
        <v>75.228858947753906</v>
      </c>
      <c r="D968" s="33">
        <v>89.143409729003906</v>
      </c>
      <c r="E968" s="33">
        <v>92.138244628906193</v>
      </c>
    </row>
    <row r="969" spans="1:5" ht="15" customHeight="1" x14ac:dyDescent="0.2">
      <c r="A969" s="32" t="s">
        <v>970</v>
      </c>
      <c r="B969" s="33">
        <v>287.08578491210898</v>
      </c>
      <c r="C969" s="33">
        <v>74.141159057617202</v>
      </c>
      <c r="D969" s="33">
        <v>87.246154785156307</v>
      </c>
      <c r="E969" s="33">
        <v>91.416946411132798</v>
      </c>
    </row>
    <row r="970" spans="1:5" ht="15" customHeight="1" x14ac:dyDescent="0.2">
      <c r="A970" s="32" t="s">
        <v>971</v>
      </c>
      <c r="B970" s="33">
        <v>289.09243774414102</v>
      </c>
      <c r="C970" s="33">
        <v>75.266357421875</v>
      </c>
      <c r="D970" s="33">
        <v>88.292930603027301</v>
      </c>
      <c r="E970" s="33">
        <v>92.110153198242202</v>
      </c>
    </row>
    <row r="971" spans="1:5" ht="15" customHeight="1" x14ac:dyDescent="0.2">
      <c r="A971" s="32" t="s">
        <v>972</v>
      </c>
      <c r="B971" s="33">
        <v>290.44332885742199</v>
      </c>
      <c r="C971" s="33">
        <v>74.225555419921903</v>
      </c>
      <c r="D971" s="33">
        <v>89.610725402832003</v>
      </c>
      <c r="E971" s="33">
        <v>92.2694091796875</v>
      </c>
    </row>
    <row r="972" spans="1:5" ht="15" customHeight="1" x14ac:dyDescent="0.2">
      <c r="A972" s="32" t="s">
        <v>973</v>
      </c>
      <c r="B972" s="33">
        <v>291.25579833984398</v>
      </c>
      <c r="C972" s="33">
        <v>74.244300842285199</v>
      </c>
      <c r="D972" s="33">
        <v>89.162109375</v>
      </c>
      <c r="E972" s="33">
        <v>92.063301086425795</v>
      </c>
    </row>
    <row r="973" spans="1:5" ht="15" customHeight="1" x14ac:dyDescent="0.2">
      <c r="A973" s="32" t="s">
        <v>974</v>
      </c>
      <c r="B973" s="33">
        <v>290.11050415039102</v>
      </c>
      <c r="C973" s="33">
        <v>72.865936279296903</v>
      </c>
      <c r="D973" s="33">
        <v>87.928421020507798</v>
      </c>
      <c r="E973" s="33">
        <v>91.529365539550795</v>
      </c>
    </row>
    <row r="974" spans="1:5" ht="15" customHeight="1" x14ac:dyDescent="0.2">
      <c r="A974" s="32" t="s">
        <v>975</v>
      </c>
      <c r="B974" s="33">
        <v>289.97344970703102</v>
      </c>
      <c r="C974" s="33">
        <v>72.434608459472699</v>
      </c>
      <c r="D974" s="33">
        <v>88.414405822753906</v>
      </c>
      <c r="E974" s="33">
        <v>91.510627746582102</v>
      </c>
    </row>
    <row r="975" spans="1:5" ht="15" customHeight="1" x14ac:dyDescent="0.2">
      <c r="A975" s="32" t="s">
        <v>976</v>
      </c>
      <c r="B975" s="33">
        <v>287.82974243164102</v>
      </c>
      <c r="C975" s="33">
        <v>72.584632873535199</v>
      </c>
      <c r="D975" s="33">
        <v>87.620002746582003</v>
      </c>
      <c r="E975" s="33">
        <v>91.473159790039105</v>
      </c>
    </row>
    <row r="976" spans="1:5" ht="15" customHeight="1" x14ac:dyDescent="0.2">
      <c r="A976" s="32" t="s">
        <v>977</v>
      </c>
      <c r="B976" s="33">
        <v>284.17852783203102</v>
      </c>
      <c r="C976" s="33">
        <v>72.322082519531307</v>
      </c>
      <c r="D976" s="33">
        <v>87.666732788085895</v>
      </c>
      <c r="E976" s="33">
        <v>91.482528686523395</v>
      </c>
    </row>
    <row r="977" spans="1:5" ht="15" customHeight="1" x14ac:dyDescent="0.2">
      <c r="A977" s="32" t="s">
        <v>978</v>
      </c>
      <c r="B977" s="33">
        <v>285.33358764648398</v>
      </c>
      <c r="C977" s="33">
        <v>72.715911865234403</v>
      </c>
      <c r="D977" s="33">
        <v>88.302268981933594</v>
      </c>
      <c r="E977" s="33">
        <v>91.566841125488295</v>
      </c>
    </row>
    <row r="978" spans="1:5" ht="15" customHeight="1" x14ac:dyDescent="0.2">
      <c r="A978" s="32" t="s">
        <v>979</v>
      </c>
      <c r="B978" s="33">
        <v>286.64529418945301</v>
      </c>
      <c r="C978" s="33">
        <v>72.622138977050795</v>
      </c>
      <c r="D978" s="33">
        <v>88.732177734375</v>
      </c>
      <c r="E978" s="33">
        <v>91.697967529296903</v>
      </c>
    </row>
    <row r="979" spans="1:5" ht="15" customHeight="1" x14ac:dyDescent="0.2">
      <c r="A979" s="32" t="s">
        <v>980</v>
      </c>
      <c r="B979" s="33">
        <v>286.81167602539102</v>
      </c>
      <c r="C979" s="33">
        <v>72.425239562988295</v>
      </c>
      <c r="D979" s="33">
        <v>88.620033264160199</v>
      </c>
      <c r="E979" s="33">
        <v>91.604316711425795</v>
      </c>
    </row>
    <row r="980" spans="1:5" ht="15" customHeight="1" x14ac:dyDescent="0.2">
      <c r="A980" s="32" t="s">
        <v>981</v>
      </c>
      <c r="B980" s="33">
        <v>288.81838989257801</v>
      </c>
      <c r="C980" s="33">
        <v>72.443984985351605</v>
      </c>
      <c r="D980" s="33">
        <v>89.274269104003906</v>
      </c>
      <c r="E980" s="33">
        <v>91.557464599609403</v>
      </c>
    </row>
    <row r="981" spans="1:5" ht="15" customHeight="1" x14ac:dyDescent="0.2">
      <c r="A981" s="32" t="s">
        <v>982</v>
      </c>
      <c r="B981" s="33">
        <v>290.24758911132801</v>
      </c>
      <c r="C981" s="33">
        <v>72.725288391113295</v>
      </c>
      <c r="D981" s="33">
        <v>89.947189331054702</v>
      </c>
      <c r="E981" s="33">
        <v>91.623054504394503</v>
      </c>
    </row>
    <row r="982" spans="1:5" ht="15" customHeight="1" x14ac:dyDescent="0.2">
      <c r="A982" s="32" t="s">
        <v>983</v>
      </c>
      <c r="B982" s="33">
        <v>291.66696166992199</v>
      </c>
      <c r="C982" s="33">
        <v>73.100349426269503</v>
      </c>
      <c r="D982" s="33">
        <v>91.199569702148395</v>
      </c>
      <c r="E982" s="33">
        <v>92.447395324707102</v>
      </c>
    </row>
    <row r="983" spans="1:5" ht="15" customHeight="1" x14ac:dyDescent="0.2">
      <c r="A983" s="32" t="s">
        <v>984</v>
      </c>
      <c r="B983" s="33">
        <v>292.73385620117199</v>
      </c>
      <c r="C983" s="33">
        <v>72.678405761718807</v>
      </c>
      <c r="D983" s="33">
        <v>91.564056396484403</v>
      </c>
      <c r="E983" s="33">
        <v>92.306861877441406</v>
      </c>
    </row>
    <row r="984" spans="1:5" ht="15" customHeight="1" x14ac:dyDescent="0.2">
      <c r="A984" s="32" t="s">
        <v>985</v>
      </c>
      <c r="B984" s="33">
        <v>291.90188598632801</v>
      </c>
      <c r="C984" s="33">
        <v>73.072219848632798</v>
      </c>
      <c r="D984" s="33">
        <v>92.152870178222699</v>
      </c>
      <c r="E984" s="33">
        <v>92.559776306152301</v>
      </c>
    </row>
    <row r="985" spans="1:5" ht="15" customHeight="1" x14ac:dyDescent="0.2">
      <c r="A985" s="32" t="s">
        <v>986</v>
      </c>
      <c r="B985" s="33">
        <v>293.52679443359398</v>
      </c>
      <c r="C985" s="33">
        <v>74.047393798828097</v>
      </c>
      <c r="D985" s="33">
        <v>91.741645812988295</v>
      </c>
      <c r="E985" s="33">
        <v>92.925109863281193</v>
      </c>
    </row>
    <row r="986" spans="1:5" ht="15" customHeight="1" x14ac:dyDescent="0.2">
      <c r="A986" s="32" t="s">
        <v>987</v>
      </c>
      <c r="B986" s="33">
        <v>294.08477783203102</v>
      </c>
      <c r="C986" s="33">
        <v>74.253677368164105</v>
      </c>
      <c r="D986" s="33">
        <v>90.4051513671875</v>
      </c>
      <c r="E986" s="33">
        <v>92.936393737792997</v>
      </c>
    </row>
    <row r="987" spans="1:5" ht="15" customHeight="1" x14ac:dyDescent="0.2">
      <c r="A987" s="32" t="s">
        <v>988</v>
      </c>
      <c r="B987" s="33">
        <v>294.08477783203102</v>
      </c>
      <c r="C987" s="33">
        <v>74.675636291503906</v>
      </c>
      <c r="D987" s="33">
        <v>89.947189331054702</v>
      </c>
      <c r="E987" s="33">
        <v>92.757850646972699</v>
      </c>
    </row>
    <row r="988" spans="1:5" ht="15" customHeight="1" x14ac:dyDescent="0.2">
      <c r="A988" s="32" t="s">
        <v>989</v>
      </c>
      <c r="B988" s="33">
        <v>296.06210327148398</v>
      </c>
      <c r="C988" s="33">
        <v>74.731887817382798</v>
      </c>
      <c r="D988" s="33">
        <v>89.704200744628906</v>
      </c>
      <c r="E988" s="33">
        <v>93.058563232421903</v>
      </c>
    </row>
    <row r="989" spans="1:5" ht="15" customHeight="1" x14ac:dyDescent="0.2">
      <c r="A989" s="32" t="s">
        <v>990</v>
      </c>
      <c r="B989" s="33">
        <v>295.23980712890602</v>
      </c>
      <c r="C989" s="33">
        <v>75.097572326660199</v>
      </c>
      <c r="D989" s="33">
        <v>89.489227294921903</v>
      </c>
      <c r="E989" s="33">
        <v>93.077369689941406</v>
      </c>
    </row>
    <row r="990" spans="1:5" ht="15" customHeight="1" x14ac:dyDescent="0.2">
      <c r="A990" s="32" t="s">
        <v>991</v>
      </c>
      <c r="B990" s="33">
        <v>296.06210327148398</v>
      </c>
      <c r="C990" s="33">
        <v>75.088211059570298</v>
      </c>
      <c r="D990" s="33">
        <v>89.358383178710895</v>
      </c>
      <c r="E990" s="33">
        <v>93.340469360351605</v>
      </c>
    </row>
    <row r="991" spans="1:5" ht="15" customHeight="1" x14ac:dyDescent="0.2">
      <c r="A991" s="32" t="s">
        <v>992</v>
      </c>
      <c r="B991" s="33">
        <v>294.1728515625</v>
      </c>
      <c r="C991" s="33">
        <v>75.041313171386705</v>
      </c>
      <c r="D991" s="33">
        <v>89.610725402832003</v>
      </c>
      <c r="E991" s="33">
        <v>93.067955017089801</v>
      </c>
    </row>
    <row r="992" spans="1:5" ht="15" customHeight="1" x14ac:dyDescent="0.2">
      <c r="A992" s="32" t="s">
        <v>993</v>
      </c>
      <c r="B992" s="33">
        <v>293.06680297851602</v>
      </c>
      <c r="C992" s="33">
        <v>74.366195678710895</v>
      </c>
      <c r="D992" s="33">
        <v>88.311607360839801</v>
      </c>
      <c r="E992" s="33">
        <v>92.955192565917997</v>
      </c>
    </row>
    <row r="993" spans="1:5" ht="15" customHeight="1" x14ac:dyDescent="0.2">
      <c r="A993" s="32" t="s">
        <v>994</v>
      </c>
      <c r="B993" s="33">
        <v>295.42584228515602</v>
      </c>
      <c r="C993" s="33">
        <v>74.835029602050795</v>
      </c>
      <c r="D993" s="33">
        <v>88.105987548828097</v>
      </c>
      <c r="E993" s="33">
        <v>92.739059448242202</v>
      </c>
    </row>
    <row r="994" spans="1:5" ht="15" customHeight="1" x14ac:dyDescent="0.2">
      <c r="A994" s="32" t="s">
        <v>995</v>
      </c>
      <c r="B994" s="33">
        <v>293.74212646484398</v>
      </c>
      <c r="C994" s="33">
        <v>74.178665161132798</v>
      </c>
      <c r="D994" s="33">
        <v>87.965805053710895</v>
      </c>
      <c r="E994" s="33">
        <v>92.363174438476605</v>
      </c>
    </row>
    <row r="995" spans="1:5" ht="15" customHeight="1" x14ac:dyDescent="0.2">
      <c r="A995" s="32" t="s">
        <v>996</v>
      </c>
      <c r="B995" s="33">
        <v>293.59530639648398</v>
      </c>
      <c r="C995" s="33">
        <v>73.972381591796903</v>
      </c>
      <c r="D995" s="33">
        <v>87.713462829589801</v>
      </c>
      <c r="E995" s="33">
        <v>92.015472412109403</v>
      </c>
    </row>
    <row r="996" spans="1:5" ht="15" customHeight="1" x14ac:dyDescent="0.2">
      <c r="A996" s="32" t="s">
        <v>997</v>
      </c>
      <c r="B996" s="33">
        <v>294.78955078125</v>
      </c>
      <c r="C996" s="33">
        <v>73.728584289550795</v>
      </c>
      <c r="D996" s="33">
        <v>87.405036926269503</v>
      </c>
      <c r="E996" s="33">
        <v>92.100059509277301</v>
      </c>
    </row>
    <row r="997" spans="1:5" ht="15" customHeight="1" x14ac:dyDescent="0.2">
      <c r="A997" s="32" t="s">
        <v>998</v>
      </c>
      <c r="B997" s="33">
        <v>293.33102416992199</v>
      </c>
      <c r="C997" s="33">
        <v>73.611679077148395</v>
      </c>
      <c r="D997" s="33">
        <v>86.984466552734403</v>
      </c>
      <c r="E997" s="33">
        <v>92.100059509277301</v>
      </c>
    </row>
    <row r="998" spans="1:5" ht="15" customHeight="1" x14ac:dyDescent="0.2">
      <c r="A998" s="32" t="s">
        <v>999</v>
      </c>
      <c r="B998" s="33">
        <v>284.25677490234398</v>
      </c>
      <c r="C998" s="33">
        <v>71.805847167968807</v>
      </c>
      <c r="D998" s="33">
        <v>83.395561218261705</v>
      </c>
      <c r="E998" s="33">
        <v>91.398681640625</v>
      </c>
    </row>
    <row r="999" spans="1:5" ht="15" customHeight="1" x14ac:dyDescent="0.2">
      <c r="A999" s="32" t="s">
        <v>1000</v>
      </c>
      <c r="B999" s="33">
        <v>283.85549926757801</v>
      </c>
      <c r="C999" s="33">
        <v>71.577735900878906</v>
      </c>
      <c r="D999" s="33">
        <v>82.105773925781307</v>
      </c>
      <c r="E999" s="33">
        <v>91.162971496582102</v>
      </c>
    </row>
    <row r="1000" spans="1:5" ht="15" customHeight="1" x14ac:dyDescent="0.2">
      <c r="A1000" s="32" t="s">
        <v>1001</v>
      </c>
      <c r="B1000" s="33">
        <v>287.08578491210898</v>
      </c>
      <c r="C1000" s="33">
        <v>71.378143310546903</v>
      </c>
      <c r="D1000" s="33">
        <v>83.489006042480497</v>
      </c>
      <c r="E1000" s="33">
        <v>91.408088684082102</v>
      </c>
    </row>
    <row r="1001" spans="1:5" ht="15" customHeight="1" x14ac:dyDescent="0.2">
      <c r="A1001" s="32" t="s">
        <v>1002</v>
      </c>
      <c r="B1001" s="33">
        <v>288.71691894531301</v>
      </c>
      <c r="C1001" s="33">
        <v>71.843856811523395</v>
      </c>
      <c r="D1001" s="33">
        <v>83.815513610839801</v>
      </c>
      <c r="E1001" s="33">
        <v>91.125267028808594</v>
      </c>
    </row>
    <row r="1002" spans="1:5" ht="15" customHeight="1" x14ac:dyDescent="0.2">
      <c r="A1002" s="32" t="s">
        <v>1003</v>
      </c>
      <c r="B1002" s="33">
        <v>291.78088378906301</v>
      </c>
      <c r="C1002" s="33">
        <v>72.100479125976605</v>
      </c>
      <c r="D1002" s="33">
        <v>84.372276306152301</v>
      </c>
      <c r="E1002" s="33">
        <v>91.228942871093807</v>
      </c>
    </row>
    <row r="1003" spans="1:5" ht="15" customHeight="1" x14ac:dyDescent="0.2">
      <c r="A1003" s="32" t="s">
        <v>1004</v>
      </c>
      <c r="B1003" s="33">
        <v>291.94778442382801</v>
      </c>
      <c r="C1003" s="33">
        <v>72.442642211914105</v>
      </c>
      <c r="D1003" s="33">
        <v>84.598739624023395</v>
      </c>
      <c r="E1003" s="33">
        <v>91.294960021972699</v>
      </c>
    </row>
    <row r="1004" spans="1:5" ht="15" customHeight="1" x14ac:dyDescent="0.2">
      <c r="A1004" s="32" t="s">
        <v>1005</v>
      </c>
      <c r="B1004" s="33">
        <v>288.78567504882801</v>
      </c>
      <c r="C1004" s="33">
        <v>72.338088989257798</v>
      </c>
      <c r="D1004" s="33">
        <v>83.749458312988295</v>
      </c>
      <c r="E1004" s="33">
        <v>91.106407165527301</v>
      </c>
    </row>
    <row r="1005" spans="1:5" ht="15" customHeight="1" x14ac:dyDescent="0.2">
      <c r="A1005" s="32" t="s">
        <v>1006</v>
      </c>
      <c r="B1005" s="33">
        <v>285.59405517578102</v>
      </c>
      <c r="C1005" s="33">
        <v>71.862876892089801</v>
      </c>
      <c r="D1005" s="33">
        <v>83.334243774414105</v>
      </c>
      <c r="E1005" s="33">
        <v>91.464645385742202</v>
      </c>
    </row>
    <row r="1006" spans="1:5" ht="15" customHeight="1" x14ac:dyDescent="0.2">
      <c r="A1006" s="32" t="s">
        <v>1007</v>
      </c>
      <c r="B1006" s="33">
        <v>284.60220336914102</v>
      </c>
      <c r="C1006" s="33">
        <v>71.862876892089801</v>
      </c>
      <c r="D1006" s="33">
        <v>84.060859680175795</v>
      </c>
      <c r="E1006" s="33">
        <v>91.351524353027301</v>
      </c>
    </row>
    <row r="1007" spans="1:5" ht="15" customHeight="1" x14ac:dyDescent="0.2">
      <c r="A1007" s="32" t="s">
        <v>1008</v>
      </c>
      <c r="B1007" s="33">
        <v>284.06210327148398</v>
      </c>
      <c r="C1007" s="33">
        <v>71.615753173828097</v>
      </c>
      <c r="D1007" s="33">
        <v>83.315376281738295</v>
      </c>
      <c r="E1007" s="33">
        <v>91.3609619140625</v>
      </c>
    </row>
    <row r="1008" spans="1:5" ht="15" customHeight="1" x14ac:dyDescent="0.2">
      <c r="A1008" s="32" t="s">
        <v>1009</v>
      </c>
      <c r="B1008" s="33">
        <v>287.79382324218801</v>
      </c>
      <c r="C1008" s="33">
        <v>71.929397583007798</v>
      </c>
      <c r="D1008" s="33">
        <v>84.410011291503906</v>
      </c>
      <c r="E1008" s="33">
        <v>91.266677856445298</v>
      </c>
    </row>
    <row r="1009" spans="1:5" ht="15" customHeight="1" x14ac:dyDescent="0.2">
      <c r="A1009" s="32" t="s">
        <v>1010</v>
      </c>
      <c r="B1009" s="33">
        <v>289.40432739257801</v>
      </c>
      <c r="C1009" s="33">
        <v>72.613716125488295</v>
      </c>
      <c r="D1009" s="33">
        <v>83.324821472167997</v>
      </c>
      <c r="E1009" s="33">
        <v>91.172393798828097</v>
      </c>
    </row>
    <row r="1010" spans="1:5" ht="15" customHeight="1" x14ac:dyDescent="0.2">
      <c r="A1010" s="32" t="s">
        <v>1011</v>
      </c>
      <c r="B1010" s="33">
        <v>286.17349243164102</v>
      </c>
      <c r="C1010" s="33">
        <v>72.556694030761705</v>
      </c>
      <c r="D1010" s="33">
        <v>82.532142639160199</v>
      </c>
      <c r="E1010" s="33">
        <v>90.851860046386705</v>
      </c>
    </row>
    <row r="1011" spans="1:5" ht="15" customHeight="1" x14ac:dyDescent="0.2">
      <c r="A1011" s="32" t="s">
        <v>1012</v>
      </c>
      <c r="B1011" s="33">
        <v>286.43859863281301</v>
      </c>
      <c r="C1011" s="33">
        <v>72.442642211914105</v>
      </c>
      <c r="D1011" s="33">
        <v>82.749176025390597</v>
      </c>
      <c r="E1011" s="33">
        <v>90.955581665039105</v>
      </c>
    </row>
    <row r="1012" spans="1:5" ht="15" customHeight="1" x14ac:dyDescent="0.2">
      <c r="A1012" s="32" t="s">
        <v>1013</v>
      </c>
      <c r="B1012" s="33">
        <v>282.13729858398398</v>
      </c>
      <c r="C1012" s="33">
        <v>71.340126037597699</v>
      </c>
      <c r="D1012" s="33">
        <v>80.729759216308594</v>
      </c>
      <c r="E1012" s="33">
        <v>90.446495056152301</v>
      </c>
    </row>
    <row r="1013" spans="1:5" ht="15" customHeight="1" x14ac:dyDescent="0.2">
      <c r="A1013" s="32" t="s">
        <v>1014</v>
      </c>
      <c r="B1013" s="33">
        <v>282.59884643554699</v>
      </c>
      <c r="C1013" s="33">
        <v>71.140525817871094</v>
      </c>
      <c r="D1013" s="33">
        <v>81.720596313476605</v>
      </c>
      <c r="E1013" s="33">
        <v>90.361648559570298</v>
      </c>
    </row>
    <row r="1014" spans="1:5" ht="15" customHeight="1" x14ac:dyDescent="0.2">
      <c r="A1014" s="32" t="s">
        <v>1015</v>
      </c>
      <c r="B1014" s="33">
        <v>283.23724365234398</v>
      </c>
      <c r="C1014" s="33">
        <v>71.397155761718807</v>
      </c>
      <c r="D1014" s="33">
        <v>82.466094970703097</v>
      </c>
      <c r="E1014" s="33">
        <v>90.389915466308594</v>
      </c>
    </row>
    <row r="1015" spans="1:5" ht="15" customHeight="1" x14ac:dyDescent="0.2">
      <c r="A1015" s="32" t="s">
        <v>1016</v>
      </c>
      <c r="B1015" s="33">
        <v>288.43209838867199</v>
      </c>
      <c r="C1015" s="33">
        <v>72.309577941894503</v>
      </c>
      <c r="D1015" s="33">
        <v>82.937919616699205</v>
      </c>
      <c r="E1015" s="33">
        <v>91.172393798828097</v>
      </c>
    </row>
    <row r="1016" spans="1:5" ht="15" customHeight="1" x14ac:dyDescent="0.2">
      <c r="A1016" s="32" t="s">
        <v>1017</v>
      </c>
      <c r="B1016" s="33">
        <v>288.216064453125</v>
      </c>
      <c r="C1016" s="33">
        <v>72.680252075195298</v>
      </c>
      <c r="D1016" s="33">
        <v>84.655364990234403</v>
      </c>
      <c r="E1016" s="33">
        <v>91.370376586914105</v>
      </c>
    </row>
    <row r="1017" spans="1:5" ht="15" customHeight="1" x14ac:dyDescent="0.2">
      <c r="A1017" s="32" t="s">
        <v>1018</v>
      </c>
      <c r="B1017" s="33">
        <v>290.87741088867199</v>
      </c>
      <c r="C1017" s="33">
        <v>72.974884033203097</v>
      </c>
      <c r="D1017" s="33">
        <v>84.598739624023395</v>
      </c>
      <c r="E1017" s="33">
        <v>91.370376586914105</v>
      </c>
    </row>
    <row r="1018" spans="1:5" ht="15" customHeight="1" x14ac:dyDescent="0.2">
      <c r="A1018" s="32" t="s">
        <v>1019</v>
      </c>
      <c r="B1018" s="33">
        <v>293.76455688476602</v>
      </c>
      <c r="C1018" s="33">
        <v>74.448074340820298</v>
      </c>
      <c r="D1018" s="33">
        <v>86.184097290039105</v>
      </c>
      <c r="E1018" s="33">
        <v>91.672058105468807</v>
      </c>
    </row>
    <row r="1019" spans="1:5" ht="15" customHeight="1" x14ac:dyDescent="0.2">
      <c r="A1019" s="32" t="s">
        <v>1020</v>
      </c>
      <c r="B1019" s="33">
        <v>295.19830322265602</v>
      </c>
      <c r="C1019" s="33">
        <v>74.276992797851605</v>
      </c>
      <c r="D1019" s="33">
        <v>84.683677673339801</v>
      </c>
      <c r="E1019" s="33">
        <v>91.455230712890597</v>
      </c>
    </row>
    <row r="1020" spans="1:5" ht="15" customHeight="1" x14ac:dyDescent="0.2">
      <c r="A1020" s="32" t="s">
        <v>1021</v>
      </c>
      <c r="B1020" s="33">
        <v>296.74993896484398</v>
      </c>
      <c r="C1020" s="33">
        <v>74.885276794433594</v>
      </c>
      <c r="D1020" s="33">
        <v>85.306488037109403</v>
      </c>
      <c r="E1020" s="33">
        <v>91.304382324218807</v>
      </c>
    </row>
    <row r="1021" spans="1:5" ht="15" customHeight="1" x14ac:dyDescent="0.2">
      <c r="A1021" s="32" t="s">
        <v>1022</v>
      </c>
      <c r="B1021" s="33">
        <v>295.8857421875</v>
      </c>
      <c r="C1021" s="33">
        <v>75.303474426269503</v>
      </c>
      <c r="D1021" s="33">
        <v>85.599021911621094</v>
      </c>
      <c r="E1021" s="33">
        <v>91.455230712890597</v>
      </c>
    </row>
    <row r="1022" spans="1:5" ht="15" customHeight="1" x14ac:dyDescent="0.2">
      <c r="A1022" s="32" t="s">
        <v>1023</v>
      </c>
      <c r="B1022" s="33">
        <v>291.76119995117199</v>
      </c>
      <c r="C1022" s="33">
        <v>75.303474426269503</v>
      </c>
      <c r="D1022" s="33">
        <v>86.7408447265625</v>
      </c>
      <c r="E1022" s="33">
        <v>91.964294433593807</v>
      </c>
    </row>
    <row r="1023" spans="1:5" ht="15" customHeight="1" x14ac:dyDescent="0.2">
      <c r="A1023" s="32" t="s">
        <v>1024</v>
      </c>
      <c r="B1023" s="33">
        <v>294.26535034179699</v>
      </c>
      <c r="C1023" s="33">
        <v>75.208419799804702</v>
      </c>
      <c r="D1023" s="33">
        <v>85.693382263183594</v>
      </c>
      <c r="E1023" s="33">
        <v>91.936012268066406</v>
      </c>
    </row>
    <row r="1024" spans="1:5" ht="15" customHeight="1" x14ac:dyDescent="0.2">
      <c r="A1024" s="32" t="s">
        <v>1025</v>
      </c>
      <c r="B1024" s="33">
        <v>293.00839233398398</v>
      </c>
      <c r="C1024" s="33">
        <v>75.198921203613295</v>
      </c>
      <c r="D1024" s="33">
        <v>84.561004638671903</v>
      </c>
      <c r="E1024" s="33">
        <v>91.879447937011705</v>
      </c>
    </row>
    <row r="1025" spans="1:5" ht="15" customHeight="1" x14ac:dyDescent="0.2">
      <c r="A1025" s="32" t="s">
        <v>1026</v>
      </c>
      <c r="B1025" s="33">
        <v>294.84481811523398</v>
      </c>
      <c r="C1025" s="33">
        <v>76.025802612304702</v>
      </c>
      <c r="D1025" s="33">
        <v>85.636772155761705</v>
      </c>
      <c r="E1025" s="33">
        <v>92.011459350585895</v>
      </c>
    </row>
    <row r="1026" spans="1:5" ht="15" customHeight="1" x14ac:dyDescent="0.2">
      <c r="A1026" s="32" t="s">
        <v>1027</v>
      </c>
      <c r="B1026" s="33">
        <v>293.23425292968801</v>
      </c>
      <c r="C1026" s="33">
        <v>75.312973022460895</v>
      </c>
      <c r="D1026" s="33">
        <v>85.448043823242202</v>
      </c>
      <c r="E1026" s="33">
        <v>91.822883605957102</v>
      </c>
    </row>
    <row r="1027" spans="1:5" ht="15" customHeight="1" x14ac:dyDescent="0.2">
      <c r="A1027" s="32" t="s">
        <v>1028</v>
      </c>
      <c r="B1027" s="33">
        <v>291.09347534179699</v>
      </c>
      <c r="C1027" s="33">
        <v>74.429054260253906</v>
      </c>
      <c r="D1027" s="33">
        <v>85.268745422363295</v>
      </c>
      <c r="E1027" s="33">
        <v>91.909919738769503</v>
      </c>
    </row>
    <row r="1028" spans="1:5" ht="15" customHeight="1" x14ac:dyDescent="0.2">
      <c r="A1028" s="32" t="s">
        <v>1029</v>
      </c>
      <c r="B1028" s="33">
        <v>293.204833984375</v>
      </c>
      <c r="C1028" s="33">
        <v>75.293968200683594</v>
      </c>
      <c r="D1028" s="33">
        <v>85.334800720214801</v>
      </c>
      <c r="E1028" s="33">
        <v>92.080162048339801</v>
      </c>
    </row>
    <row r="1029" spans="1:5" ht="15" customHeight="1" x14ac:dyDescent="0.2">
      <c r="A1029" s="32" t="s">
        <v>1030</v>
      </c>
      <c r="B1029" s="33">
        <v>294.56005859375</v>
      </c>
      <c r="C1029" s="33">
        <v>76.025802612304702</v>
      </c>
      <c r="D1029" s="33">
        <v>86.533233642578097</v>
      </c>
      <c r="E1029" s="33">
        <v>92.572013854980497</v>
      </c>
    </row>
    <row r="1030" spans="1:5" ht="15" customHeight="1" x14ac:dyDescent="0.2">
      <c r="A1030" s="32" t="s">
        <v>1031</v>
      </c>
      <c r="B1030" s="33">
        <v>295.28674316406301</v>
      </c>
      <c r="C1030" s="33">
        <v>76.386978149414105</v>
      </c>
      <c r="D1030" s="33">
        <v>86.750282287597699</v>
      </c>
      <c r="E1030" s="33">
        <v>92.477409362792997</v>
      </c>
    </row>
    <row r="1031" spans="1:5" ht="15" customHeight="1" x14ac:dyDescent="0.2">
      <c r="A1031" s="32" t="s">
        <v>1032</v>
      </c>
      <c r="B1031" s="33">
        <v>292.64505004882801</v>
      </c>
      <c r="C1031" s="33">
        <v>75.664627075195298</v>
      </c>
      <c r="D1031" s="33">
        <v>86.467178344726605</v>
      </c>
      <c r="E1031" s="33">
        <v>92.1842041015625</v>
      </c>
    </row>
    <row r="1032" spans="1:5" ht="15" customHeight="1" x14ac:dyDescent="0.2">
      <c r="A1032" s="32" t="s">
        <v>1033</v>
      </c>
      <c r="B1032" s="33">
        <v>294.52072143554699</v>
      </c>
      <c r="C1032" s="33">
        <v>76.177879333496094</v>
      </c>
      <c r="D1032" s="33">
        <v>86.429428100585895</v>
      </c>
      <c r="E1032" s="33">
        <v>92.212577819824205</v>
      </c>
    </row>
    <row r="1033" spans="1:5" ht="15" customHeight="1" x14ac:dyDescent="0.2">
      <c r="A1033" s="32" t="s">
        <v>1034</v>
      </c>
      <c r="B1033" s="33">
        <v>294.36358642578102</v>
      </c>
      <c r="C1033" s="33">
        <v>76.539047241210895</v>
      </c>
      <c r="D1033" s="33">
        <v>86.806907653808594</v>
      </c>
      <c r="E1033" s="33">
        <v>92.004478454589801</v>
      </c>
    </row>
    <row r="1034" spans="1:5" ht="15" customHeight="1" x14ac:dyDescent="0.2">
      <c r="A1034" s="32" t="s">
        <v>1035</v>
      </c>
      <c r="B1034" s="33">
        <v>293.391357421875</v>
      </c>
      <c r="C1034" s="33">
        <v>76.824172973632798</v>
      </c>
      <c r="D1034" s="33">
        <v>86.004798889160199</v>
      </c>
      <c r="E1034" s="33">
        <v>91.522109985351605</v>
      </c>
    </row>
    <row r="1035" spans="1:5" ht="15" customHeight="1" x14ac:dyDescent="0.2">
      <c r="A1035" s="32" t="s">
        <v>1036</v>
      </c>
      <c r="B1035" s="33">
        <v>296.45535278320301</v>
      </c>
      <c r="C1035" s="33">
        <v>77.755599975585895</v>
      </c>
      <c r="D1035" s="33">
        <v>86.863525390625</v>
      </c>
      <c r="E1035" s="33">
        <v>92.070693969726605</v>
      </c>
    </row>
    <row r="1036" spans="1:5" ht="15" customHeight="1" x14ac:dyDescent="0.2">
      <c r="A1036" s="32" t="s">
        <v>1037</v>
      </c>
      <c r="B1036" s="33">
        <v>296.416015625</v>
      </c>
      <c r="C1036" s="33">
        <v>77.869659423828097</v>
      </c>
      <c r="D1036" s="33">
        <v>86.467178344726605</v>
      </c>
      <c r="E1036" s="33">
        <v>92.411209106445298</v>
      </c>
    </row>
    <row r="1037" spans="1:5" ht="15" customHeight="1" x14ac:dyDescent="0.2">
      <c r="A1037" s="32" t="s">
        <v>1038</v>
      </c>
      <c r="B1037" s="33">
        <v>297.25076293945301</v>
      </c>
      <c r="C1037" s="33">
        <v>78.430412292480497</v>
      </c>
      <c r="D1037" s="33">
        <v>86.854095458984403</v>
      </c>
      <c r="E1037" s="33">
        <v>92.042343139648395</v>
      </c>
    </row>
    <row r="1038" spans="1:5" ht="15" customHeight="1" x14ac:dyDescent="0.2">
      <c r="A1038" s="32" t="s">
        <v>1039</v>
      </c>
      <c r="B1038" s="33">
        <v>297.67303466796898</v>
      </c>
      <c r="C1038" s="33">
        <v>77.622543334960895</v>
      </c>
      <c r="D1038" s="33">
        <v>86.920143127441406</v>
      </c>
      <c r="E1038" s="33">
        <v>92.174758911132798</v>
      </c>
    </row>
    <row r="1039" spans="1:5" ht="15" customHeight="1" x14ac:dyDescent="0.2">
      <c r="A1039" s="32" t="s">
        <v>1040</v>
      </c>
      <c r="B1039" s="33">
        <v>296.07229614257801</v>
      </c>
      <c r="C1039" s="33">
        <v>77.983711242675795</v>
      </c>
      <c r="D1039" s="33">
        <v>87.335357666015597</v>
      </c>
      <c r="E1039" s="33">
        <v>92.316650390625</v>
      </c>
    </row>
    <row r="1040" spans="1:5" ht="15" customHeight="1" x14ac:dyDescent="0.2">
      <c r="A1040" s="32" t="s">
        <v>1041</v>
      </c>
      <c r="B1040" s="33">
        <v>290.60244750976602</v>
      </c>
      <c r="C1040" s="33">
        <v>77.498992919921903</v>
      </c>
      <c r="D1040" s="33">
        <v>86.476623535156307</v>
      </c>
      <c r="E1040" s="33">
        <v>92.713905334472699</v>
      </c>
    </row>
    <row r="1041" spans="1:5" ht="15" customHeight="1" x14ac:dyDescent="0.2">
      <c r="A1041" s="32" t="s">
        <v>1042</v>
      </c>
      <c r="B1041" s="33">
        <v>289.11956787109398</v>
      </c>
      <c r="C1041" s="33">
        <v>77.451461791992202</v>
      </c>
      <c r="D1041" s="33">
        <v>86.816337585449205</v>
      </c>
      <c r="E1041" s="33">
        <v>92.874702453613295</v>
      </c>
    </row>
    <row r="1042" spans="1:5" ht="15" customHeight="1" x14ac:dyDescent="0.2">
      <c r="A1042" s="32" t="s">
        <v>1043</v>
      </c>
      <c r="B1042" s="33">
        <v>287.68582153320301</v>
      </c>
      <c r="C1042" s="33">
        <v>78.15478515625</v>
      </c>
      <c r="D1042" s="33">
        <v>87.882675170898395</v>
      </c>
      <c r="E1042" s="33">
        <v>93.451683044433594</v>
      </c>
    </row>
    <row r="1043" spans="1:5" ht="15" customHeight="1" x14ac:dyDescent="0.2">
      <c r="A1043" s="32" t="s">
        <v>1044</v>
      </c>
      <c r="B1043" s="33">
        <v>287.78396606445301</v>
      </c>
      <c r="C1043" s="33">
        <v>78.259338378906307</v>
      </c>
      <c r="D1043" s="33">
        <v>87.514640808105497</v>
      </c>
      <c r="E1043" s="33">
        <v>93.603019714355497</v>
      </c>
    </row>
    <row r="1044" spans="1:5" ht="15" customHeight="1" x14ac:dyDescent="0.2">
      <c r="A1044" s="32" t="s">
        <v>1045</v>
      </c>
      <c r="B1044" s="33">
        <v>283.32559204101602</v>
      </c>
      <c r="C1044" s="33">
        <v>77.375434875488295</v>
      </c>
      <c r="D1044" s="33">
        <v>87.863800048828097</v>
      </c>
      <c r="E1044" s="33">
        <v>93.461135864257798</v>
      </c>
    </row>
    <row r="1045" spans="1:5" ht="15" customHeight="1" x14ac:dyDescent="0.2">
      <c r="A1045" s="32" t="s">
        <v>1046</v>
      </c>
      <c r="B1045" s="33">
        <v>287.69561767578102</v>
      </c>
      <c r="C1045" s="33">
        <v>77.537010192871094</v>
      </c>
      <c r="D1045" s="33">
        <v>88.609291076660199</v>
      </c>
      <c r="E1045" s="33">
        <v>93.877334594726605</v>
      </c>
    </row>
    <row r="1046" spans="1:5" ht="15" customHeight="1" x14ac:dyDescent="0.2">
      <c r="A1046" s="32" t="s">
        <v>1047</v>
      </c>
      <c r="B1046" s="33">
        <v>282.53994750976602</v>
      </c>
      <c r="C1046" s="33">
        <v>78.392410278320298</v>
      </c>
      <c r="D1046" s="33">
        <v>89.024497985839801</v>
      </c>
      <c r="E1046" s="33">
        <v>94.080345153808594</v>
      </c>
    </row>
    <row r="1047" spans="1:5" ht="15" customHeight="1" x14ac:dyDescent="0.2">
      <c r="A1047" s="32" t="s">
        <v>1048</v>
      </c>
      <c r="B1047" s="33">
        <v>279.01443481445301</v>
      </c>
      <c r="C1047" s="33">
        <v>78.373390197753906</v>
      </c>
      <c r="D1047" s="33">
        <v>87.995910644531307</v>
      </c>
      <c r="E1047" s="33">
        <v>93.843170166015597</v>
      </c>
    </row>
    <row r="1048" spans="1:5" ht="15" customHeight="1" x14ac:dyDescent="0.2">
      <c r="A1048" s="32" t="s">
        <v>1049</v>
      </c>
      <c r="B1048" s="33">
        <v>282.18643188476602</v>
      </c>
      <c r="C1048" s="33">
        <v>80.245765686035199</v>
      </c>
      <c r="D1048" s="33">
        <v>88.977310180664105</v>
      </c>
      <c r="E1048" s="33">
        <v>93.520584106445298</v>
      </c>
    </row>
    <row r="1049" spans="1:5" ht="15" customHeight="1" x14ac:dyDescent="0.2">
      <c r="A1049" s="32" t="s">
        <v>1050</v>
      </c>
      <c r="B1049" s="33">
        <v>276.94241333007801</v>
      </c>
      <c r="C1049" s="33">
        <v>79.418884277343807</v>
      </c>
      <c r="D1049" s="33">
        <v>86.693664550781307</v>
      </c>
      <c r="E1049" s="33">
        <v>93.425697326660199</v>
      </c>
    </row>
    <row r="1050" spans="1:5" ht="15" customHeight="1" x14ac:dyDescent="0.2">
      <c r="A1050" s="32" t="s">
        <v>1051</v>
      </c>
      <c r="B1050" s="33">
        <v>278.24850463867199</v>
      </c>
      <c r="C1050" s="33">
        <v>80.245765686035199</v>
      </c>
      <c r="D1050" s="33">
        <v>87.212677001953097</v>
      </c>
      <c r="E1050" s="33">
        <v>93.311836242675795</v>
      </c>
    </row>
    <row r="1051" spans="1:5" ht="15" customHeight="1" x14ac:dyDescent="0.2">
      <c r="A1051" s="32" t="s">
        <v>1052</v>
      </c>
      <c r="B1051" s="33">
        <v>270.66720581054699</v>
      </c>
      <c r="C1051" s="33">
        <v>78.354385375976605</v>
      </c>
      <c r="D1051" s="33">
        <v>86.372825622558594</v>
      </c>
      <c r="E1051" s="33">
        <v>93.757766723632798</v>
      </c>
    </row>
    <row r="1052" spans="1:5" ht="15" customHeight="1" x14ac:dyDescent="0.2">
      <c r="A1052" s="32" t="s">
        <v>1053</v>
      </c>
      <c r="B1052" s="33">
        <v>268.77191162109398</v>
      </c>
      <c r="C1052" s="33">
        <v>78.088264465332003</v>
      </c>
      <c r="D1052" s="33">
        <v>85.363098144531307</v>
      </c>
      <c r="E1052" s="33">
        <v>93.425697326660199</v>
      </c>
    </row>
    <row r="1053" spans="1:5" ht="15" customHeight="1" x14ac:dyDescent="0.2">
      <c r="A1053" s="32" t="s">
        <v>1054</v>
      </c>
      <c r="B1053" s="33">
        <v>270.09762573242199</v>
      </c>
      <c r="C1053" s="33">
        <v>78.649017333984403</v>
      </c>
      <c r="D1053" s="33">
        <v>85.098884582519503</v>
      </c>
      <c r="E1053" s="33">
        <v>93.150558471679702</v>
      </c>
    </row>
    <row r="1054" spans="1:5" ht="15" customHeight="1" x14ac:dyDescent="0.2">
      <c r="A1054" s="32" t="s">
        <v>1055</v>
      </c>
      <c r="B1054" s="33">
        <v>266.30697631835898</v>
      </c>
      <c r="C1054" s="33">
        <v>78.126274108886705</v>
      </c>
      <c r="D1054" s="33">
        <v>83.419181823730497</v>
      </c>
      <c r="E1054" s="33">
        <v>93.4351806640625</v>
      </c>
    </row>
    <row r="1055" spans="1:5" ht="15" customHeight="1" x14ac:dyDescent="0.2">
      <c r="A1055" s="32" t="s">
        <v>1056</v>
      </c>
      <c r="B1055" s="33">
        <v>272.01257324218801</v>
      </c>
      <c r="C1055" s="33">
        <v>79.561447143554702</v>
      </c>
      <c r="D1055" s="33">
        <v>85.089454650878906</v>
      </c>
      <c r="E1055" s="33">
        <v>93.245429992675795</v>
      </c>
    </row>
    <row r="1056" spans="1:5" ht="15" customHeight="1" x14ac:dyDescent="0.2">
      <c r="A1056" s="32" t="s">
        <v>1057</v>
      </c>
      <c r="B1056" s="33">
        <v>274.26144409179699</v>
      </c>
      <c r="C1056" s="33">
        <v>80.454864501953097</v>
      </c>
      <c r="D1056" s="33">
        <v>86.542678833007798</v>
      </c>
      <c r="E1056" s="33">
        <v>93.368782043457102</v>
      </c>
    </row>
    <row r="1057" spans="1:5" ht="15" customHeight="1" x14ac:dyDescent="0.2">
      <c r="A1057" s="32" t="s">
        <v>1058</v>
      </c>
      <c r="B1057" s="33">
        <v>271.30548095703102</v>
      </c>
      <c r="C1057" s="33">
        <v>80.445358276367202</v>
      </c>
      <c r="D1057" s="33">
        <v>86.089729309082003</v>
      </c>
      <c r="E1057" s="33">
        <v>93.463638305664105</v>
      </c>
    </row>
    <row r="1058" spans="1:5" ht="15" customHeight="1" x14ac:dyDescent="0.2">
      <c r="A1058" s="32" t="s">
        <v>1059</v>
      </c>
      <c r="B1058" s="33">
        <v>274.38906860351602</v>
      </c>
      <c r="C1058" s="33">
        <v>80.682968139648395</v>
      </c>
      <c r="D1058" s="33">
        <v>86.193527221679702</v>
      </c>
      <c r="E1058" s="33">
        <v>93.738800048828097</v>
      </c>
    </row>
    <row r="1059" spans="1:5" ht="15" customHeight="1" x14ac:dyDescent="0.2">
      <c r="A1059" s="32" t="s">
        <v>1060</v>
      </c>
      <c r="B1059" s="33">
        <v>273.73114013671898</v>
      </c>
      <c r="C1059" s="33">
        <v>80.008148193359403</v>
      </c>
      <c r="D1059" s="33">
        <v>86.136909484863295</v>
      </c>
      <c r="E1059" s="33">
        <v>93.795715332031193</v>
      </c>
    </row>
    <row r="1060" spans="1:5" ht="15" customHeight="1" x14ac:dyDescent="0.2">
      <c r="A1060" s="32" t="s">
        <v>1061</v>
      </c>
      <c r="B1060" s="33">
        <v>273.83917236328102</v>
      </c>
      <c r="C1060" s="33">
        <v>79.513923645019503</v>
      </c>
      <c r="D1060" s="33">
        <v>85.183807373046903</v>
      </c>
      <c r="E1060" s="33">
        <v>93.681869506835895</v>
      </c>
    </row>
    <row r="1061" spans="1:5" ht="15" customHeight="1" x14ac:dyDescent="0.2">
      <c r="A1061" s="32" t="s">
        <v>1062</v>
      </c>
      <c r="B1061" s="33">
        <v>278.90643310546898</v>
      </c>
      <c r="C1061" s="33">
        <v>79.504417419433594</v>
      </c>
      <c r="D1061" s="33">
        <v>86.495498657226605</v>
      </c>
      <c r="E1061" s="33">
        <v>93.321334838867202</v>
      </c>
    </row>
    <row r="1062" spans="1:5" ht="15" customHeight="1" x14ac:dyDescent="0.2">
      <c r="A1062" s="32" t="s">
        <v>1063</v>
      </c>
      <c r="B1062" s="33">
        <v>279.37783813476602</v>
      </c>
      <c r="C1062" s="33">
        <v>79.941619873046903</v>
      </c>
      <c r="D1062" s="33">
        <v>85.524986267089801</v>
      </c>
      <c r="E1062" s="33">
        <v>93.406723022460895</v>
      </c>
    </row>
    <row r="1063" spans="1:5" ht="15" customHeight="1" x14ac:dyDescent="0.2">
      <c r="A1063" s="32" t="s">
        <v>1064</v>
      </c>
      <c r="B1063" s="33">
        <v>276.107666015625</v>
      </c>
      <c r="C1063" s="33">
        <v>78.9056396484375</v>
      </c>
      <c r="D1063" s="33">
        <v>85.858665466308594</v>
      </c>
      <c r="E1063" s="33">
        <v>93.179016113281193</v>
      </c>
    </row>
    <row r="1064" spans="1:5" ht="15" customHeight="1" x14ac:dyDescent="0.2">
      <c r="A1064" s="32" t="s">
        <v>1065</v>
      </c>
      <c r="B1064" s="33">
        <v>274.93981933593801</v>
      </c>
      <c r="C1064" s="33">
        <v>79.076713562011705</v>
      </c>
      <c r="D1064" s="33">
        <v>85.639389038085895</v>
      </c>
      <c r="E1064" s="33">
        <v>93.131599426269503</v>
      </c>
    </row>
    <row r="1065" spans="1:5" ht="15" customHeight="1" x14ac:dyDescent="0.2">
      <c r="A1065" s="32" t="s">
        <v>1066</v>
      </c>
      <c r="B1065" s="33">
        <v>269.46054077148398</v>
      </c>
      <c r="C1065" s="33">
        <v>78.373390197753906</v>
      </c>
      <c r="D1065" s="33">
        <v>85.524986267089801</v>
      </c>
      <c r="E1065" s="33">
        <v>93.67236328125</v>
      </c>
    </row>
    <row r="1066" spans="1:5" ht="15" customHeight="1" x14ac:dyDescent="0.2">
      <c r="A1066" s="32" t="s">
        <v>1067</v>
      </c>
      <c r="B1066" s="33">
        <v>270.85009765625</v>
      </c>
      <c r="C1066" s="33">
        <v>77.679573059082003</v>
      </c>
      <c r="D1066" s="33">
        <v>86.316268920898395</v>
      </c>
      <c r="E1066" s="33">
        <v>93.852645874023395</v>
      </c>
    </row>
    <row r="1067" spans="1:5" ht="15" customHeight="1" x14ac:dyDescent="0.2">
      <c r="A1067" s="32" t="s">
        <v>1068</v>
      </c>
      <c r="B1067" s="33">
        <v>271.76657104492199</v>
      </c>
      <c r="C1067" s="33">
        <v>77.793624877929702</v>
      </c>
      <c r="D1067" s="33">
        <v>86.354408264160199</v>
      </c>
      <c r="E1067" s="33">
        <v>94.200096130371094</v>
      </c>
    </row>
    <row r="1068" spans="1:5" ht="15" customHeight="1" x14ac:dyDescent="0.2">
      <c r="A1068" s="32" t="s">
        <v>1069</v>
      </c>
      <c r="B1068" s="33">
        <v>273.91494750976602</v>
      </c>
      <c r="C1068" s="33">
        <v>77.974205017089801</v>
      </c>
      <c r="D1068" s="33">
        <v>86.878738403320298</v>
      </c>
      <c r="E1068" s="33">
        <v>94.095382690429702</v>
      </c>
    </row>
    <row r="1069" spans="1:5" ht="15" customHeight="1" x14ac:dyDescent="0.2">
      <c r="A1069" s="32" t="s">
        <v>1070</v>
      </c>
      <c r="B1069" s="33">
        <v>260.12802124023398</v>
      </c>
      <c r="C1069" s="33">
        <v>76.339447021484403</v>
      </c>
      <c r="D1069" s="33">
        <v>83.913833618164105</v>
      </c>
      <c r="E1069" s="33">
        <v>94.590370178222699</v>
      </c>
    </row>
    <row r="1070" spans="1:5" ht="15" customHeight="1" x14ac:dyDescent="0.2">
      <c r="A1070" s="32" t="s">
        <v>1071</v>
      </c>
      <c r="B1070" s="33">
        <v>244.86289978027301</v>
      </c>
      <c r="C1070" s="33">
        <v>71.302108764648395</v>
      </c>
      <c r="D1070" s="33">
        <v>80.272026062011705</v>
      </c>
      <c r="E1070" s="33">
        <v>94.676048278808594</v>
      </c>
    </row>
    <row r="1071" spans="1:5" ht="15" customHeight="1" x14ac:dyDescent="0.2">
      <c r="A1071" s="32" t="s">
        <v>1072</v>
      </c>
      <c r="B1071" s="33">
        <v>244.06468200683599</v>
      </c>
      <c r="C1071" s="33">
        <v>69.581809997558594</v>
      </c>
      <c r="D1071" s="33">
        <v>78.165130615234403</v>
      </c>
      <c r="E1071" s="33">
        <v>93.476646423339801</v>
      </c>
    </row>
    <row r="1072" spans="1:5" ht="15" customHeight="1" x14ac:dyDescent="0.2">
      <c r="A1072" s="32" t="s">
        <v>1073</v>
      </c>
      <c r="B1072" s="33">
        <v>240.21145629882801</v>
      </c>
      <c r="C1072" s="33">
        <v>69.344200134277301</v>
      </c>
      <c r="D1072" s="33">
        <v>76.067764282226605</v>
      </c>
      <c r="E1072" s="33">
        <v>92.991180419921903</v>
      </c>
    </row>
    <row r="1073" spans="1:5" ht="15" customHeight="1" x14ac:dyDescent="0.2">
      <c r="A1073" s="32" t="s">
        <v>1074</v>
      </c>
      <c r="B1073" s="33">
        <v>264.58245849609398</v>
      </c>
      <c r="C1073" s="33">
        <v>74.695175170898395</v>
      </c>
      <c r="D1073" s="33">
        <v>80.605705261230497</v>
      </c>
      <c r="E1073" s="33">
        <v>93.200614929199205</v>
      </c>
    </row>
    <row r="1074" spans="1:5" ht="15" customHeight="1" x14ac:dyDescent="0.2">
      <c r="A1074" s="32" t="s">
        <v>1075</v>
      </c>
      <c r="B1074" s="33">
        <v>253.69282531738301</v>
      </c>
      <c r="C1074" s="33">
        <v>73.222007751464801</v>
      </c>
      <c r="D1074" s="33">
        <v>78.765739440917997</v>
      </c>
      <c r="E1074" s="33">
        <v>92.467643737792997</v>
      </c>
    </row>
    <row r="1075" spans="1:5" ht="15" customHeight="1" x14ac:dyDescent="0.2">
      <c r="A1075" s="32" t="s">
        <v>1076</v>
      </c>
      <c r="B1075" s="33">
        <v>257.94024658203102</v>
      </c>
      <c r="C1075" s="33">
        <v>75.056350708007798</v>
      </c>
      <c r="D1075" s="33">
        <v>79.728630065917997</v>
      </c>
      <c r="E1075" s="33">
        <v>92.3724365234375</v>
      </c>
    </row>
    <row r="1076" spans="1:5" ht="15" customHeight="1" x14ac:dyDescent="0.2">
      <c r="A1076" s="32" t="s">
        <v>1077</v>
      </c>
      <c r="B1076" s="33">
        <v>260.31527709960898</v>
      </c>
      <c r="C1076" s="33">
        <v>75.864227294921903</v>
      </c>
      <c r="D1076" s="33">
        <v>81.377914428710895</v>
      </c>
      <c r="E1076" s="33">
        <v>92.915008544921903</v>
      </c>
    </row>
    <row r="1077" spans="1:5" ht="15" customHeight="1" x14ac:dyDescent="0.2">
      <c r="A1077" s="32" t="s">
        <v>1078</v>
      </c>
      <c r="B1077" s="33">
        <v>259.86196899414102</v>
      </c>
      <c r="C1077" s="33">
        <v>76.548545837402301</v>
      </c>
      <c r="D1077" s="33">
        <v>81.625793457031307</v>
      </c>
      <c r="E1077" s="33">
        <v>93.105400085449205</v>
      </c>
    </row>
    <row r="1078" spans="1:5" ht="15" customHeight="1" x14ac:dyDescent="0.2">
      <c r="A1078" s="32" t="s">
        <v>1079</v>
      </c>
      <c r="B1078" s="33">
        <v>254.46151733398401</v>
      </c>
      <c r="C1078" s="33">
        <v>76.253913879394503</v>
      </c>
      <c r="D1078" s="33">
        <v>81.568588256835895</v>
      </c>
      <c r="E1078" s="33">
        <v>93.400505065917997</v>
      </c>
    </row>
    <row r="1079" spans="1:5" ht="15" customHeight="1" x14ac:dyDescent="0.2">
      <c r="A1079" s="32" t="s">
        <v>1080</v>
      </c>
      <c r="B1079" s="33">
        <v>254.99366760253901</v>
      </c>
      <c r="C1079" s="33">
        <v>77.080795288085895</v>
      </c>
      <c r="D1079" s="33">
        <v>82.788871765136705</v>
      </c>
      <c r="E1079" s="33">
        <v>93.162521362304702</v>
      </c>
    </row>
    <row r="1080" spans="1:5" ht="15" customHeight="1" x14ac:dyDescent="0.2">
      <c r="A1080" s="32" t="s">
        <v>1081</v>
      </c>
      <c r="B1080" s="33">
        <v>248.93298339843801</v>
      </c>
      <c r="C1080" s="33">
        <v>76.662605285644503</v>
      </c>
      <c r="D1080" s="33">
        <v>81.063316345214801</v>
      </c>
      <c r="E1080" s="33">
        <v>92.600891113281193</v>
      </c>
    </row>
    <row r="1081" spans="1:5" ht="15" customHeight="1" x14ac:dyDescent="0.2">
      <c r="A1081" s="32" t="s">
        <v>1082</v>
      </c>
      <c r="B1081" s="33">
        <v>255.26962280273401</v>
      </c>
      <c r="C1081" s="33">
        <v>78.249832153320298</v>
      </c>
      <c r="D1081" s="33">
        <v>82.636337280273395</v>
      </c>
      <c r="E1081" s="33">
        <v>92.772224426269503</v>
      </c>
    </row>
    <row r="1082" spans="1:5" ht="15" customHeight="1" x14ac:dyDescent="0.2">
      <c r="A1082" s="32" t="s">
        <v>1083</v>
      </c>
      <c r="B1082" s="33">
        <v>259.61563110351602</v>
      </c>
      <c r="C1082" s="33">
        <v>78.563484191894503</v>
      </c>
      <c r="D1082" s="33">
        <v>82.788871765136705</v>
      </c>
      <c r="E1082" s="33">
        <v>93.000679016113295</v>
      </c>
    </row>
    <row r="1083" spans="1:5" ht="15" customHeight="1" x14ac:dyDescent="0.2">
      <c r="A1083" s="32" t="s">
        <v>1084</v>
      </c>
      <c r="B1083" s="33">
        <v>265.08499145507801</v>
      </c>
      <c r="C1083" s="33">
        <v>79.608970642089801</v>
      </c>
      <c r="D1083" s="33">
        <v>83.093955993652301</v>
      </c>
      <c r="E1083" s="33">
        <v>93.514717102050795</v>
      </c>
    </row>
    <row r="1084" spans="1:5" ht="15" customHeight="1" x14ac:dyDescent="0.2">
      <c r="A1084" s="32" t="s">
        <v>1085</v>
      </c>
      <c r="B1084" s="33">
        <v>266.71105957031301</v>
      </c>
      <c r="C1084" s="33">
        <v>79.951126098632798</v>
      </c>
      <c r="D1084" s="33">
        <v>82.950942993164105</v>
      </c>
      <c r="E1084" s="33">
        <v>93.857391357421903</v>
      </c>
    </row>
    <row r="1085" spans="1:5" ht="15" customHeight="1" x14ac:dyDescent="0.2">
      <c r="A1085" s="32" t="s">
        <v>1086</v>
      </c>
      <c r="B1085" s="33">
        <v>267.09539794921898</v>
      </c>
      <c r="C1085" s="33">
        <v>80.483375549316406</v>
      </c>
      <c r="D1085" s="33">
        <v>83.465751647949205</v>
      </c>
      <c r="E1085" s="33">
        <v>94.114425659179702</v>
      </c>
    </row>
    <row r="1086" spans="1:5" ht="15" customHeight="1" x14ac:dyDescent="0.2">
      <c r="A1086" s="32" t="s">
        <v>1087</v>
      </c>
      <c r="B1086" s="33">
        <v>268.70175170898398</v>
      </c>
      <c r="C1086" s="33">
        <v>80.644943237304702</v>
      </c>
      <c r="D1086" s="33">
        <v>83.913833618164105</v>
      </c>
      <c r="E1086" s="33">
        <v>94.342872619628906</v>
      </c>
    </row>
    <row r="1087" spans="1:5" ht="15" customHeight="1" x14ac:dyDescent="0.2">
      <c r="A1087" s="32" t="s">
        <v>1088</v>
      </c>
      <c r="B1087" s="33">
        <v>268.85940551757801</v>
      </c>
      <c r="C1087" s="33">
        <v>80.549911499023395</v>
      </c>
      <c r="D1087" s="33">
        <v>84.209365844726605</v>
      </c>
      <c r="E1087" s="33">
        <v>94.257194519042997</v>
      </c>
    </row>
    <row r="1088" spans="1:5" ht="15" customHeight="1" x14ac:dyDescent="0.2">
      <c r="A1088" s="32" t="s">
        <v>1089</v>
      </c>
      <c r="B1088" s="33">
        <v>270.53472900390602</v>
      </c>
      <c r="C1088" s="33">
        <v>80.293289184570298</v>
      </c>
      <c r="D1088" s="33">
        <v>84.485832214355497</v>
      </c>
      <c r="E1088" s="33">
        <v>94.000305175781193</v>
      </c>
    </row>
    <row r="1089" spans="1:5" ht="15" customHeight="1" x14ac:dyDescent="0.2">
      <c r="A1089" s="32" t="s">
        <v>1090</v>
      </c>
      <c r="B1089" s="33">
        <v>274.75262451171898</v>
      </c>
      <c r="C1089" s="33">
        <v>81.832992553710895</v>
      </c>
      <c r="D1089" s="33">
        <v>85.524986267089801</v>
      </c>
      <c r="E1089" s="33">
        <v>93.541908264160199</v>
      </c>
    </row>
    <row r="1090" spans="1:5" ht="15" customHeight="1" x14ac:dyDescent="0.2">
      <c r="A1090" s="32" t="s">
        <v>1091</v>
      </c>
      <c r="B1090" s="33">
        <v>273.19552612304699</v>
      </c>
      <c r="C1090" s="33">
        <v>81.975570678710895</v>
      </c>
      <c r="D1090" s="33">
        <v>85.334320068359403</v>
      </c>
      <c r="E1090" s="33">
        <v>93.379562377929702</v>
      </c>
    </row>
    <row r="1091" spans="1:5" ht="15" customHeight="1" x14ac:dyDescent="0.2">
      <c r="A1091" s="32" t="s">
        <v>1092</v>
      </c>
      <c r="B1091" s="33">
        <v>270.97821044921898</v>
      </c>
      <c r="C1091" s="33">
        <v>81.871009826660199</v>
      </c>
      <c r="D1091" s="33">
        <v>84.676506042480497</v>
      </c>
      <c r="E1091" s="33">
        <v>93.608741760253906</v>
      </c>
    </row>
    <row r="1092" spans="1:5" ht="15" customHeight="1" x14ac:dyDescent="0.2">
      <c r="A1092" s="32" t="s">
        <v>1093</v>
      </c>
      <c r="B1092" s="33">
        <v>272.10162353515602</v>
      </c>
      <c r="C1092" s="33">
        <v>81.595382690429702</v>
      </c>
      <c r="D1092" s="33">
        <v>84.771827697753906</v>
      </c>
      <c r="E1092" s="33">
        <v>93.752006530761705</v>
      </c>
    </row>
    <row r="1093" spans="1:5" ht="15" customHeight="1" x14ac:dyDescent="0.2">
      <c r="A1093" s="32" t="s">
        <v>1094</v>
      </c>
      <c r="B1093" s="33">
        <v>274.24014282226602</v>
      </c>
      <c r="C1093" s="33">
        <v>81.310264587402301</v>
      </c>
      <c r="D1093" s="33">
        <v>84.438163757324205</v>
      </c>
      <c r="E1093" s="33">
        <v>93.264961242675795</v>
      </c>
    </row>
    <row r="1094" spans="1:5" ht="15" customHeight="1" x14ac:dyDescent="0.2">
      <c r="A1094" s="32" t="s">
        <v>1095</v>
      </c>
      <c r="B1094" s="33">
        <v>273.93463134765602</v>
      </c>
      <c r="C1094" s="33">
        <v>81.709442138671903</v>
      </c>
      <c r="D1094" s="33">
        <v>85.000648498535199</v>
      </c>
      <c r="E1094" s="33">
        <v>93.3604736328125</v>
      </c>
    </row>
    <row r="1095" spans="1:5" ht="15" customHeight="1" x14ac:dyDescent="0.2">
      <c r="A1095" s="32" t="s">
        <v>1096</v>
      </c>
      <c r="B1095" s="33">
        <v>283.09963989257801</v>
      </c>
      <c r="C1095" s="33">
        <v>82.127639770507798</v>
      </c>
      <c r="D1095" s="33">
        <v>85.420120239257798</v>
      </c>
      <c r="E1095" s="33">
        <v>93.045310974121094</v>
      </c>
    </row>
    <row r="1096" spans="1:5" ht="15" customHeight="1" x14ac:dyDescent="0.2">
      <c r="A1096" s="32" t="s">
        <v>1097</v>
      </c>
      <c r="B1096" s="33">
        <v>285.02133178710898</v>
      </c>
      <c r="C1096" s="33">
        <v>82.232177734375</v>
      </c>
      <c r="D1096" s="33">
        <v>84.333305358886705</v>
      </c>
      <c r="E1096" s="33">
        <v>92.949821472167997</v>
      </c>
    </row>
    <row r="1097" spans="1:5" ht="15" customHeight="1" x14ac:dyDescent="0.2">
      <c r="A1097" s="32" t="s">
        <v>1098</v>
      </c>
      <c r="B1097" s="33">
        <v>285.20858764648398</v>
      </c>
      <c r="C1097" s="33">
        <v>81.832992553710895</v>
      </c>
      <c r="D1097" s="33">
        <v>83.503890991210895</v>
      </c>
      <c r="E1097" s="33">
        <v>92.682411193847699</v>
      </c>
    </row>
    <row r="1098" spans="1:5" ht="15" customHeight="1" x14ac:dyDescent="0.2">
      <c r="A1098" s="32" t="s">
        <v>1099</v>
      </c>
      <c r="B1098" s="33">
        <v>286.37145996093801</v>
      </c>
      <c r="C1098" s="33">
        <v>82.726417541503906</v>
      </c>
      <c r="D1098" s="33">
        <v>85.029251098632798</v>
      </c>
      <c r="E1098" s="33">
        <v>93.207679748535199</v>
      </c>
    </row>
    <row r="1099" spans="1:5" ht="15" customHeight="1" x14ac:dyDescent="0.2">
      <c r="A1099" s="32" t="s">
        <v>1100</v>
      </c>
      <c r="B1099" s="33">
        <v>288.33255004882801</v>
      </c>
      <c r="C1099" s="33">
        <v>82.91650390625</v>
      </c>
      <c r="D1099" s="33">
        <v>86.087471008300795</v>
      </c>
      <c r="E1099" s="33">
        <v>93.264961242675795</v>
      </c>
    </row>
    <row r="1100" spans="1:5" ht="15" customHeight="1" x14ac:dyDescent="0.2">
      <c r="A1100" s="32" t="s">
        <v>1101</v>
      </c>
      <c r="B1100" s="33">
        <v>288.55923461914102</v>
      </c>
      <c r="C1100" s="33">
        <v>83.705375671386705</v>
      </c>
      <c r="D1100" s="33">
        <v>86.106529235839801</v>
      </c>
      <c r="E1100" s="33">
        <v>93.236297607421903</v>
      </c>
    </row>
    <row r="1101" spans="1:5" ht="15" customHeight="1" x14ac:dyDescent="0.2">
      <c r="A1101" s="32" t="s">
        <v>1102</v>
      </c>
      <c r="B1101" s="33">
        <v>287.61312866210898</v>
      </c>
      <c r="C1101" s="33">
        <v>84.104560852050795</v>
      </c>
      <c r="D1101" s="33">
        <v>85.601264953613295</v>
      </c>
      <c r="E1101" s="33">
        <v>93.073944091796903</v>
      </c>
    </row>
    <row r="1102" spans="1:5" ht="15" customHeight="1" x14ac:dyDescent="0.2">
      <c r="A1102" s="32" t="s">
        <v>1103</v>
      </c>
      <c r="B1102" s="33">
        <v>282.60690307617199</v>
      </c>
      <c r="C1102" s="33">
        <v>83.610328674316406</v>
      </c>
      <c r="D1102" s="33">
        <v>83.322746276855497</v>
      </c>
      <c r="E1102" s="33">
        <v>92.4627685546875</v>
      </c>
    </row>
    <row r="1103" spans="1:5" ht="15" customHeight="1" x14ac:dyDescent="0.2">
      <c r="A1103" s="32" t="s">
        <v>1104</v>
      </c>
      <c r="B1103" s="33">
        <v>282.55758666992199</v>
      </c>
      <c r="C1103" s="33">
        <v>83.562797546386705</v>
      </c>
      <c r="D1103" s="33">
        <v>82.941413879394503</v>
      </c>
      <c r="E1103" s="33">
        <v>92.730178833007798</v>
      </c>
    </row>
    <row r="1104" spans="1:5" ht="15" customHeight="1" x14ac:dyDescent="0.2">
      <c r="A1104" s="32" t="s">
        <v>1105</v>
      </c>
      <c r="B1104" s="33">
        <v>280.90200805664102</v>
      </c>
      <c r="C1104" s="33">
        <v>83.676856994628906</v>
      </c>
      <c r="D1104" s="33">
        <v>83.027206420898395</v>
      </c>
      <c r="E1104" s="33">
        <v>92.863853454589801</v>
      </c>
    </row>
    <row r="1105" spans="1:5" ht="15" customHeight="1" x14ac:dyDescent="0.2">
      <c r="A1105" s="32" t="s">
        <v>1106</v>
      </c>
      <c r="B1105" s="33">
        <v>286.67694091796898</v>
      </c>
      <c r="C1105" s="33">
        <v>84.893424987792997</v>
      </c>
      <c r="D1105" s="33">
        <v>84.476310729980497</v>
      </c>
      <c r="E1105" s="33">
        <v>93.284065246582102</v>
      </c>
    </row>
    <row r="1106" spans="1:5" ht="15" customHeight="1" x14ac:dyDescent="0.2">
      <c r="A1106" s="32" t="s">
        <v>1107</v>
      </c>
      <c r="B1106" s="33">
        <v>284.99176025390602</v>
      </c>
      <c r="C1106" s="33">
        <v>83.914466857910199</v>
      </c>
      <c r="D1106" s="33">
        <v>84.3905029296875</v>
      </c>
      <c r="E1106" s="33">
        <v>93.112167358398395</v>
      </c>
    </row>
    <row r="1107" spans="1:5" ht="15" customHeight="1" x14ac:dyDescent="0.2">
      <c r="A1107" s="32" t="s">
        <v>1108</v>
      </c>
      <c r="B1107" s="33">
        <v>285.90826416015602</v>
      </c>
      <c r="C1107" s="33">
        <v>84.285140991210895</v>
      </c>
      <c r="D1107" s="33">
        <v>85.153182983398395</v>
      </c>
      <c r="E1107" s="33">
        <v>93.455963134765597</v>
      </c>
    </row>
    <row r="1108" spans="1:5" ht="15" customHeight="1" x14ac:dyDescent="0.2">
      <c r="A1108" s="32" t="s">
        <v>1109</v>
      </c>
      <c r="B1108" s="33">
        <v>285.67178344726602</v>
      </c>
      <c r="C1108" s="33">
        <v>84.408699035644503</v>
      </c>
      <c r="D1108" s="33">
        <v>85.153182983398395</v>
      </c>
      <c r="E1108" s="33">
        <v>93.685165405273395</v>
      </c>
    </row>
    <row r="1109" spans="1:5" ht="15" customHeight="1" x14ac:dyDescent="0.2">
      <c r="A1109" s="32" t="s">
        <v>1110</v>
      </c>
      <c r="B1109" s="33">
        <v>287.13027954101602</v>
      </c>
      <c r="C1109" s="33">
        <v>85.311614990234403</v>
      </c>
      <c r="D1109" s="33">
        <v>85.267593383789105</v>
      </c>
      <c r="E1109" s="33">
        <v>93.438903808593807</v>
      </c>
    </row>
    <row r="1110" spans="1:5" ht="15" customHeight="1" x14ac:dyDescent="0.2">
      <c r="A1110" s="32" t="s">
        <v>1111</v>
      </c>
      <c r="B1110" s="33">
        <v>289.111083984375</v>
      </c>
      <c r="C1110" s="33">
        <v>84.665321350097699</v>
      </c>
      <c r="D1110" s="33">
        <v>85.095985412597699</v>
      </c>
      <c r="E1110" s="33">
        <v>93.371849060058594</v>
      </c>
    </row>
    <row r="1111" spans="1:5" ht="15" customHeight="1" x14ac:dyDescent="0.2">
      <c r="A1111" s="32" t="s">
        <v>1112</v>
      </c>
      <c r="B1111" s="33">
        <v>289.08151245117199</v>
      </c>
      <c r="C1111" s="33">
        <v>85.045494079589801</v>
      </c>
      <c r="D1111" s="33">
        <v>85.334320068359403</v>
      </c>
      <c r="E1111" s="33">
        <v>93.927566528320298</v>
      </c>
    </row>
    <row r="1112" spans="1:5" ht="15" customHeight="1" x14ac:dyDescent="0.2">
      <c r="A1112" s="32" t="s">
        <v>1113</v>
      </c>
      <c r="B1112" s="33">
        <v>287.48501586914102</v>
      </c>
      <c r="C1112" s="33">
        <v>84.988456726074205</v>
      </c>
      <c r="D1112" s="33">
        <v>85.267593383789105</v>
      </c>
      <c r="E1112" s="33">
        <v>93.688041687011705</v>
      </c>
    </row>
    <row r="1113" spans="1:5" ht="15" customHeight="1" x14ac:dyDescent="0.2">
      <c r="A1113" s="32" t="s">
        <v>1114</v>
      </c>
      <c r="B1113" s="33">
        <v>290.83566284179699</v>
      </c>
      <c r="C1113" s="33">
        <v>85.2926025390625</v>
      </c>
      <c r="D1113" s="33">
        <v>85.677528381347699</v>
      </c>
      <c r="E1113" s="33">
        <v>93.208961486816406</v>
      </c>
    </row>
    <row r="1114" spans="1:5" ht="15" customHeight="1" x14ac:dyDescent="0.2">
      <c r="A1114" s="32" t="s">
        <v>1115</v>
      </c>
      <c r="B1114" s="33">
        <v>291.07217407226602</v>
      </c>
      <c r="C1114" s="33">
        <v>85.283103942871094</v>
      </c>
      <c r="D1114" s="33">
        <v>85.791923522949205</v>
      </c>
      <c r="E1114" s="33">
        <v>93.323936462402301</v>
      </c>
    </row>
    <row r="1115" spans="1:5" ht="15" customHeight="1" x14ac:dyDescent="0.2">
      <c r="A1115" s="32" t="s">
        <v>1116</v>
      </c>
      <c r="B1115" s="33">
        <v>292.60958862304699</v>
      </c>
      <c r="C1115" s="33">
        <v>85.397155761718807</v>
      </c>
      <c r="D1115" s="33">
        <v>86.526008605957003</v>
      </c>
      <c r="E1115" s="33">
        <v>93.534736633300795</v>
      </c>
    </row>
    <row r="1116" spans="1:5" ht="15" customHeight="1" x14ac:dyDescent="0.2">
      <c r="A1116" s="32" t="s">
        <v>1117</v>
      </c>
      <c r="B1116" s="33">
        <v>291.83099365234398</v>
      </c>
      <c r="C1116" s="33">
        <v>85.254585266113295</v>
      </c>
      <c r="D1116" s="33">
        <v>86.058853149414105</v>
      </c>
      <c r="E1116" s="33">
        <v>93.850914001464801</v>
      </c>
    </row>
    <row r="1117" spans="1:5" ht="15" customHeight="1" x14ac:dyDescent="0.2">
      <c r="A1117" s="32" t="s">
        <v>1118</v>
      </c>
      <c r="B1117" s="33">
        <v>292.76721191406301</v>
      </c>
      <c r="C1117" s="33">
        <v>85.910392761230497</v>
      </c>
      <c r="D1117" s="33">
        <v>86.478332519531307</v>
      </c>
      <c r="E1117" s="33">
        <v>94.195854187011705</v>
      </c>
    </row>
    <row r="1118" spans="1:5" ht="15" customHeight="1" x14ac:dyDescent="0.2">
      <c r="A1118" s="32" t="s">
        <v>1119</v>
      </c>
      <c r="B1118" s="33">
        <v>289.30822753906301</v>
      </c>
      <c r="C1118" s="33">
        <v>84.807884216308594</v>
      </c>
      <c r="D1118" s="33">
        <v>85.639389038085895</v>
      </c>
      <c r="E1118" s="33">
        <v>93.860504150390597</v>
      </c>
    </row>
    <row r="1119" spans="1:5" ht="15" customHeight="1" x14ac:dyDescent="0.2">
      <c r="A1119" s="32" t="s">
        <v>1120</v>
      </c>
      <c r="B1119" s="33">
        <v>292.16610717773398</v>
      </c>
      <c r="C1119" s="33">
        <v>85.125991821289105</v>
      </c>
      <c r="D1119" s="33">
        <v>85.706123352050795</v>
      </c>
      <c r="E1119" s="33">
        <v>93.668876647949205</v>
      </c>
    </row>
    <row r="1120" spans="1:5" ht="15" customHeight="1" x14ac:dyDescent="0.2">
      <c r="A1120" s="32" t="s">
        <v>1121</v>
      </c>
      <c r="B1120" s="33">
        <v>289.73193359375</v>
      </c>
      <c r="C1120" s="33">
        <v>84.081741333007798</v>
      </c>
      <c r="D1120" s="33">
        <v>85.401062011718807</v>
      </c>
      <c r="E1120" s="33">
        <v>93.956298828125</v>
      </c>
    </row>
    <row r="1121" spans="1:5" ht="15" customHeight="1" x14ac:dyDescent="0.2">
      <c r="A1121" s="32" t="s">
        <v>1122</v>
      </c>
      <c r="B1121" s="33">
        <v>289.84033203125</v>
      </c>
      <c r="C1121" s="33">
        <v>84.226776123046903</v>
      </c>
      <c r="D1121" s="33">
        <v>85.696586608886705</v>
      </c>
      <c r="E1121" s="33">
        <v>94.023391723632798</v>
      </c>
    </row>
    <row r="1122" spans="1:5" ht="15" customHeight="1" x14ac:dyDescent="0.2">
      <c r="A1122" s="32" t="s">
        <v>1123</v>
      </c>
      <c r="B1122" s="33">
        <v>289.17025756835898</v>
      </c>
      <c r="C1122" s="33">
        <v>83.472595214843807</v>
      </c>
      <c r="D1122" s="33">
        <v>85.639389038085895</v>
      </c>
      <c r="E1122" s="33">
        <v>94.109626770019503</v>
      </c>
    </row>
    <row r="1123" spans="1:5" ht="15" customHeight="1" x14ac:dyDescent="0.2">
      <c r="A1123" s="32" t="s">
        <v>1124</v>
      </c>
      <c r="B1123" s="33">
        <v>291.94924926757801</v>
      </c>
      <c r="C1123" s="33">
        <v>84.101081848144503</v>
      </c>
      <c r="D1123" s="33">
        <v>86.926414489746094</v>
      </c>
      <c r="E1123" s="33">
        <v>94.301261901855497</v>
      </c>
    </row>
    <row r="1124" spans="1:5" ht="15" customHeight="1" x14ac:dyDescent="0.2">
      <c r="A1124" s="32" t="s">
        <v>1125</v>
      </c>
      <c r="B1124" s="33">
        <v>295.35903930664102</v>
      </c>
      <c r="C1124" s="33">
        <v>85.125991821289105</v>
      </c>
      <c r="D1124" s="33">
        <v>87.155212402343807</v>
      </c>
      <c r="E1124" s="33">
        <v>94.684501647949205</v>
      </c>
    </row>
    <row r="1125" spans="1:5" ht="15" customHeight="1" x14ac:dyDescent="0.2">
      <c r="A1125" s="32" t="s">
        <v>1126</v>
      </c>
      <c r="B1125" s="33">
        <v>295.01409912109398</v>
      </c>
      <c r="C1125" s="33">
        <v>84.661880493164105</v>
      </c>
      <c r="D1125" s="33">
        <v>85.057838439941406</v>
      </c>
      <c r="E1125" s="33">
        <v>94.6749267578125</v>
      </c>
    </row>
    <row r="1126" spans="1:5" ht="15" customHeight="1" x14ac:dyDescent="0.2">
      <c r="A1126" s="32" t="s">
        <v>1127</v>
      </c>
      <c r="B1126" s="33">
        <v>297.55667114257801</v>
      </c>
      <c r="C1126" s="33">
        <v>85.609443664550795</v>
      </c>
      <c r="D1126" s="33">
        <v>84.978904724121094</v>
      </c>
      <c r="E1126" s="33">
        <v>94.933631896972699</v>
      </c>
    </row>
    <row r="1127" spans="1:5" ht="15" customHeight="1" x14ac:dyDescent="0.2">
      <c r="A1127" s="32" t="s">
        <v>1128</v>
      </c>
      <c r="B1127" s="33">
        <v>298.90682983398398</v>
      </c>
      <c r="C1127" s="33">
        <v>86.382965087890597</v>
      </c>
      <c r="D1127" s="33">
        <v>85.190704345703097</v>
      </c>
      <c r="E1127" s="33">
        <v>94.665351867675795</v>
      </c>
    </row>
    <row r="1128" spans="1:5" ht="15" customHeight="1" x14ac:dyDescent="0.2">
      <c r="A1128" s="32" t="s">
        <v>1129</v>
      </c>
      <c r="B1128" s="33">
        <v>300.42208862304699</v>
      </c>
      <c r="C1128" s="33">
        <v>86.431312561035199</v>
      </c>
      <c r="D1128" s="33">
        <v>85.739448547363295</v>
      </c>
      <c r="E1128" s="33">
        <v>95.048599243164105</v>
      </c>
    </row>
    <row r="1129" spans="1:5" ht="15" customHeight="1" x14ac:dyDescent="0.2">
      <c r="A1129" s="32" t="s">
        <v>1130</v>
      </c>
      <c r="B1129" s="33">
        <v>300.42208862304699</v>
      </c>
      <c r="C1129" s="33">
        <v>86.286277770996094</v>
      </c>
      <c r="D1129" s="33">
        <v>86.365219116210895</v>
      </c>
      <c r="E1129" s="33">
        <v>94.961128234863295</v>
      </c>
    </row>
    <row r="1130" spans="1:5" ht="15" customHeight="1" x14ac:dyDescent="0.2">
      <c r="A1130" s="32" t="s">
        <v>1131</v>
      </c>
      <c r="B1130" s="33">
        <v>301.98388671875</v>
      </c>
      <c r="C1130" s="33">
        <v>86.537666320800795</v>
      </c>
      <c r="D1130" s="33">
        <v>86.5673828125</v>
      </c>
      <c r="E1130" s="33">
        <v>94.845794677734403</v>
      </c>
    </row>
    <row r="1131" spans="1:5" ht="15" customHeight="1" x14ac:dyDescent="0.2">
      <c r="A1131" s="32" t="s">
        <v>1132</v>
      </c>
      <c r="B1131" s="33">
        <v>304.47476196289102</v>
      </c>
      <c r="C1131" s="33">
        <v>86.5570068359375</v>
      </c>
      <c r="D1131" s="33">
        <v>86.663658142089801</v>
      </c>
      <c r="E1131" s="33">
        <v>94.653533935546903</v>
      </c>
    </row>
    <row r="1132" spans="1:5" ht="15" customHeight="1" x14ac:dyDescent="0.2">
      <c r="A1132" s="32" t="s">
        <v>1133</v>
      </c>
      <c r="B1132" s="33">
        <v>302.07281494140602</v>
      </c>
      <c r="C1132" s="33">
        <v>85.619110107421903</v>
      </c>
      <c r="D1132" s="33">
        <v>85.922370910644503</v>
      </c>
      <c r="E1132" s="33">
        <v>94.317123413085895</v>
      </c>
    </row>
    <row r="1133" spans="1:5" ht="15" customHeight="1" x14ac:dyDescent="0.2">
      <c r="A1133" s="32" t="s">
        <v>1134</v>
      </c>
      <c r="B1133" s="33">
        <v>302.05300903320301</v>
      </c>
      <c r="C1133" s="33">
        <v>86.247596740722699</v>
      </c>
      <c r="D1133" s="33">
        <v>85.797218322753906</v>
      </c>
      <c r="E1133" s="33">
        <v>94.278648376464801</v>
      </c>
    </row>
    <row r="1134" spans="1:5" ht="15" customHeight="1" x14ac:dyDescent="0.2">
      <c r="A1134" s="32" t="s">
        <v>1135</v>
      </c>
      <c r="B1134" s="33">
        <v>303.95089721679699</v>
      </c>
      <c r="C1134" s="33">
        <v>86.895423889160199</v>
      </c>
      <c r="D1134" s="33">
        <v>85.864616394042997</v>
      </c>
      <c r="E1134" s="33">
        <v>94.672760009765597</v>
      </c>
    </row>
    <row r="1135" spans="1:5" ht="15" customHeight="1" x14ac:dyDescent="0.2">
      <c r="A1135" s="32" t="s">
        <v>1136</v>
      </c>
      <c r="B1135" s="33">
        <v>304.76141357421898</v>
      </c>
      <c r="C1135" s="33">
        <v>86.83740234375</v>
      </c>
      <c r="D1135" s="33">
        <v>86.403724670410199</v>
      </c>
      <c r="E1135" s="33">
        <v>94.643928527832102</v>
      </c>
    </row>
    <row r="1136" spans="1:5" ht="15" customHeight="1" x14ac:dyDescent="0.2">
      <c r="A1136" s="32" t="s">
        <v>1137</v>
      </c>
      <c r="B1136" s="33">
        <v>303.47644042968801</v>
      </c>
      <c r="C1136" s="33">
        <v>86.005867004394503</v>
      </c>
      <c r="D1136" s="33">
        <v>86.413352966308594</v>
      </c>
      <c r="E1136" s="33">
        <v>94.249816894531193</v>
      </c>
    </row>
    <row r="1137" spans="1:5" ht="15" customHeight="1" x14ac:dyDescent="0.2">
      <c r="A1137" s="32" t="s">
        <v>1138</v>
      </c>
      <c r="B1137" s="33">
        <v>304.16836547851602</v>
      </c>
      <c r="C1137" s="33">
        <v>86.005867004394503</v>
      </c>
      <c r="D1137" s="33">
        <v>86.971725463867202</v>
      </c>
      <c r="E1137" s="33">
        <v>94.240219116210895</v>
      </c>
    </row>
    <row r="1138" spans="1:5" ht="15" customHeight="1" x14ac:dyDescent="0.2">
      <c r="A1138" s="32" t="s">
        <v>1139</v>
      </c>
      <c r="B1138" s="33">
        <v>302.56704711914102</v>
      </c>
      <c r="C1138" s="33">
        <v>85.106651306152301</v>
      </c>
      <c r="D1138" s="33">
        <v>85.691322326660199</v>
      </c>
      <c r="E1138" s="33">
        <v>93.961448669433594</v>
      </c>
    </row>
    <row r="1139" spans="1:5" ht="15" customHeight="1" x14ac:dyDescent="0.2">
      <c r="A1139" s="32" t="s">
        <v>1140</v>
      </c>
      <c r="B1139" s="33">
        <v>303.71365356445301</v>
      </c>
      <c r="C1139" s="33">
        <v>85.454734802246094</v>
      </c>
      <c r="D1139" s="33">
        <v>86.5</v>
      </c>
      <c r="E1139" s="33">
        <v>94.096000671386705</v>
      </c>
    </row>
    <row r="1140" spans="1:5" ht="15" customHeight="1" x14ac:dyDescent="0.2">
      <c r="A1140" s="32" t="s">
        <v>1141</v>
      </c>
      <c r="B1140" s="33">
        <v>305.69055175781301</v>
      </c>
      <c r="C1140" s="33">
        <v>85.6771240234375</v>
      </c>
      <c r="D1140" s="33">
        <v>86.403724670410199</v>
      </c>
      <c r="E1140" s="33">
        <v>94.134475708007798</v>
      </c>
    </row>
    <row r="1141" spans="1:5" ht="15" customHeight="1" x14ac:dyDescent="0.2">
      <c r="A1141" s="32" t="s">
        <v>1142</v>
      </c>
      <c r="B1141" s="33">
        <v>305.52255249023398</v>
      </c>
      <c r="C1141" s="33">
        <v>85.435401916503906</v>
      </c>
      <c r="D1141" s="33">
        <v>86.586647033691406</v>
      </c>
      <c r="E1141" s="33">
        <v>94.3074951171875</v>
      </c>
    </row>
    <row r="1142" spans="1:5" ht="15" customHeight="1" x14ac:dyDescent="0.2">
      <c r="A1142" s="32" t="s">
        <v>1143</v>
      </c>
      <c r="B1142" s="33">
        <v>305.86849975585898</v>
      </c>
      <c r="C1142" s="33">
        <v>85.889846801757798</v>
      </c>
      <c r="D1142" s="33">
        <v>86.942840576171903</v>
      </c>
      <c r="E1142" s="33">
        <v>94.567039489746094</v>
      </c>
    </row>
    <row r="1143" spans="1:5" ht="15" customHeight="1" x14ac:dyDescent="0.2">
      <c r="A1143" s="32" t="s">
        <v>1144</v>
      </c>
      <c r="B1143" s="33">
        <v>306.22433471679699</v>
      </c>
      <c r="C1143" s="33">
        <v>86.363624572753906</v>
      </c>
      <c r="D1143" s="33">
        <v>88.43505859375</v>
      </c>
      <c r="E1143" s="33">
        <v>94.749664306640597</v>
      </c>
    </row>
    <row r="1144" spans="1:5" ht="15" customHeight="1" x14ac:dyDescent="0.2">
      <c r="A1144" s="32" t="s">
        <v>1145</v>
      </c>
      <c r="B1144" s="33">
        <v>308.80422973632801</v>
      </c>
      <c r="C1144" s="33">
        <v>88.510147094726605</v>
      </c>
      <c r="D1144" s="33">
        <v>88.608345031738295</v>
      </c>
      <c r="E1144" s="33">
        <v>94.5382080078125</v>
      </c>
    </row>
    <row r="1145" spans="1:5" ht="15" customHeight="1" x14ac:dyDescent="0.2">
      <c r="A1145" s="32" t="s">
        <v>1146</v>
      </c>
      <c r="B1145" s="33">
        <v>308.69546508789102</v>
      </c>
      <c r="C1145" s="33">
        <v>87.8526611328125</v>
      </c>
      <c r="D1145" s="33">
        <v>88.300277709960895</v>
      </c>
      <c r="E1145" s="33">
        <v>94.480514526367202</v>
      </c>
    </row>
    <row r="1146" spans="1:5" ht="15" customHeight="1" x14ac:dyDescent="0.2">
      <c r="A1146" s="32" t="s">
        <v>1147</v>
      </c>
      <c r="B1146" s="33">
        <v>310.06942749023398</v>
      </c>
      <c r="C1146" s="33">
        <v>87.746292114257798</v>
      </c>
      <c r="D1146" s="33">
        <v>88.309906005859403</v>
      </c>
      <c r="E1146" s="33">
        <v>94.634323120117202</v>
      </c>
    </row>
    <row r="1147" spans="1:5" ht="15" customHeight="1" x14ac:dyDescent="0.2">
      <c r="A1147" s="32" t="s">
        <v>1148</v>
      </c>
      <c r="B1147" s="33">
        <v>309.98046875</v>
      </c>
      <c r="C1147" s="33">
        <v>86.334617614746094</v>
      </c>
      <c r="D1147" s="33">
        <v>86.894714355468807</v>
      </c>
      <c r="E1147" s="33">
        <v>94.509353637695298</v>
      </c>
    </row>
    <row r="1148" spans="1:5" ht="15" customHeight="1" x14ac:dyDescent="0.2">
      <c r="A1148" s="32" t="s">
        <v>1149</v>
      </c>
      <c r="B1148" s="33">
        <v>309.00189208984398</v>
      </c>
      <c r="C1148" s="33">
        <v>86.160575866699205</v>
      </c>
      <c r="D1148" s="33">
        <v>88.290641784667997</v>
      </c>
      <c r="E1148" s="33">
        <v>95.018814086914105</v>
      </c>
    </row>
    <row r="1149" spans="1:5" ht="15" customHeight="1" x14ac:dyDescent="0.2">
      <c r="A1149" s="32" t="s">
        <v>1150</v>
      </c>
      <c r="B1149" s="33">
        <v>308.64602661132801</v>
      </c>
      <c r="C1149" s="33">
        <v>85.541763305664105</v>
      </c>
      <c r="D1149" s="33">
        <v>87.039115905761705</v>
      </c>
      <c r="E1149" s="33">
        <v>94.749664306640597</v>
      </c>
    </row>
    <row r="1150" spans="1:5" ht="15" customHeight="1" x14ac:dyDescent="0.2">
      <c r="A1150" s="32" t="s">
        <v>1151</v>
      </c>
      <c r="B1150" s="33">
        <v>307.30178833007801</v>
      </c>
      <c r="C1150" s="33">
        <v>84.623199462890597</v>
      </c>
      <c r="D1150" s="33">
        <v>85.816467285156307</v>
      </c>
      <c r="E1150" s="33">
        <v>94.7977294921875</v>
      </c>
    </row>
    <row r="1151" spans="1:5" ht="15" customHeight="1" x14ac:dyDescent="0.2">
      <c r="A1151" s="32" t="s">
        <v>1152</v>
      </c>
      <c r="B1151" s="33">
        <v>302.21121215820301</v>
      </c>
      <c r="C1151" s="33">
        <v>84.400817871093807</v>
      </c>
      <c r="D1151" s="33">
        <v>85.604667663574205</v>
      </c>
      <c r="E1151" s="33">
        <v>95.617523193359403</v>
      </c>
    </row>
    <row r="1152" spans="1:5" ht="15" customHeight="1" x14ac:dyDescent="0.2">
      <c r="A1152" s="32" t="s">
        <v>1153</v>
      </c>
      <c r="B1152" s="33">
        <v>306.94589233398398</v>
      </c>
      <c r="C1152" s="33">
        <v>85.522422790527301</v>
      </c>
      <c r="D1152" s="33">
        <v>86.480743408203097</v>
      </c>
      <c r="E1152" s="33">
        <v>95.6947021484375</v>
      </c>
    </row>
    <row r="1153" spans="1:5" ht="15" customHeight="1" x14ac:dyDescent="0.2">
      <c r="A1153" s="32" t="s">
        <v>1154</v>
      </c>
      <c r="B1153" s="33">
        <v>305.59173583984398</v>
      </c>
      <c r="C1153" s="33">
        <v>85.512756347656307</v>
      </c>
      <c r="D1153" s="33">
        <v>86.875457763671903</v>
      </c>
      <c r="E1153" s="33">
        <v>95.7236328125</v>
      </c>
    </row>
    <row r="1154" spans="1:5" ht="15" customHeight="1" x14ac:dyDescent="0.2">
      <c r="A1154" s="32" t="s">
        <v>1155</v>
      </c>
      <c r="B1154" s="33">
        <v>307.65759277343801</v>
      </c>
      <c r="C1154" s="33">
        <v>86.073554992675795</v>
      </c>
      <c r="D1154" s="33">
        <v>86.201560974121094</v>
      </c>
      <c r="E1154" s="33">
        <v>95.685043334960895</v>
      </c>
    </row>
    <row r="1155" spans="1:5" ht="15" customHeight="1" x14ac:dyDescent="0.2">
      <c r="A1155" s="32" t="s">
        <v>1156</v>
      </c>
      <c r="B1155" s="33">
        <v>307.47967529296898</v>
      </c>
      <c r="C1155" s="33">
        <v>86.847076416015597</v>
      </c>
      <c r="D1155" s="33">
        <v>86.451866149902301</v>
      </c>
      <c r="E1155" s="33">
        <v>95.607887268066406</v>
      </c>
    </row>
    <row r="1156" spans="1:5" ht="15" customHeight="1" x14ac:dyDescent="0.2">
      <c r="A1156" s="32" t="s">
        <v>1157</v>
      </c>
      <c r="B1156" s="33">
        <v>309.41708374023398</v>
      </c>
      <c r="C1156" s="33">
        <v>87.378875732421903</v>
      </c>
      <c r="D1156" s="33">
        <v>85.739448547363295</v>
      </c>
      <c r="E1156" s="33">
        <v>95.424629211425795</v>
      </c>
    </row>
    <row r="1157" spans="1:5" ht="15" customHeight="1" x14ac:dyDescent="0.2">
      <c r="A1157" s="32" t="s">
        <v>1158</v>
      </c>
      <c r="B1157" s="33">
        <v>308.70535278320301</v>
      </c>
      <c r="C1157" s="33">
        <v>87.011444091796903</v>
      </c>
      <c r="D1157" s="33">
        <v>85.171455383300795</v>
      </c>
      <c r="E1157" s="33">
        <v>95.492149353027301</v>
      </c>
    </row>
    <row r="1158" spans="1:5" ht="15" customHeight="1" x14ac:dyDescent="0.2">
      <c r="A1158" s="32" t="s">
        <v>1159</v>
      </c>
      <c r="B1158" s="33">
        <v>312.48126220703102</v>
      </c>
      <c r="C1158" s="33">
        <v>88.075035095214801</v>
      </c>
      <c r="D1158" s="33">
        <v>85.652809143066406</v>
      </c>
      <c r="E1158" s="33">
        <v>95.492149353027301</v>
      </c>
    </row>
    <row r="1159" spans="1:5" ht="15" customHeight="1" x14ac:dyDescent="0.2">
      <c r="A1159" s="32" t="s">
        <v>1160</v>
      </c>
      <c r="B1159" s="33">
        <v>313.99362182617199</v>
      </c>
      <c r="C1159" s="33">
        <v>88.606834411621094</v>
      </c>
      <c r="D1159" s="33">
        <v>86.451866149902301</v>
      </c>
      <c r="E1159" s="33">
        <v>95.83935546875</v>
      </c>
    </row>
    <row r="1160" spans="1:5" ht="15" customHeight="1" x14ac:dyDescent="0.2">
      <c r="A1160" s="32" t="s">
        <v>1161</v>
      </c>
      <c r="B1160" s="33">
        <v>313.529052734375</v>
      </c>
      <c r="C1160" s="33">
        <v>88.616508483886705</v>
      </c>
      <c r="D1160" s="33">
        <v>85.835723876953097</v>
      </c>
      <c r="E1160" s="33">
        <v>95.569313049316406</v>
      </c>
    </row>
    <row r="1161" spans="1:5" ht="15" customHeight="1" x14ac:dyDescent="0.2">
      <c r="A1161" s="32" t="s">
        <v>1162</v>
      </c>
      <c r="B1161" s="33">
        <v>312.8173828125</v>
      </c>
      <c r="C1161" s="33">
        <v>89.138633728027301</v>
      </c>
      <c r="D1161" s="33">
        <v>86.326705932617202</v>
      </c>
      <c r="E1161" s="33">
        <v>95.424629211425795</v>
      </c>
    </row>
    <row r="1162" spans="1:5" ht="15" customHeight="1" x14ac:dyDescent="0.2">
      <c r="A1162" s="32" t="s">
        <v>1163</v>
      </c>
      <c r="B1162" s="33">
        <v>312.93594360351602</v>
      </c>
      <c r="C1162" s="33">
        <v>89.041938781738295</v>
      </c>
      <c r="D1162" s="33">
        <v>85.595054626464801</v>
      </c>
      <c r="E1162" s="33">
        <v>95.318550109863295</v>
      </c>
    </row>
    <row r="1163" spans="1:5" ht="15" customHeight="1" x14ac:dyDescent="0.2">
      <c r="A1163" s="32" t="s">
        <v>1164</v>
      </c>
      <c r="B1163" s="33">
        <v>311.03814697265602</v>
      </c>
      <c r="C1163" s="33">
        <v>89.051612854003906</v>
      </c>
      <c r="D1163" s="33">
        <v>87.068000793457003</v>
      </c>
      <c r="E1163" s="33">
        <v>95.501785278320298</v>
      </c>
    </row>
    <row r="1164" spans="1:5" ht="15" customHeight="1" x14ac:dyDescent="0.2">
      <c r="A1164" s="32" t="s">
        <v>1165</v>
      </c>
      <c r="B1164" s="33">
        <v>310.21768188476602</v>
      </c>
      <c r="C1164" s="33">
        <v>89.370689392089801</v>
      </c>
      <c r="D1164" s="33">
        <v>87.318298339843807</v>
      </c>
      <c r="E1164" s="33">
        <v>95.559654235839801</v>
      </c>
    </row>
    <row r="1165" spans="1:5" ht="15" customHeight="1" x14ac:dyDescent="0.2">
      <c r="A1165" s="32" t="s">
        <v>1166</v>
      </c>
      <c r="B1165" s="33">
        <v>309.15017700195301</v>
      </c>
      <c r="C1165" s="33">
        <v>88.809883117675795</v>
      </c>
      <c r="D1165" s="33">
        <v>87.058380126953097</v>
      </c>
      <c r="E1165" s="33">
        <v>95.337837219238295</v>
      </c>
    </row>
    <row r="1166" spans="1:5" ht="15" customHeight="1" x14ac:dyDescent="0.2">
      <c r="A1166" s="32" t="s">
        <v>1167</v>
      </c>
      <c r="B1166" s="33">
        <v>314.50762939453102</v>
      </c>
      <c r="C1166" s="33">
        <v>90.144218444824205</v>
      </c>
      <c r="D1166" s="33">
        <v>88.743125915527301</v>
      </c>
      <c r="E1166" s="33">
        <v>95.868293762207102</v>
      </c>
    </row>
    <row r="1167" spans="1:5" ht="15" customHeight="1" x14ac:dyDescent="0.2">
      <c r="A1167" s="32" t="s">
        <v>1168</v>
      </c>
      <c r="B1167" s="33">
        <v>312.99526977539102</v>
      </c>
      <c r="C1167" s="33">
        <v>88.954917907714801</v>
      </c>
      <c r="D1167" s="33">
        <v>88.232887268066406</v>
      </c>
      <c r="E1167" s="33">
        <v>95.7236328125</v>
      </c>
    </row>
    <row r="1168" spans="1:5" ht="15" customHeight="1" x14ac:dyDescent="0.2">
      <c r="A1168" s="32" t="s">
        <v>1169</v>
      </c>
      <c r="B1168" s="33">
        <v>314.41867065429699</v>
      </c>
      <c r="C1168" s="33">
        <v>88.858238220214801</v>
      </c>
      <c r="D1168" s="33">
        <v>88.001838684082003</v>
      </c>
      <c r="E1168" s="33">
        <v>95.83935546875</v>
      </c>
    </row>
    <row r="1169" spans="1:5" ht="15" customHeight="1" x14ac:dyDescent="0.2">
      <c r="A1169" s="32" t="s">
        <v>1170</v>
      </c>
      <c r="B1169" s="33">
        <v>315.25888061523398</v>
      </c>
      <c r="C1169" s="33">
        <v>88.645515441894503</v>
      </c>
      <c r="D1169" s="33">
        <v>88.550582885742202</v>
      </c>
      <c r="E1169" s="33">
        <v>95.935813903808594</v>
      </c>
    </row>
    <row r="1170" spans="1:5" ht="15" customHeight="1" x14ac:dyDescent="0.2">
      <c r="A1170" s="32" t="s">
        <v>1171</v>
      </c>
      <c r="B1170" s="33">
        <v>316.40545654296898</v>
      </c>
      <c r="C1170" s="33">
        <v>88.974258422851605</v>
      </c>
      <c r="D1170" s="33">
        <v>88.319534301757798</v>
      </c>
      <c r="E1170" s="33">
        <v>96.051544189453097</v>
      </c>
    </row>
    <row r="1171" spans="1:5" ht="15" customHeight="1" x14ac:dyDescent="0.2">
      <c r="A1171" s="32" t="s">
        <v>1172</v>
      </c>
      <c r="B1171" s="33">
        <v>314.52740478515602</v>
      </c>
      <c r="C1171" s="33">
        <v>88.452133178710895</v>
      </c>
      <c r="D1171" s="33">
        <v>88.800880432128906</v>
      </c>
      <c r="E1171" s="33">
        <v>95.926155090332102</v>
      </c>
    </row>
    <row r="1172" spans="1:5" ht="15" customHeight="1" x14ac:dyDescent="0.2">
      <c r="A1172" s="32" t="s">
        <v>1173</v>
      </c>
      <c r="B1172" s="33">
        <v>312.34289550781301</v>
      </c>
      <c r="C1172" s="33">
        <v>87.581924438476605</v>
      </c>
      <c r="D1172" s="33">
        <v>87.327934265136705</v>
      </c>
      <c r="E1172" s="33">
        <v>95.671669006347699</v>
      </c>
    </row>
    <row r="1173" spans="1:5" ht="15" customHeight="1" x14ac:dyDescent="0.2">
      <c r="A1173" s="32" t="s">
        <v>1174</v>
      </c>
      <c r="B1173" s="33">
        <v>313.66738891601602</v>
      </c>
      <c r="C1173" s="33">
        <v>87.71728515625</v>
      </c>
      <c r="D1173" s="33">
        <v>87.376068115234403</v>
      </c>
      <c r="E1173" s="33">
        <v>96.020011901855497</v>
      </c>
    </row>
    <row r="1174" spans="1:5" ht="15" customHeight="1" x14ac:dyDescent="0.2">
      <c r="A1174" s="32" t="s">
        <v>1175</v>
      </c>
      <c r="B1174" s="33">
        <v>316.44503784179699</v>
      </c>
      <c r="C1174" s="33">
        <v>88.355445861816406</v>
      </c>
      <c r="D1174" s="33">
        <v>88.030708312988295</v>
      </c>
      <c r="E1174" s="33">
        <v>96.407081604003906</v>
      </c>
    </row>
    <row r="1175" spans="1:5" ht="15" customHeight="1" x14ac:dyDescent="0.2">
      <c r="A1175" s="32" t="s">
        <v>1176</v>
      </c>
      <c r="B1175" s="33">
        <v>315.86178588867199</v>
      </c>
      <c r="C1175" s="33">
        <v>88.751876831054702</v>
      </c>
      <c r="D1175" s="33">
        <v>89.022315979003906</v>
      </c>
      <c r="E1175" s="33">
        <v>96.861877441406193</v>
      </c>
    </row>
    <row r="1176" spans="1:5" ht="15" customHeight="1" x14ac:dyDescent="0.2">
      <c r="A1176" s="32" t="s">
        <v>1177</v>
      </c>
      <c r="B1176" s="33">
        <v>316.87005615234398</v>
      </c>
      <c r="C1176" s="33">
        <v>89.641426086425795</v>
      </c>
      <c r="D1176" s="33">
        <v>88.50244140625</v>
      </c>
      <c r="E1176" s="33">
        <v>97.190872192382798</v>
      </c>
    </row>
    <row r="1177" spans="1:5" ht="15" customHeight="1" x14ac:dyDescent="0.2">
      <c r="A1177" s="32" t="s">
        <v>1178</v>
      </c>
      <c r="B1177" s="33">
        <v>317.27529907226602</v>
      </c>
      <c r="C1177" s="33">
        <v>89.341682434082003</v>
      </c>
      <c r="D1177" s="33">
        <v>88.300277709960895</v>
      </c>
      <c r="E1177" s="33">
        <v>96.997352600097699</v>
      </c>
    </row>
    <row r="1178" spans="1:5" ht="15" customHeight="1" x14ac:dyDescent="0.2">
      <c r="A1178" s="32" t="s">
        <v>1179</v>
      </c>
      <c r="B1178" s="33">
        <v>318.08584594726602</v>
      </c>
      <c r="C1178" s="33">
        <v>89.322341918945298</v>
      </c>
      <c r="D1178" s="33">
        <v>88.155860900878906</v>
      </c>
      <c r="E1178" s="33">
        <v>97.190872192382798</v>
      </c>
    </row>
    <row r="1179" spans="1:5" ht="15" customHeight="1" x14ac:dyDescent="0.2">
      <c r="A1179" s="32" t="s">
        <v>1180</v>
      </c>
      <c r="B1179" s="33">
        <v>321.03143310546898</v>
      </c>
      <c r="C1179" s="33">
        <v>90.269912719726605</v>
      </c>
      <c r="D1179" s="33">
        <v>89.763603210449205</v>
      </c>
      <c r="E1179" s="33">
        <v>97.374725341796903</v>
      </c>
    </row>
    <row r="1180" spans="1:5" ht="15" customHeight="1" x14ac:dyDescent="0.2">
      <c r="A1180" s="32" t="s">
        <v>1181</v>
      </c>
      <c r="B1180" s="33">
        <v>320.56683349609398</v>
      </c>
      <c r="C1180" s="33">
        <v>89.912155151367202</v>
      </c>
      <c r="D1180" s="33">
        <v>89.349639892578097</v>
      </c>
      <c r="E1180" s="33">
        <v>97.287643432617202</v>
      </c>
    </row>
    <row r="1181" spans="1:5" ht="15" customHeight="1" x14ac:dyDescent="0.2">
      <c r="A1181" s="32" t="s">
        <v>1182</v>
      </c>
      <c r="B1181" s="33">
        <v>322.12860107421898</v>
      </c>
      <c r="C1181" s="33">
        <v>90.511634826660199</v>
      </c>
      <c r="D1181" s="33">
        <v>89.205230712890597</v>
      </c>
      <c r="E1181" s="33">
        <v>97.4521484375</v>
      </c>
    </row>
    <row r="1182" spans="1:5" ht="15" customHeight="1" x14ac:dyDescent="0.2">
      <c r="A1182" s="32" t="s">
        <v>1183</v>
      </c>
      <c r="B1182" s="33">
        <v>321.69372558593801</v>
      </c>
      <c r="C1182" s="33">
        <v>90.260238647460895</v>
      </c>
      <c r="D1182" s="33">
        <v>88.733497619628906</v>
      </c>
      <c r="E1182" s="33">
        <v>97.490852355957102</v>
      </c>
    </row>
    <row r="1183" spans="1:5" ht="15" customHeight="1" x14ac:dyDescent="0.2">
      <c r="A1183" s="32" t="s">
        <v>1184</v>
      </c>
      <c r="B1183" s="33">
        <v>321.40704345703102</v>
      </c>
      <c r="C1183" s="33">
        <v>89.921821594238295</v>
      </c>
      <c r="D1183" s="33">
        <v>88.617980957031307</v>
      </c>
      <c r="E1183" s="33">
        <v>97.316680908203097</v>
      </c>
    </row>
    <row r="1184" spans="1:5" ht="15" customHeight="1" x14ac:dyDescent="0.2">
      <c r="A1184" s="32" t="s">
        <v>1185</v>
      </c>
      <c r="B1184" s="33">
        <v>323.43338012695301</v>
      </c>
      <c r="C1184" s="33">
        <v>90.269912719726605</v>
      </c>
      <c r="D1184" s="33">
        <v>88.810516357421903</v>
      </c>
      <c r="E1184" s="33">
        <v>97.045715332031193</v>
      </c>
    </row>
    <row r="1185" spans="1:5" ht="15" customHeight="1" x14ac:dyDescent="0.2">
      <c r="A1185" s="32" t="s">
        <v>1186</v>
      </c>
      <c r="B1185" s="33">
        <v>324.64920043945301</v>
      </c>
      <c r="C1185" s="33">
        <v>89.921821594238295</v>
      </c>
      <c r="D1185" s="33">
        <v>88.232887268066406</v>
      </c>
      <c r="E1185" s="33">
        <v>97.045715332031193</v>
      </c>
    </row>
    <row r="1186" spans="1:5" ht="15" customHeight="1" x14ac:dyDescent="0.2">
      <c r="A1186" s="32" t="s">
        <v>1187</v>
      </c>
      <c r="B1186" s="33">
        <v>326.05282592773398</v>
      </c>
      <c r="C1186" s="33">
        <v>90.211898803710895</v>
      </c>
      <c r="D1186" s="33">
        <v>88.252136230468807</v>
      </c>
      <c r="E1186" s="33">
        <v>96.929611206054702</v>
      </c>
    </row>
    <row r="1187" spans="1:5" ht="15" customHeight="1" x14ac:dyDescent="0.2">
      <c r="A1187" s="32" t="s">
        <v>1188</v>
      </c>
      <c r="B1187" s="33">
        <v>324.30322265625</v>
      </c>
      <c r="C1187" s="33">
        <v>90.037849426269503</v>
      </c>
      <c r="D1187" s="33">
        <v>88.733497619628906</v>
      </c>
      <c r="E1187" s="33">
        <v>97.084434509277301</v>
      </c>
    </row>
    <row r="1188" spans="1:5" ht="15" customHeight="1" x14ac:dyDescent="0.2">
      <c r="A1188" s="32" t="s">
        <v>1189</v>
      </c>
      <c r="B1188" s="33">
        <v>323.11709594726602</v>
      </c>
      <c r="C1188" s="33">
        <v>89.515724182128906</v>
      </c>
      <c r="D1188" s="33">
        <v>87.8607177734375</v>
      </c>
      <c r="E1188" s="33">
        <v>96.900588989257798</v>
      </c>
    </row>
    <row r="1189" spans="1:5" ht="15" customHeight="1" x14ac:dyDescent="0.2">
      <c r="A1189" s="32" t="s">
        <v>1190</v>
      </c>
      <c r="B1189" s="33">
        <v>321.38729858398398</v>
      </c>
      <c r="C1189" s="33">
        <v>88.877571105957003</v>
      </c>
      <c r="D1189" s="33">
        <v>87.598304748535199</v>
      </c>
      <c r="E1189" s="33">
        <v>96.765113830566406</v>
      </c>
    </row>
    <row r="1190" spans="1:5" ht="15" customHeight="1" x14ac:dyDescent="0.2">
      <c r="A1190" s="32" t="s">
        <v>1191</v>
      </c>
      <c r="B1190" s="33">
        <v>323.40371704101602</v>
      </c>
      <c r="C1190" s="33">
        <v>89.564071655273395</v>
      </c>
      <c r="D1190" s="33">
        <v>88.463310241699205</v>
      </c>
      <c r="E1190" s="33">
        <v>96.832847595214801</v>
      </c>
    </row>
    <row r="1191" spans="1:5" ht="15" customHeight="1" x14ac:dyDescent="0.2">
      <c r="A1191" s="32" t="s">
        <v>1192</v>
      </c>
      <c r="B1191" s="33">
        <v>324.22348022460898</v>
      </c>
      <c r="C1191" s="33">
        <v>89.912155151367202</v>
      </c>
      <c r="D1191" s="33">
        <v>88.492469787597699</v>
      </c>
      <c r="E1191" s="33">
        <v>97.016700744628906</v>
      </c>
    </row>
    <row r="1192" spans="1:5" ht="15" customHeight="1" x14ac:dyDescent="0.2">
      <c r="A1192" s="32" t="s">
        <v>1193</v>
      </c>
      <c r="B1192" s="33">
        <v>325.28405761718801</v>
      </c>
      <c r="C1192" s="33">
        <v>90.279579162597699</v>
      </c>
      <c r="D1192" s="33">
        <v>88.852073669433594</v>
      </c>
      <c r="E1192" s="33">
        <v>97.007011413574205</v>
      </c>
    </row>
    <row r="1193" spans="1:5" ht="15" customHeight="1" x14ac:dyDescent="0.2">
      <c r="A1193" s="32" t="s">
        <v>1194</v>
      </c>
      <c r="B1193" s="33">
        <v>326.41400146484398</v>
      </c>
      <c r="C1193" s="33">
        <v>91.024093627929702</v>
      </c>
      <c r="D1193" s="33">
        <v>88.988136291503906</v>
      </c>
      <c r="E1193" s="33">
        <v>97.254577636718807</v>
      </c>
    </row>
    <row r="1194" spans="1:5" ht="15" customHeight="1" x14ac:dyDescent="0.2">
      <c r="A1194" s="32" t="s">
        <v>1195</v>
      </c>
      <c r="B1194" s="33">
        <v>326.88980102539102</v>
      </c>
      <c r="C1194" s="33">
        <v>91.169128417968807</v>
      </c>
      <c r="D1194" s="33">
        <v>88.521629333496094</v>
      </c>
      <c r="E1194" s="33">
        <v>97.361358642578097</v>
      </c>
    </row>
    <row r="1195" spans="1:5" ht="15" customHeight="1" x14ac:dyDescent="0.2">
      <c r="A1195" s="32" t="s">
        <v>1196</v>
      </c>
      <c r="B1195" s="33">
        <v>327.06823730468801</v>
      </c>
      <c r="C1195" s="33">
        <v>91.932975769042997</v>
      </c>
      <c r="D1195" s="33">
        <v>88.852073669433594</v>
      </c>
      <c r="E1195" s="33">
        <v>97.254577636718807</v>
      </c>
    </row>
    <row r="1196" spans="1:5" ht="15" customHeight="1" x14ac:dyDescent="0.2">
      <c r="A1196" s="32" t="s">
        <v>1197</v>
      </c>
      <c r="B1196" s="33">
        <v>328.29730224609398</v>
      </c>
      <c r="C1196" s="33">
        <v>92.145698547363295</v>
      </c>
      <c r="D1196" s="33">
        <v>88.016220092773395</v>
      </c>
      <c r="E1196" s="33">
        <v>97.040992736816406</v>
      </c>
    </row>
    <row r="1197" spans="1:5" ht="15" customHeight="1" x14ac:dyDescent="0.2">
      <c r="A1197" s="32" t="s">
        <v>1198</v>
      </c>
      <c r="B1197" s="33">
        <v>326.72128295898398</v>
      </c>
      <c r="C1197" s="33">
        <v>91.343170166015597</v>
      </c>
      <c r="D1197" s="33">
        <v>87.695503234863295</v>
      </c>
      <c r="E1197" s="33">
        <v>97.206031799316406</v>
      </c>
    </row>
    <row r="1198" spans="1:5" ht="15" customHeight="1" x14ac:dyDescent="0.2">
      <c r="A1198" s="32" t="s">
        <v>1199</v>
      </c>
      <c r="B1198" s="33">
        <v>328.89205932617199</v>
      </c>
      <c r="C1198" s="33">
        <v>91.613899230957102</v>
      </c>
      <c r="D1198" s="33">
        <v>87.238700866699205</v>
      </c>
      <c r="E1198" s="33">
        <v>97.215751647949205</v>
      </c>
    </row>
    <row r="1199" spans="1:5" ht="15" customHeight="1" x14ac:dyDescent="0.2">
      <c r="A1199" s="32" t="s">
        <v>1200</v>
      </c>
      <c r="B1199" s="33">
        <v>327.75216674804699</v>
      </c>
      <c r="C1199" s="33">
        <v>90.859725952148395</v>
      </c>
      <c r="D1199" s="33">
        <v>86.762466430664105</v>
      </c>
      <c r="E1199" s="33">
        <v>97.0992431640625</v>
      </c>
    </row>
    <row r="1200" spans="1:5" ht="15" customHeight="1" x14ac:dyDescent="0.2">
      <c r="A1200" s="32" t="s">
        <v>1201</v>
      </c>
      <c r="B1200" s="33">
        <v>318.97006225585898</v>
      </c>
      <c r="C1200" s="33">
        <v>89.186973571777301</v>
      </c>
      <c r="D1200" s="33">
        <v>85.654479980468807</v>
      </c>
      <c r="E1200" s="33">
        <v>97.497283935546903</v>
      </c>
    </row>
    <row r="1201" spans="1:5" ht="15" customHeight="1" x14ac:dyDescent="0.2">
      <c r="A1201" s="32" t="s">
        <v>1202</v>
      </c>
      <c r="B1201" s="33">
        <v>324.054931640625</v>
      </c>
      <c r="C1201" s="33">
        <v>89.902488708496094</v>
      </c>
      <c r="D1201" s="33">
        <v>86.198760986328097</v>
      </c>
      <c r="E1201" s="33">
        <v>97.681732177734403</v>
      </c>
    </row>
    <row r="1202" spans="1:5" ht="15" customHeight="1" x14ac:dyDescent="0.2">
      <c r="A1202" s="32" t="s">
        <v>1203</v>
      </c>
      <c r="B1202" s="33">
        <v>323.955810546875</v>
      </c>
      <c r="C1202" s="33">
        <v>90.308586120605497</v>
      </c>
      <c r="D1202" s="33">
        <v>87.083190917968807</v>
      </c>
      <c r="E1202" s="33">
        <v>97.837059020996094</v>
      </c>
    </row>
    <row r="1203" spans="1:5" ht="15" customHeight="1" x14ac:dyDescent="0.2">
      <c r="A1203" s="32" t="s">
        <v>1204</v>
      </c>
      <c r="B1203" s="33">
        <v>325.49224853515602</v>
      </c>
      <c r="C1203" s="33">
        <v>90.743690490722699</v>
      </c>
      <c r="D1203" s="33">
        <v>88.3466796875</v>
      </c>
      <c r="E1203" s="33">
        <v>97.798225402832102</v>
      </c>
    </row>
    <row r="1204" spans="1:5" ht="15" customHeight="1" x14ac:dyDescent="0.2">
      <c r="A1204" s="32" t="s">
        <v>1205</v>
      </c>
      <c r="B1204" s="33">
        <v>322.90515136718801</v>
      </c>
      <c r="C1204" s="33">
        <v>91.217468261718807</v>
      </c>
      <c r="D1204" s="33">
        <v>88.035667419433594</v>
      </c>
      <c r="E1204" s="33">
        <v>98.147720336914105</v>
      </c>
    </row>
    <row r="1205" spans="1:5" ht="15" customHeight="1" x14ac:dyDescent="0.2">
      <c r="A1205" s="32" t="s">
        <v>1206</v>
      </c>
      <c r="B1205" s="33">
        <v>324.42169189453102</v>
      </c>
      <c r="C1205" s="33">
        <v>91.381851196289105</v>
      </c>
      <c r="D1205" s="33">
        <v>88.609092712402301</v>
      </c>
      <c r="E1205" s="33">
        <v>98.011802673339801</v>
      </c>
    </row>
    <row r="1206" spans="1:5" ht="15" customHeight="1" x14ac:dyDescent="0.2">
      <c r="A1206" s="32" t="s">
        <v>1207</v>
      </c>
      <c r="B1206" s="33">
        <v>328.03964233398398</v>
      </c>
      <c r="C1206" s="33">
        <v>92.136024475097699</v>
      </c>
      <c r="D1206" s="33">
        <v>89.503250122070298</v>
      </c>
      <c r="E1206" s="33">
        <v>98.176841735839801</v>
      </c>
    </row>
    <row r="1207" spans="1:5" ht="15" customHeight="1" x14ac:dyDescent="0.2">
      <c r="A1207" s="32" t="s">
        <v>1208</v>
      </c>
      <c r="B1207" s="33">
        <v>327.99996948242199</v>
      </c>
      <c r="C1207" s="33">
        <v>91.459190368652301</v>
      </c>
      <c r="D1207" s="33">
        <v>89.250556945800795</v>
      </c>
      <c r="E1207" s="33">
        <v>98.27392578125</v>
      </c>
    </row>
    <row r="1208" spans="1:5" ht="15" customHeight="1" x14ac:dyDescent="0.2">
      <c r="A1208" s="32" t="s">
        <v>1209</v>
      </c>
      <c r="B1208" s="33">
        <v>326.00762939453102</v>
      </c>
      <c r="C1208" s="33">
        <v>91.323829650878906</v>
      </c>
      <c r="D1208" s="33">
        <v>89.629600524902301</v>
      </c>
      <c r="E1208" s="33">
        <v>98.264213562011705</v>
      </c>
    </row>
    <row r="1209" spans="1:5" ht="15" customHeight="1" x14ac:dyDescent="0.2">
      <c r="A1209" s="32" t="s">
        <v>1210</v>
      </c>
      <c r="B1209" s="33">
        <v>328.09906005859398</v>
      </c>
      <c r="C1209" s="33">
        <v>91.749267578125</v>
      </c>
      <c r="D1209" s="33">
        <v>89.5712890625</v>
      </c>
      <c r="E1209" s="33">
        <v>98.089469909667997</v>
      </c>
    </row>
    <row r="1210" spans="1:5" ht="15" customHeight="1" x14ac:dyDescent="0.2">
      <c r="A1210" s="32" t="s">
        <v>1211</v>
      </c>
      <c r="B1210" s="33">
        <v>330.77532958984398</v>
      </c>
      <c r="C1210" s="33">
        <v>91.894302368164105</v>
      </c>
      <c r="D1210" s="33">
        <v>89.833702087402301</v>
      </c>
      <c r="E1210" s="33">
        <v>98.186546325683594</v>
      </c>
    </row>
    <row r="1211" spans="1:5" ht="15" customHeight="1" x14ac:dyDescent="0.2">
      <c r="A1211" s="32" t="s">
        <v>1212</v>
      </c>
      <c r="B1211" s="33">
        <v>334.46261596679699</v>
      </c>
      <c r="C1211" s="33">
        <v>92.532455444335895</v>
      </c>
      <c r="D1211" s="33">
        <v>90.086410522460895</v>
      </c>
      <c r="E1211" s="33">
        <v>98.254493713378906</v>
      </c>
    </row>
    <row r="1212" spans="1:5" ht="15" customHeight="1" x14ac:dyDescent="0.2">
      <c r="A1212" s="32" t="s">
        <v>1213</v>
      </c>
      <c r="B1212" s="33">
        <v>334.97805786132801</v>
      </c>
      <c r="C1212" s="33">
        <v>92.493782043457102</v>
      </c>
      <c r="D1212" s="33">
        <v>88.317527770996094</v>
      </c>
      <c r="E1212" s="33">
        <v>98.312751770019503</v>
      </c>
    </row>
    <row r="1213" spans="1:5" ht="15" customHeight="1" x14ac:dyDescent="0.2">
      <c r="A1213" s="32" t="s">
        <v>1214</v>
      </c>
      <c r="B1213" s="33">
        <v>334.74014282226602</v>
      </c>
      <c r="C1213" s="33">
        <v>91.971656799316406</v>
      </c>
      <c r="D1213" s="33">
        <v>86.043251037597699</v>
      </c>
      <c r="E1213" s="33">
        <v>97.846755981445298</v>
      </c>
    </row>
    <row r="1214" spans="1:5" ht="15" customHeight="1" x14ac:dyDescent="0.2">
      <c r="A1214" s="32" t="s">
        <v>1215</v>
      </c>
      <c r="B1214" s="33">
        <v>331.14205932617199</v>
      </c>
      <c r="C1214" s="33">
        <v>91.565559387207102</v>
      </c>
      <c r="D1214" s="33">
        <v>86.451446533203097</v>
      </c>
      <c r="E1214" s="33">
        <v>97.662315368652301</v>
      </c>
    </row>
    <row r="1215" spans="1:5" ht="15" customHeight="1" x14ac:dyDescent="0.2">
      <c r="A1215" s="32" t="s">
        <v>1216</v>
      </c>
      <c r="B1215" s="33">
        <v>332.47030639648398</v>
      </c>
      <c r="C1215" s="33">
        <v>91.362510681152301</v>
      </c>
      <c r="D1215" s="33">
        <v>86.674995422363295</v>
      </c>
      <c r="E1215" s="33">
        <v>97.604064941406193</v>
      </c>
    </row>
    <row r="1216" spans="1:5" ht="15" customHeight="1" x14ac:dyDescent="0.2">
      <c r="A1216" s="32" t="s">
        <v>1217</v>
      </c>
      <c r="B1216" s="33">
        <v>332.846923828125</v>
      </c>
      <c r="C1216" s="33">
        <v>91.401184082031193</v>
      </c>
      <c r="D1216" s="33">
        <v>86.548652648925795</v>
      </c>
      <c r="E1216" s="33">
        <v>97.484260559082102</v>
      </c>
    </row>
    <row r="1217" spans="1:5" ht="15" customHeight="1" x14ac:dyDescent="0.2">
      <c r="A1217" s="32" t="s">
        <v>1218</v>
      </c>
      <c r="B1217" s="33">
        <v>328.82266235351602</v>
      </c>
      <c r="C1217" s="33">
        <v>90.463287353515597</v>
      </c>
      <c r="D1217" s="33">
        <v>86.694427490234403</v>
      </c>
      <c r="E1217" s="33">
        <v>97.532966613769503</v>
      </c>
    </row>
    <row r="1218" spans="1:5" ht="15" customHeight="1" x14ac:dyDescent="0.2">
      <c r="A1218" s="32" t="s">
        <v>1219</v>
      </c>
      <c r="B1218" s="33">
        <v>330.23016357421898</v>
      </c>
      <c r="C1218" s="33">
        <v>91.043434143066406</v>
      </c>
      <c r="D1218" s="33">
        <v>86.772178649902301</v>
      </c>
      <c r="E1218" s="33">
        <v>97.269989013671903</v>
      </c>
    </row>
    <row r="1219" spans="1:5" ht="15" customHeight="1" x14ac:dyDescent="0.2">
      <c r="A1219" s="32" t="s">
        <v>1220</v>
      </c>
      <c r="B1219" s="33">
        <v>326.47348022460898</v>
      </c>
      <c r="C1219" s="33">
        <v>90.840377807617202</v>
      </c>
      <c r="D1219" s="33">
        <v>86.354263305664105</v>
      </c>
      <c r="E1219" s="33">
        <v>97.630363464355497</v>
      </c>
    </row>
    <row r="1220" spans="1:5" ht="15" customHeight="1" x14ac:dyDescent="0.2">
      <c r="A1220" s="32" t="s">
        <v>1221</v>
      </c>
      <c r="B1220" s="33">
        <v>327.18716430664102</v>
      </c>
      <c r="C1220" s="33">
        <v>91.178802490234403</v>
      </c>
      <c r="D1220" s="33">
        <v>87.695503234863295</v>
      </c>
      <c r="E1220" s="33">
        <v>97.591400146484403</v>
      </c>
    </row>
    <row r="1221" spans="1:5" ht="15" customHeight="1" x14ac:dyDescent="0.2">
      <c r="A1221" s="32" t="s">
        <v>1222</v>
      </c>
      <c r="B1221" s="33">
        <v>331.97470092773398</v>
      </c>
      <c r="C1221" s="33">
        <v>92.136024475097699</v>
      </c>
      <c r="D1221" s="33">
        <v>87.646903991699205</v>
      </c>
      <c r="E1221" s="33">
        <v>97.552444458007798</v>
      </c>
    </row>
    <row r="1222" spans="1:5" ht="15" customHeight="1" x14ac:dyDescent="0.2">
      <c r="A1222" s="32" t="s">
        <v>1223</v>
      </c>
      <c r="B1222" s="33">
        <v>332.78747558593801</v>
      </c>
      <c r="C1222" s="33">
        <v>92.812858581542997</v>
      </c>
      <c r="D1222" s="33">
        <v>88.628532409667997</v>
      </c>
      <c r="E1222" s="33">
        <v>97.844635009765597</v>
      </c>
    </row>
    <row r="1223" spans="1:5" ht="15" customHeight="1" x14ac:dyDescent="0.2">
      <c r="A1223" s="32" t="s">
        <v>1224</v>
      </c>
      <c r="B1223" s="33">
        <v>332.90643310546898</v>
      </c>
      <c r="C1223" s="33">
        <v>93.363990783691406</v>
      </c>
      <c r="D1223" s="33">
        <v>87.967643737792997</v>
      </c>
      <c r="E1223" s="33">
        <v>97.805679321289105</v>
      </c>
    </row>
    <row r="1224" spans="1:5" ht="15" customHeight="1" x14ac:dyDescent="0.2">
      <c r="A1224" s="32" t="s">
        <v>1225</v>
      </c>
      <c r="B1224" s="33">
        <v>327.00875854492199</v>
      </c>
      <c r="C1224" s="33">
        <v>92.368080139160199</v>
      </c>
      <c r="D1224" s="33">
        <v>86.888816833496094</v>
      </c>
      <c r="E1224" s="33">
        <v>97.513496398925795</v>
      </c>
    </row>
    <row r="1225" spans="1:5" ht="15" customHeight="1" x14ac:dyDescent="0.2">
      <c r="A1225" s="32" t="s">
        <v>1226</v>
      </c>
      <c r="B1225" s="33">
        <v>326.95916748046898</v>
      </c>
      <c r="C1225" s="33">
        <v>92.107025146484403</v>
      </c>
      <c r="D1225" s="33">
        <v>87.073471069335895</v>
      </c>
      <c r="E1225" s="33">
        <v>97.396614074707102</v>
      </c>
    </row>
    <row r="1226" spans="1:5" ht="15" customHeight="1" x14ac:dyDescent="0.2">
      <c r="A1226" s="32" t="s">
        <v>1227</v>
      </c>
      <c r="B1226" s="33">
        <v>323.559326171875</v>
      </c>
      <c r="C1226" s="33">
        <v>90.908058166503906</v>
      </c>
      <c r="D1226" s="33">
        <v>86.354263305664105</v>
      </c>
      <c r="E1226" s="33">
        <v>97.416076660156193</v>
      </c>
    </row>
    <row r="1227" spans="1:5" ht="15" customHeight="1" x14ac:dyDescent="0.2">
      <c r="A1227" s="32" t="s">
        <v>1228</v>
      </c>
      <c r="B1227" s="33">
        <v>321.36877441406301</v>
      </c>
      <c r="C1227" s="33">
        <v>89.728446960449205</v>
      </c>
      <c r="D1227" s="33">
        <v>86.704154968261705</v>
      </c>
      <c r="E1227" s="33">
        <v>97.474525451660199</v>
      </c>
    </row>
    <row r="1228" spans="1:5" ht="15" customHeight="1" x14ac:dyDescent="0.2">
      <c r="A1228" s="32" t="s">
        <v>1229</v>
      </c>
      <c r="B1228" s="33">
        <v>322.41946411132801</v>
      </c>
      <c r="C1228" s="33">
        <v>89.457710266113295</v>
      </c>
      <c r="D1228" s="33">
        <v>86.023811340332003</v>
      </c>
      <c r="E1228" s="33">
        <v>97.474525451660199</v>
      </c>
    </row>
    <row r="1229" spans="1:5" ht="15" customHeight="1" x14ac:dyDescent="0.2">
      <c r="A1229" s="32" t="s">
        <v>1230</v>
      </c>
      <c r="B1229" s="33">
        <v>317.28500366210898</v>
      </c>
      <c r="C1229" s="33">
        <v>88.220077514648395</v>
      </c>
      <c r="D1229" s="33">
        <v>85.664199829101605</v>
      </c>
      <c r="E1229" s="33">
        <v>97.591400146484403</v>
      </c>
    </row>
    <row r="1230" spans="1:5" ht="15" customHeight="1" x14ac:dyDescent="0.2">
      <c r="A1230" s="32" t="s">
        <v>1231</v>
      </c>
      <c r="B1230" s="33">
        <v>320.95248413085898</v>
      </c>
      <c r="C1230" s="33">
        <v>89.583412170410199</v>
      </c>
      <c r="D1230" s="33">
        <v>87.054039001464801</v>
      </c>
      <c r="E1230" s="33">
        <v>97.825157165527301</v>
      </c>
    </row>
    <row r="1231" spans="1:5" ht="15" customHeight="1" x14ac:dyDescent="0.2">
      <c r="A1231" s="32" t="s">
        <v>1232</v>
      </c>
      <c r="B1231" s="33">
        <v>325.74993896484398</v>
      </c>
      <c r="C1231" s="33">
        <v>89.660758972167997</v>
      </c>
      <c r="D1231" s="33">
        <v>87.287292480468807</v>
      </c>
      <c r="E1231" s="33">
        <v>98.019950866699205</v>
      </c>
    </row>
    <row r="1232" spans="1:5" ht="15" customHeight="1" x14ac:dyDescent="0.2">
      <c r="A1232" s="32" t="s">
        <v>1233</v>
      </c>
      <c r="B1232" s="33">
        <v>329.23895263671898</v>
      </c>
      <c r="C1232" s="33">
        <v>90.734016418457102</v>
      </c>
      <c r="D1232" s="33">
        <v>88.093978881835895</v>
      </c>
      <c r="E1232" s="33">
        <v>98.175788879394503</v>
      </c>
    </row>
    <row r="1233" spans="1:5" ht="15" customHeight="1" x14ac:dyDescent="0.2">
      <c r="A1233" s="32" t="s">
        <v>1234</v>
      </c>
      <c r="B1233" s="33">
        <v>331.49890136718801</v>
      </c>
      <c r="C1233" s="33">
        <v>91.729934692382798</v>
      </c>
      <c r="D1233" s="33">
        <v>88.482742309570298</v>
      </c>
      <c r="E1233" s="33">
        <v>98.331626892089801</v>
      </c>
    </row>
    <row r="1234" spans="1:5" ht="15" customHeight="1" x14ac:dyDescent="0.2">
      <c r="A1234" s="32" t="s">
        <v>1235</v>
      </c>
      <c r="B1234" s="33">
        <v>333.35247802734398</v>
      </c>
      <c r="C1234" s="33">
        <v>92.039344787597699</v>
      </c>
      <c r="D1234" s="33">
        <v>88.774314880371094</v>
      </c>
      <c r="E1234" s="33">
        <v>98.195259094238295</v>
      </c>
    </row>
    <row r="1235" spans="1:5" ht="15" customHeight="1" x14ac:dyDescent="0.2">
      <c r="A1235" s="32" t="s">
        <v>1236</v>
      </c>
      <c r="B1235" s="33">
        <v>331.71697998046898</v>
      </c>
      <c r="C1235" s="33">
        <v>91.584892272949205</v>
      </c>
      <c r="D1235" s="33">
        <v>87.753814697265597</v>
      </c>
      <c r="E1235" s="33">
        <v>97.771186828613295</v>
      </c>
    </row>
    <row r="1236" spans="1:5" ht="15" customHeight="1" x14ac:dyDescent="0.2">
      <c r="A1236" s="32" t="s">
        <v>1237</v>
      </c>
      <c r="B1236" s="33">
        <v>332.11346435546898</v>
      </c>
      <c r="C1236" s="33">
        <v>91.894302368164105</v>
      </c>
      <c r="D1236" s="33">
        <v>87.442802429199205</v>
      </c>
      <c r="E1236" s="33">
        <v>97.898216247558594</v>
      </c>
    </row>
    <row r="1237" spans="1:5" ht="15" customHeight="1" x14ac:dyDescent="0.2">
      <c r="A1237" s="32" t="s">
        <v>1238</v>
      </c>
      <c r="B1237" s="33">
        <v>333.60028076171898</v>
      </c>
      <c r="C1237" s="33">
        <v>92.387428283691406</v>
      </c>
      <c r="D1237" s="33">
        <v>87.666343688964801</v>
      </c>
      <c r="E1237" s="33">
        <v>98.083869934082102</v>
      </c>
    </row>
    <row r="1238" spans="1:5" ht="15" customHeight="1" x14ac:dyDescent="0.2">
      <c r="A1238" s="32" t="s">
        <v>1239</v>
      </c>
      <c r="B1238" s="33">
        <v>334.12557983398398</v>
      </c>
      <c r="C1238" s="33">
        <v>92.638809204101605</v>
      </c>
      <c r="D1238" s="33">
        <v>87.452522277832003</v>
      </c>
      <c r="E1238" s="33">
        <v>97.849357604980497</v>
      </c>
    </row>
    <row r="1239" spans="1:5" ht="15" customHeight="1" x14ac:dyDescent="0.2">
      <c r="A1239" s="32" t="s">
        <v>1240</v>
      </c>
      <c r="B1239" s="33">
        <v>334.59146118164102</v>
      </c>
      <c r="C1239" s="33">
        <v>92.638809204101605</v>
      </c>
      <c r="D1239" s="33">
        <v>87.355331420898395</v>
      </c>
      <c r="E1239" s="33">
        <v>97.741874694824205</v>
      </c>
    </row>
    <row r="1240" spans="1:5" ht="15" customHeight="1" x14ac:dyDescent="0.2">
      <c r="A1240" s="32" t="s">
        <v>1241</v>
      </c>
      <c r="B1240" s="33">
        <v>333.61016845703102</v>
      </c>
      <c r="C1240" s="33">
        <v>92.348747253417997</v>
      </c>
      <c r="D1240" s="33">
        <v>86.684715270996094</v>
      </c>
      <c r="E1240" s="33">
        <v>97.585548400878906</v>
      </c>
    </row>
    <row r="1241" spans="1:5" ht="15" customHeight="1" x14ac:dyDescent="0.2">
      <c r="A1241" s="32" t="s">
        <v>1242</v>
      </c>
      <c r="B1241" s="33">
        <v>333.27316284179699</v>
      </c>
      <c r="C1241" s="33">
        <v>92.223045349121094</v>
      </c>
      <c r="D1241" s="33">
        <v>86.354263305664105</v>
      </c>
      <c r="E1241" s="33">
        <v>97.497604370117202</v>
      </c>
    </row>
    <row r="1242" spans="1:5" ht="15" customHeight="1" x14ac:dyDescent="0.2">
      <c r="A1242" s="32" t="s">
        <v>1243</v>
      </c>
      <c r="B1242" s="33">
        <v>335.75119018554699</v>
      </c>
      <c r="C1242" s="33">
        <v>93.247970581054702</v>
      </c>
      <c r="D1242" s="33">
        <v>86.665267944335895</v>
      </c>
      <c r="E1242" s="33">
        <v>97.810272216796903</v>
      </c>
    </row>
    <row r="1243" spans="1:5" ht="15" customHeight="1" x14ac:dyDescent="0.2">
      <c r="A1243" s="32" t="s">
        <v>1244</v>
      </c>
      <c r="B1243" s="33">
        <v>336.88116455078102</v>
      </c>
      <c r="C1243" s="33">
        <v>93.799102783203097</v>
      </c>
      <c r="D1243" s="33">
        <v>87.044319152832003</v>
      </c>
      <c r="E1243" s="33">
        <v>97.829826354980497</v>
      </c>
    </row>
    <row r="1244" spans="1:5" ht="15" customHeight="1" x14ac:dyDescent="0.2">
      <c r="A1244" s="32" t="s">
        <v>1245</v>
      </c>
      <c r="B1244" s="33">
        <v>333.03530883789102</v>
      </c>
      <c r="C1244" s="33">
        <v>93.305984497070298</v>
      </c>
      <c r="D1244" s="33">
        <v>86.937408447265597</v>
      </c>
      <c r="E1244" s="33">
        <v>97.526908874511705</v>
      </c>
    </row>
    <row r="1245" spans="1:5" ht="15" customHeight="1" x14ac:dyDescent="0.2">
      <c r="A1245" s="32" t="s">
        <v>1246</v>
      </c>
      <c r="B1245" s="33">
        <v>332.38104248046898</v>
      </c>
      <c r="C1245" s="33">
        <v>93.876441955566406</v>
      </c>
      <c r="D1245" s="33">
        <v>87.209548950195298</v>
      </c>
      <c r="E1245" s="33">
        <v>97.624610900878906</v>
      </c>
    </row>
    <row r="1246" spans="1:5" ht="15" customHeight="1" x14ac:dyDescent="0.2">
      <c r="A1246" s="32" t="s">
        <v>1247</v>
      </c>
      <c r="B1246" s="33">
        <v>331.41961669921898</v>
      </c>
      <c r="C1246" s="33">
        <v>93.441337585449205</v>
      </c>
      <c r="D1246" s="33">
        <v>86.568077087402301</v>
      </c>
      <c r="E1246" s="33">
        <v>97.810272216796903</v>
      </c>
    </row>
    <row r="1247" spans="1:5" ht="15" customHeight="1" x14ac:dyDescent="0.2">
      <c r="A1247" s="32" t="s">
        <v>1248</v>
      </c>
      <c r="B1247" s="33">
        <v>327.80169677734398</v>
      </c>
      <c r="C1247" s="33">
        <v>92.683334350585895</v>
      </c>
      <c r="D1247" s="33">
        <v>86.888816833496094</v>
      </c>
      <c r="E1247" s="33">
        <v>97.780967712402301</v>
      </c>
    </row>
    <row r="1248" spans="1:5" ht="15" customHeight="1" x14ac:dyDescent="0.2">
      <c r="A1248" s="32" t="s">
        <v>1249</v>
      </c>
      <c r="B1248" s="33">
        <v>330.31936645507801</v>
      </c>
      <c r="C1248" s="33">
        <v>93.3428955078125</v>
      </c>
      <c r="D1248" s="33">
        <v>86.432014465332003</v>
      </c>
      <c r="E1248" s="33">
        <v>98.025245666503906</v>
      </c>
    </row>
    <row r="1249" spans="1:5" ht="15" customHeight="1" x14ac:dyDescent="0.2">
      <c r="A1249" s="32" t="s">
        <v>1250</v>
      </c>
      <c r="B1249" s="33">
        <v>333.26324462890602</v>
      </c>
      <c r="C1249" s="33">
        <v>93.972923278808594</v>
      </c>
      <c r="D1249" s="33">
        <v>86.1015625</v>
      </c>
      <c r="E1249" s="33">
        <v>97.882102966308594</v>
      </c>
    </row>
    <row r="1250" spans="1:5" ht="15" customHeight="1" x14ac:dyDescent="0.2">
      <c r="A1250" s="32" t="s">
        <v>1251</v>
      </c>
      <c r="B1250" s="33">
        <v>335.580322265625</v>
      </c>
      <c r="C1250" s="33">
        <v>94.209182739257798</v>
      </c>
      <c r="D1250" s="33">
        <v>86.543899536132798</v>
      </c>
      <c r="E1250" s="33">
        <v>97.842887878417997</v>
      </c>
    </row>
    <row r="1251" spans="1:5" ht="15" customHeight="1" x14ac:dyDescent="0.2">
      <c r="A1251" s="32" t="s">
        <v>1252</v>
      </c>
      <c r="B1251" s="33">
        <v>336.693603515625</v>
      </c>
      <c r="C1251" s="33">
        <v>94.790000915527301</v>
      </c>
      <c r="D1251" s="33">
        <v>86.485054016113295</v>
      </c>
      <c r="E1251" s="33">
        <v>97.842887878417997</v>
      </c>
    </row>
    <row r="1252" spans="1:5" ht="15" customHeight="1" x14ac:dyDescent="0.2">
      <c r="A1252" s="32" t="s">
        <v>1253</v>
      </c>
      <c r="B1252" s="33">
        <v>337.8466796875</v>
      </c>
      <c r="C1252" s="33">
        <v>94.908134460449205</v>
      </c>
      <c r="D1252" s="33">
        <v>87.053909301757798</v>
      </c>
      <c r="E1252" s="33">
        <v>98.058570861816406</v>
      </c>
    </row>
    <row r="1253" spans="1:5" ht="15" customHeight="1" x14ac:dyDescent="0.2">
      <c r="A1253" s="32" t="s">
        <v>1254</v>
      </c>
      <c r="B1253" s="33">
        <v>337.637939453125</v>
      </c>
      <c r="C1253" s="33">
        <v>95.065635681152301</v>
      </c>
      <c r="D1253" s="33">
        <v>87.1519775390625</v>
      </c>
      <c r="E1253" s="33">
        <v>98.078186035156193</v>
      </c>
    </row>
    <row r="1254" spans="1:5" ht="15" customHeight="1" x14ac:dyDescent="0.2">
      <c r="A1254" s="32" t="s">
        <v>1255</v>
      </c>
      <c r="B1254" s="33">
        <v>336.36560058593801</v>
      </c>
      <c r="C1254" s="33">
        <v>94.7801513671875</v>
      </c>
      <c r="D1254" s="33">
        <v>87.328521728515597</v>
      </c>
      <c r="E1254" s="33">
        <v>98.195846557617202</v>
      </c>
    </row>
    <row r="1255" spans="1:5" ht="15" customHeight="1" x14ac:dyDescent="0.2">
      <c r="A1255" s="32" t="s">
        <v>1256</v>
      </c>
      <c r="B1255" s="33">
        <v>335.82879638671898</v>
      </c>
      <c r="C1255" s="33">
        <v>94.937660217285199</v>
      </c>
      <c r="D1255" s="33">
        <v>87.505058288574205</v>
      </c>
      <c r="E1255" s="33">
        <v>98.156623840332102</v>
      </c>
    </row>
    <row r="1256" spans="1:5" ht="15" customHeight="1" x14ac:dyDescent="0.2">
      <c r="A1256" s="32" t="s">
        <v>1257</v>
      </c>
      <c r="B1256" s="33">
        <v>333.26425170898398</v>
      </c>
      <c r="C1256" s="33">
        <v>94.534042358398395</v>
      </c>
      <c r="D1256" s="33">
        <v>86.789093017578097</v>
      </c>
      <c r="E1256" s="33">
        <v>97.921318054199205</v>
      </c>
    </row>
    <row r="1257" spans="1:5" ht="15" customHeight="1" x14ac:dyDescent="0.2">
      <c r="A1257" s="32" t="s">
        <v>1258</v>
      </c>
      <c r="B1257" s="33">
        <v>334.29803466796898</v>
      </c>
      <c r="C1257" s="33">
        <v>95.528312683105497</v>
      </c>
      <c r="D1257" s="33">
        <v>86.818519592285199</v>
      </c>
      <c r="E1257" s="33">
        <v>97.891914367675795</v>
      </c>
    </row>
    <row r="1258" spans="1:5" ht="15" customHeight="1" x14ac:dyDescent="0.2">
      <c r="A1258" s="32" t="s">
        <v>1259</v>
      </c>
      <c r="B1258" s="33">
        <v>336.81286621093801</v>
      </c>
      <c r="C1258" s="33">
        <v>96.621025085449205</v>
      </c>
      <c r="D1258" s="33">
        <v>87.014671325683594</v>
      </c>
      <c r="E1258" s="33">
        <v>98.078186035156193</v>
      </c>
    </row>
    <row r="1259" spans="1:5" ht="15" customHeight="1" x14ac:dyDescent="0.2">
      <c r="A1259" s="32" t="s">
        <v>1260</v>
      </c>
      <c r="B1259" s="33">
        <v>339.168701171875</v>
      </c>
      <c r="C1259" s="33">
        <v>96.768692016601605</v>
      </c>
      <c r="D1259" s="33">
        <v>87.652175903320298</v>
      </c>
      <c r="E1259" s="33">
        <v>98.058570861816406</v>
      </c>
    </row>
    <row r="1260" spans="1:5" ht="15" customHeight="1" x14ac:dyDescent="0.2">
      <c r="A1260" s="32" t="s">
        <v>1261</v>
      </c>
      <c r="B1260" s="33">
        <v>338.015625</v>
      </c>
      <c r="C1260" s="33">
        <v>96.404449462890597</v>
      </c>
      <c r="D1260" s="33">
        <v>86.798896789550795</v>
      </c>
      <c r="E1260" s="33">
        <v>98.156623840332102</v>
      </c>
    </row>
    <row r="1261" spans="1:5" ht="15" customHeight="1" x14ac:dyDescent="0.2">
      <c r="A1261" s="32" t="s">
        <v>1262</v>
      </c>
      <c r="B1261" s="33">
        <v>338.10513305664102</v>
      </c>
      <c r="C1261" s="33">
        <v>96.414299011230497</v>
      </c>
      <c r="D1261" s="33">
        <v>87.573715209960895</v>
      </c>
      <c r="E1261" s="33">
        <v>97.980148315429702</v>
      </c>
    </row>
    <row r="1262" spans="1:5" ht="15" customHeight="1" x14ac:dyDescent="0.2">
      <c r="A1262" s="32" t="s">
        <v>1263</v>
      </c>
      <c r="B1262" s="33">
        <v>340.35159301757801</v>
      </c>
      <c r="C1262" s="33">
        <v>97.270736694335895</v>
      </c>
      <c r="D1262" s="33">
        <v>87.750259399414105</v>
      </c>
      <c r="E1262" s="33">
        <v>98.195846557617202</v>
      </c>
    </row>
    <row r="1263" spans="1:5" ht="15" customHeight="1" x14ac:dyDescent="0.2">
      <c r="A1263" s="32" t="s">
        <v>1264</v>
      </c>
      <c r="B1263" s="33">
        <v>340.97781372070301</v>
      </c>
      <c r="C1263" s="33">
        <v>97.861396789550795</v>
      </c>
      <c r="D1263" s="33">
        <v>87.867942810058594</v>
      </c>
      <c r="E1263" s="33">
        <v>98.146804809570298</v>
      </c>
    </row>
    <row r="1264" spans="1:5" ht="15" customHeight="1" x14ac:dyDescent="0.2">
      <c r="A1264" s="32" t="s">
        <v>1265</v>
      </c>
      <c r="B1264" s="33">
        <v>340.29196166992199</v>
      </c>
      <c r="C1264" s="33">
        <v>97.300270080566406</v>
      </c>
      <c r="D1264" s="33">
        <v>88.358337402343807</v>
      </c>
      <c r="E1264" s="33">
        <v>98.235046386718807</v>
      </c>
    </row>
    <row r="1265" spans="1:5" ht="15" customHeight="1" x14ac:dyDescent="0.2">
      <c r="A1265" s="32" t="s">
        <v>1266</v>
      </c>
      <c r="B1265" s="33">
        <v>338.9599609375</v>
      </c>
      <c r="C1265" s="33">
        <v>97.753112792968807</v>
      </c>
      <c r="D1265" s="33">
        <v>89.123352050781307</v>
      </c>
      <c r="E1265" s="33">
        <v>98.382102966308594</v>
      </c>
    </row>
    <row r="1266" spans="1:5" ht="15" customHeight="1" x14ac:dyDescent="0.2">
      <c r="A1266" s="32" t="s">
        <v>1267</v>
      </c>
      <c r="B1266" s="33">
        <v>340.00369262695301</v>
      </c>
      <c r="C1266" s="33">
        <v>97.713729858398395</v>
      </c>
      <c r="D1266" s="33">
        <v>89.741233825683594</v>
      </c>
      <c r="E1266" s="33">
        <v>98.254646301269503</v>
      </c>
    </row>
    <row r="1267" spans="1:5" ht="15" customHeight="1" x14ac:dyDescent="0.2">
      <c r="A1267" s="32" t="s">
        <v>1268</v>
      </c>
      <c r="B1267" s="33">
        <v>339.80487060546898</v>
      </c>
      <c r="C1267" s="33">
        <v>97.979522705078097</v>
      </c>
      <c r="D1267" s="33">
        <v>90.839714050292997</v>
      </c>
      <c r="E1267" s="33">
        <v>98.087997436523395</v>
      </c>
    </row>
    <row r="1268" spans="1:5" ht="15" customHeight="1" x14ac:dyDescent="0.2">
      <c r="A1268" s="32" t="s">
        <v>1269</v>
      </c>
      <c r="B1268" s="33">
        <v>333.10519409179699</v>
      </c>
      <c r="C1268" s="33">
        <v>96.4930419921875</v>
      </c>
      <c r="D1268" s="33">
        <v>89.152770996093807</v>
      </c>
      <c r="E1268" s="33">
        <v>97.715446472167997</v>
      </c>
    </row>
    <row r="1269" spans="1:5" ht="15" customHeight="1" x14ac:dyDescent="0.2">
      <c r="A1269" s="32" t="s">
        <v>1270</v>
      </c>
      <c r="B1269" s="33">
        <v>337.05145263671898</v>
      </c>
      <c r="C1269" s="33">
        <v>97.487312316894503</v>
      </c>
      <c r="D1269" s="33">
        <v>89.505851745605497</v>
      </c>
      <c r="E1269" s="33">
        <v>98.038963317871094</v>
      </c>
    </row>
    <row r="1270" spans="1:5" ht="15" customHeight="1" x14ac:dyDescent="0.2">
      <c r="A1270" s="32" t="s">
        <v>1271</v>
      </c>
      <c r="B1270" s="33">
        <v>338.83071899414102</v>
      </c>
      <c r="C1270" s="33">
        <v>97.871238708496094</v>
      </c>
      <c r="D1270" s="33">
        <v>88.623153686523395</v>
      </c>
      <c r="E1270" s="33">
        <v>98.058570861816406</v>
      </c>
    </row>
    <row r="1271" spans="1:5" ht="15" customHeight="1" x14ac:dyDescent="0.2">
      <c r="A1271" s="32" t="s">
        <v>1272</v>
      </c>
      <c r="B1271" s="33">
        <v>338.52258300781301</v>
      </c>
      <c r="C1271" s="33">
        <v>98.412673950195298</v>
      </c>
      <c r="D1271" s="33">
        <v>88.799690246582003</v>
      </c>
      <c r="E1271" s="33">
        <v>98.146804809570298</v>
      </c>
    </row>
    <row r="1272" spans="1:5" ht="15" customHeight="1" x14ac:dyDescent="0.2">
      <c r="A1272" s="32" t="s">
        <v>1273</v>
      </c>
      <c r="B1272" s="33">
        <v>339.98382568359398</v>
      </c>
      <c r="C1272" s="33">
        <v>98.904884338378906</v>
      </c>
      <c r="D1272" s="33">
        <v>88.681999206542997</v>
      </c>
      <c r="E1272" s="33">
        <v>98.293869018554702</v>
      </c>
    </row>
    <row r="1273" spans="1:5" ht="15" customHeight="1" x14ac:dyDescent="0.2">
      <c r="A1273" s="32" t="s">
        <v>1274</v>
      </c>
      <c r="B1273" s="33">
        <v>341.21636962890602</v>
      </c>
      <c r="C1273" s="33">
        <v>100.499641418457</v>
      </c>
      <c r="D1273" s="33">
        <v>88.652572631835895</v>
      </c>
      <c r="E1273" s="33">
        <v>98.225242614746094</v>
      </c>
    </row>
    <row r="1274" spans="1:5" ht="15" customHeight="1" x14ac:dyDescent="0.2">
      <c r="A1274" s="32" t="s">
        <v>1275</v>
      </c>
      <c r="B1274" s="33">
        <v>341.02749633789102</v>
      </c>
      <c r="C1274" s="33">
        <v>99.436470031738295</v>
      </c>
      <c r="D1274" s="33">
        <v>87.740447998046903</v>
      </c>
      <c r="E1274" s="33">
        <v>98.18603515625</v>
      </c>
    </row>
    <row r="1275" spans="1:5" ht="15" customHeight="1" x14ac:dyDescent="0.2">
      <c r="A1275" s="32" t="s">
        <v>1276</v>
      </c>
      <c r="B1275" s="33">
        <v>340.24224853515602</v>
      </c>
      <c r="C1275" s="33">
        <v>100.105880737305</v>
      </c>
      <c r="D1275" s="33">
        <v>88.966415405273395</v>
      </c>
      <c r="E1275" s="33">
        <v>98.18603515625</v>
      </c>
    </row>
    <row r="1276" spans="1:5" ht="15" customHeight="1" x14ac:dyDescent="0.2">
      <c r="A1276" s="32" t="s">
        <v>1277</v>
      </c>
      <c r="B1276" s="33">
        <v>338.53253173828102</v>
      </c>
      <c r="C1276" s="33">
        <v>99.170669555664105</v>
      </c>
      <c r="D1276" s="33">
        <v>89.054695129394503</v>
      </c>
      <c r="E1276" s="33">
        <v>98.166419982910199</v>
      </c>
    </row>
    <row r="1277" spans="1:5" ht="15" customHeight="1" x14ac:dyDescent="0.2">
      <c r="A1277" s="32" t="s">
        <v>1278</v>
      </c>
      <c r="B1277" s="33">
        <v>340.43112182617199</v>
      </c>
      <c r="C1277" s="33">
        <v>99.820396423339801</v>
      </c>
      <c r="D1277" s="33">
        <v>88.132759094238295</v>
      </c>
      <c r="E1277" s="33">
        <v>98.053306579589801</v>
      </c>
    </row>
    <row r="1278" spans="1:5" ht="15" customHeight="1" x14ac:dyDescent="0.2">
      <c r="A1278" s="32" t="s">
        <v>1279</v>
      </c>
      <c r="B1278" s="33">
        <v>337.81686401367199</v>
      </c>
      <c r="C1278" s="33">
        <v>99.869613647460895</v>
      </c>
      <c r="D1278" s="33">
        <v>87.936607360839801</v>
      </c>
      <c r="E1278" s="33">
        <v>98.063140869140597</v>
      </c>
    </row>
    <row r="1279" spans="1:5" ht="15" customHeight="1" x14ac:dyDescent="0.2">
      <c r="A1279" s="32" t="s">
        <v>1280</v>
      </c>
      <c r="B1279" s="33">
        <v>336.22644042968801</v>
      </c>
      <c r="C1279" s="33">
        <v>100.194473266602</v>
      </c>
      <c r="D1279" s="33">
        <v>89.201805114746094</v>
      </c>
      <c r="E1279" s="33">
        <v>98.004127502441406</v>
      </c>
    </row>
    <row r="1280" spans="1:5" ht="15" customHeight="1" x14ac:dyDescent="0.2">
      <c r="A1280" s="32" t="s">
        <v>1281</v>
      </c>
      <c r="B1280" s="33">
        <v>331.90243530273398</v>
      </c>
      <c r="C1280" s="33">
        <v>98.767066955566406</v>
      </c>
      <c r="D1280" s="33">
        <v>89.074310302734403</v>
      </c>
      <c r="E1280" s="33">
        <v>98.427070617675795</v>
      </c>
    </row>
    <row r="1281" spans="1:5" ht="15" customHeight="1" x14ac:dyDescent="0.2">
      <c r="A1281" s="32" t="s">
        <v>1282</v>
      </c>
      <c r="B1281" s="33">
        <v>338.92019653320301</v>
      </c>
      <c r="C1281" s="33">
        <v>101.01154327392599</v>
      </c>
      <c r="D1281" s="33">
        <v>90.476821899414105</v>
      </c>
      <c r="E1281" s="33">
        <v>98.486083984375</v>
      </c>
    </row>
    <row r="1282" spans="1:5" ht="15" customHeight="1" x14ac:dyDescent="0.2">
      <c r="A1282" s="32" t="s">
        <v>1283</v>
      </c>
      <c r="B1282" s="33">
        <v>340.59014892578102</v>
      </c>
      <c r="C1282" s="33">
        <v>102.370040893555</v>
      </c>
      <c r="D1282" s="33">
        <v>90.859321594238295</v>
      </c>
      <c r="E1282" s="33">
        <v>98.515602111816406</v>
      </c>
    </row>
    <row r="1283" spans="1:5" ht="15" customHeight="1" x14ac:dyDescent="0.2">
      <c r="A1283" s="32" t="s">
        <v>1284</v>
      </c>
      <c r="B1283" s="33">
        <v>339.75515747070301</v>
      </c>
      <c r="C1283" s="33">
        <v>102.61614990234401</v>
      </c>
      <c r="D1283" s="33">
        <v>92.075485229492202</v>
      </c>
      <c r="E1283" s="33">
        <v>98.800827026367202</v>
      </c>
    </row>
    <row r="1284" spans="1:5" ht="15" customHeight="1" x14ac:dyDescent="0.2">
      <c r="A1284" s="32" t="s">
        <v>1285</v>
      </c>
      <c r="B1284" s="33">
        <v>339.42715454101602</v>
      </c>
      <c r="C1284" s="33">
        <v>103.305252075195</v>
      </c>
      <c r="D1284" s="33">
        <v>91.565490722656193</v>
      </c>
      <c r="E1284" s="33">
        <v>98.574600219726605</v>
      </c>
    </row>
    <row r="1285" spans="1:5" ht="15" customHeight="1" x14ac:dyDescent="0.2">
      <c r="A1285" s="32" t="s">
        <v>1286</v>
      </c>
      <c r="B1285" s="33">
        <v>333.99984741210898</v>
      </c>
      <c r="C1285" s="33">
        <v>102.527557373047</v>
      </c>
      <c r="D1285" s="33">
        <v>91.457595825195298</v>
      </c>
      <c r="E1285" s="33">
        <v>99.017219543457102</v>
      </c>
    </row>
    <row r="1286" spans="1:5" ht="15" customHeight="1" x14ac:dyDescent="0.2">
      <c r="A1286" s="32" t="s">
        <v>1287</v>
      </c>
      <c r="B1286" s="33">
        <v>334.635986328125</v>
      </c>
      <c r="C1286" s="33">
        <v>102.61614990234401</v>
      </c>
      <c r="D1286" s="33">
        <v>92.771835327148395</v>
      </c>
      <c r="E1286" s="33">
        <v>99.331954956054702</v>
      </c>
    </row>
    <row r="1287" spans="1:5" ht="15" customHeight="1" x14ac:dyDescent="0.2">
      <c r="A1287" s="32" t="s">
        <v>1288</v>
      </c>
      <c r="B1287" s="33">
        <v>335.053466796875</v>
      </c>
      <c r="C1287" s="33">
        <v>102.596466064453</v>
      </c>
      <c r="D1287" s="33">
        <v>93.654541015625</v>
      </c>
      <c r="E1287" s="33">
        <v>99.341796875</v>
      </c>
    </row>
    <row r="1288" spans="1:5" ht="15" customHeight="1" x14ac:dyDescent="0.2">
      <c r="A1288" s="32" t="s">
        <v>1289</v>
      </c>
      <c r="B1288" s="33">
        <v>336.80291748046898</v>
      </c>
      <c r="C1288" s="33">
        <v>102.71459197998099</v>
      </c>
      <c r="D1288" s="33">
        <v>92.556068420410199</v>
      </c>
      <c r="E1288" s="33">
        <v>99.2041015625</v>
      </c>
    </row>
    <row r="1289" spans="1:5" ht="15" customHeight="1" x14ac:dyDescent="0.2">
      <c r="A1289" s="32" t="s">
        <v>1290</v>
      </c>
      <c r="B1289" s="33">
        <v>336.16677856445301</v>
      </c>
      <c r="C1289" s="33">
        <v>102.42911529541</v>
      </c>
      <c r="D1289" s="33">
        <v>92.359916687011705</v>
      </c>
      <c r="E1289" s="33">
        <v>99.223762512207102</v>
      </c>
    </row>
    <row r="1290" spans="1:5" ht="15" customHeight="1" x14ac:dyDescent="0.2">
      <c r="A1290" s="32" t="s">
        <v>1291</v>
      </c>
      <c r="B1290" s="33">
        <v>338.23431396484398</v>
      </c>
      <c r="C1290" s="33">
        <v>103.265869140625</v>
      </c>
      <c r="D1290" s="33">
        <v>93.056259155273395</v>
      </c>
      <c r="E1290" s="33">
        <v>99.243438720703097</v>
      </c>
    </row>
    <row r="1291" spans="1:5" ht="15" customHeight="1" x14ac:dyDescent="0.2">
      <c r="A1291" s="32" t="s">
        <v>1292</v>
      </c>
      <c r="B1291" s="33">
        <v>334.44711303710898</v>
      </c>
      <c r="C1291" s="33">
        <v>102.842567443848</v>
      </c>
      <c r="D1291" s="33">
        <v>93.066078186035199</v>
      </c>
      <c r="E1291" s="33">
        <v>99.440155029296903</v>
      </c>
    </row>
    <row r="1292" spans="1:5" ht="15" customHeight="1" x14ac:dyDescent="0.2">
      <c r="A1292" s="32" t="s">
        <v>1293</v>
      </c>
      <c r="B1292" s="33">
        <v>337.1806640625</v>
      </c>
      <c r="C1292" s="33">
        <v>103.02960968017599</v>
      </c>
      <c r="D1292" s="33">
        <v>93.301460266113295</v>
      </c>
      <c r="E1292" s="33">
        <v>99.430320739746094</v>
      </c>
    </row>
    <row r="1293" spans="1:5" ht="15" customHeight="1" x14ac:dyDescent="0.2">
      <c r="A1293" s="32" t="s">
        <v>1294</v>
      </c>
      <c r="B1293" s="33">
        <v>339.78497314453102</v>
      </c>
      <c r="C1293" s="33">
        <v>104.014038085938</v>
      </c>
      <c r="D1293" s="33">
        <v>93.046463012695298</v>
      </c>
      <c r="E1293" s="33">
        <v>99.381141662597699</v>
      </c>
    </row>
    <row r="1294" spans="1:5" ht="15" customHeight="1" x14ac:dyDescent="0.2">
      <c r="A1294" s="32" t="s">
        <v>1295</v>
      </c>
      <c r="B1294" s="33">
        <v>338.45300292968801</v>
      </c>
      <c r="C1294" s="33">
        <v>103.925430297852</v>
      </c>
      <c r="D1294" s="33">
        <v>93.6839599609375</v>
      </c>
      <c r="E1294" s="33">
        <v>99.538513183593807</v>
      </c>
    </row>
    <row r="1295" spans="1:5" ht="15" customHeight="1" x14ac:dyDescent="0.2">
      <c r="A1295" s="32" t="s">
        <v>1296</v>
      </c>
      <c r="B1295" s="33">
        <v>336.74328613281301</v>
      </c>
      <c r="C1295" s="33">
        <v>103.738388061523</v>
      </c>
      <c r="D1295" s="33">
        <v>93.8507080078125</v>
      </c>
      <c r="E1295" s="33">
        <v>99.7352294921875</v>
      </c>
    </row>
    <row r="1296" spans="1:5" ht="15" customHeight="1" x14ac:dyDescent="0.2">
      <c r="A1296" s="32" t="s">
        <v>1297</v>
      </c>
      <c r="B1296" s="33">
        <v>337.09121704101602</v>
      </c>
      <c r="C1296" s="33">
        <v>101.690795898438</v>
      </c>
      <c r="D1296" s="33">
        <v>94.086090087890597</v>
      </c>
      <c r="E1296" s="33">
        <v>99.336624145507798</v>
      </c>
    </row>
    <row r="1297" spans="1:5" ht="15" customHeight="1" x14ac:dyDescent="0.2">
      <c r="A1297" s="32" t="s">
        <v>1298</v>
      </c>
      <c r="B1297" s="33">
        <v>333.72149658203102</v>
      </c>
      <c r="C1297" s="33">
        <v>98.530799865722699</v>
      </c>
      <c r="D1297" s="33">
        <v>93.585884094238295</v>
      </c>
      <c r="E1297" s="33">
        <v>99.228080749511705</v>
      </c>
    </row>
    <row r="1298" spans="1:5" ht="15" customHeight="1" x14ac:dyDescent="0.2">
      <c r="A1298" s="32" t="s">
        <v>1299</v>
      </c>
      <c r="B1298" s="33">
        <v>336.16677856445301</v>
      </c>
      <c r="C1298" s="33">
        <v>99.800704956054702</v>
      </c>
      <c r="D1298" s="33">
        <v>93.703575134277301</v>
      </c>
      <c r="E1298" s="33">
        <v>99.188629150390597</v>
      </c>
    </row>
    <row r="1299" spans="1:5" ht="15" customHeight="1" x14ac:dyDescent="0.2">
      <c r="A1299" s="32" t="s">
        <v>1300</v>
      </c>
      <c r="B1299" s="33">
        <v>333.98989868164102</v>
      </c>
      <c r="C1299" s="33">
        <v>97.615295410156193</v>
      </c>
      <c r="D1299" s="33">
        <v>92.762031555175795</v>
      </c>
      <c r="E1299" s="33">
        <v>98.902496337890597</v>
      </c>
    </row>
    <row r="1300" spans="1:5" ht="15" customHeight="1" x14ac:dyDescent="0.2">
      <c r="A1300" s="32" t="s">
        <v>1301</v>
      </c>
      <c r="B1300" s="33">
        <v>329.42736816406301</v>
      </c>
      <c r="C1300" s="33">
        <v>96.748992919921903</v>
      </c>
      <c r="D1300" s="33">
        <v>91.7518310546875</v>
      </c>
      <c r="E1300" s="33">
        <v>98.784103393554702</v>
      </c>
    </row>
    <row r="1301" spans="1:5" ht="15" customHeight="1" x14ac:dyDescent="0.2">
      <c r="A1301" s="32" t="s">
        <v>1302</v>
      </c>
      <c r="B1301" s="33">
        <v>332.28018188476602</v>
      </c>
      <c r="C1301" s="33">
        <v>97.447937011718807</v>
      </c>
      <c r="D1301" s="33">
        <v>91.957794189453097</v>
      </c>
      <c r="E1301" s="33">
        <v>99.099830627441406</v>
      </c>
    </row>
    <row r="1302" spans="1:5" ht="15" customHeight="1" x14ac:dyDescent="0.2">
      <c r="A1302" s="32" t="s">
        <v>1303</v>
      </c>
      <c r="B1302" s="33">
        <v>331.51480102539102</v>
      </c>
      <c r="C1302" s="33">
        <v>97.674354553222699</v>
      </c>
      <c r="D1302" s="33">
        <v>91.820487976074205</v>
      </c>
      <c r="E1302" s="33">
        <v>98.774223327636705</v>
      </c>
    </row>
    <row r="1303" spans="1:5" ht="15" customHeight="1" x14ac:dyDescent="0.2">
      <c r="A1303" s="32" t="s">
        <v>1304</v>
      </c>
      <c r="B1303" s="33">
        <v>331.24636840820301</v>
      </c>
      <c r="C1303" s="33">
        <v>97.467628479003906</v>
      </c>
      <c r="D1303" s="33">
        <v>90.869132995605497</v>
      </c>
      <c r="E1303" s="33">
        <v>98.330230712890597</v>
      </c>
    </row>
    <row r="1304" spans="1:5" ht="15" customHeight="1" x14ac:dyDescent="0.2">
      <c r="A1304" s="32" t="s">
        <v>1305</v>
      </c>
      <c r="B1304" s="33">
        <v>325.958251953125</v>
      </c>
      <c r="C1304" s="33">
        <v>95.9417724609375</v>
      </c>
      <c r="D1304" s="33">
        <v>90.241432189941406</v>
      </c>
      <c r="E1304" s="33">
        <v>97.965171813964801</v>
      </c>
    </row>
    <row r="1305" spans="1:5" ht="15" customHeight="1" x14ac:dyDescent="0.2">
      <c r="A1305" s="32" t="s">
        <v>1306</v>
      </c>
      <c r="B1305" s="33">
        <v>324.17892456054699</v>
      </c>
      <c r="C1305" s="33">
        <v>94.799842834472699</v>
      </c>
      <c r="D1305" s="33">
        <v>90.3885498046875</v>
      </c>
      <c r="E1305" s="33">
        <v>97.886238098144503</v>
      </c>
    </row>
    <row r="1306" spans="1:5" ht="15" customHeight="1" x14ac:dyDescent="0.2">
      <c r="A1306" s="32" t="s">
        <v>1307</v>
      </c>
      <c r="B1306" s="33">
        <v>327.48898315429699</v>
      </c>
      <c r="C1306" s="33">
        <v>96.571800231933594</v>
      </c>
      <c r="D1306" s="33">
        <v>91.143753051757798</v>
      </c>
      <c r="E1306" s="33">
        <v>98.271026611328097</v>
      </c>
    </row>
    <row r="1307" spans="1:5" ht="15" customHeight="1" x14ac:dyDescent="0.2">
      <c r="A1307" s="32" t="s">
        <v>1308</v>
      </c>
      <c r="B1307" s="33">
        <v>328.59237670898398</v>
      </c>
      <c r="C1307" s="33">
        <v>96.837600708007798</v>
      </c>
      <c r="D1307" s="33">
        <v>91.545860290527301</v>
      </c>
      <c r="E1307" s="33">
        <v>98.468360900878906</v>
      </c>
    </row>
    <row r="1308" spans="1:5" ht="15" customHeight="1" x14ac:dyDescent="0.2">
      <c r="A1308" s="32" t="s">
        <v>1309</v>
      </c>
      <c r="B1308" s="33">
        <v>324.069580078125</v>
      </c>
      <c r="C1308" s="33">
        <v>95.183769226074205</v>
      </c>
      <c r="D1308" s="33">
        <v>90.192398071289105</v>
      </c>
      <c r="E1308" s="33">
        <v>98.053970336914105</v>
      </c>
    </row>
    <row r="1309" spans="1:5" ht="15" customHeight="1" x14ac:dyDescent="0.2">
      <c r="A1309" s="32" t="s">
        <v>1310</v>
      </c>
      <c r="B1309" s="33">
        <v>323.49307250976602</v>
      </c>
      <c r="C1309" s="33">
        <v>95.016410827636705</v>
      </c>
      <c r="D1309" s="33">
        <v>89.829498291015597</v>
      </c>
      <c r="E1309" s="33">
        <v>98.162498474121094</v>
      </c>
    </row>
    <row r="1310" spans="1:5" ht="15" customHeight="1" x14ac:dyDescent="0.2">
      <c r="A1310" s="32" t="s">
        <v>1311</v>
      </c>
      <c r="B1310" s="33">
        <v>318.42355346679699</v>
      </c>
      <c r="C1310" s="33">
        <v>92.132057189941406</v>
      </c>
      <c r="D1310" s="33">
        <v>87.044097900390597</v>
      </c>
      <c r="E1310" s="33">
        <v>97.343574523925795</v>
      </c>
    </row>
    <row r="1311" spans="1:5" ht="15" customHeight="1" x14ac:dyDescent="0.2">
      <c r="A1311" s="32" t="s">
        <v>1312</v>
      </c>
      <c r="B1311" s="33">
        <v>322.25051879882801</v>
      </c>
      <c r="C1311" s="33">
        <v>94.347000122070298</v>
      </c>
      <c r="D1311" s="33">
        <v>87.720832824707003</v>
      </c>
      <c r="E1311" s="33">
        <v>97.708641052246094</v>
      </c>
    </row>
    <row r="1312" spans="1:5" ht="15" customHeight="1" x14ac:dyDescent="0.2">
      <c r="A1312" s="32" t="s">
        <v>1313</v>
      </c>
      <c r="B1312" s="33">
        <v>321.24658203125</v>
      </c>
      <c r="C1312" s="33">
        <v>93.785881042480497</v>
      </c>
      <c r="D1312" s="33">
        <v>87.141937255859403</v>
      </c>
      <c r="E1312" s="33">
        <v>97.442253112792997</v>
      </c>
    </row>
    <row r="1313" spans="1:5" ht="15" customHeight="1" x14ac:dyDescent="0.2">
      <c r="A1313" s="32" t="s">
        <v>1314</v>
      </c>
      <c r="B1313" s="33">
        <v>323.20477294921898</v>
      </c>
      <c r="C1313" s="33">
        <v>95.154235839843807</v>
      </c>
      <c r="D1313" s="33">
        <v>87.072540283203097</v>
      </c>
      <c r="E1313" s="33">
        <v>97.787567138671903</v>
      </c>
    </row>
    <row r="1314" spans="1:5" ht="15" customHeight="1" x14ac:dyDescent="0.2">
      <c r="A1314" s="32" t="s">
        <v>1315</v>
      </c>
      <c r="B1314" s="33">
        <v>317.63827514648398</v>
      </c>
      <c r="C1314" s="33">
        <v>93.185394287109403</v>
      </c>
      <c r="D1314" s="33">
        <v>86.953598022460895</v>
      </c>
      <c r="E1314" s="33">
        <v>97.235046386718807</v>
      </c>
    </row>
    <row r="1315" spans="1:5" ht="15" customHeight="1" x14ac:dyDescent="0.2">
      <c r="A1315" s="32" t="s">
        <v>1316</v>
      </c>
      <c r="B1315" s="33">
        <v>312.19195556640602</v>
      </c>
      <c r="C1315" s="33">
        <v>92.338790893554702</v>
      </c>
      <c r="D1315" s="33">
        <v>86.239883422851605</v>
      </c>
      <c r="E1315" s="33">
        <v>97.225173950195298</v>
      </c>
    </row>
    <row r="1316" spans="1:5" ht="15" customHeight="1" x14ac:dyDescent="0.2">
      <c r="A1316" s="32" t="s">
        <v>1317</v>
      </c>
      <c r="B1316" s="33">
        <v>310.78601074218801</v>
      </c>
      <c r="C1316" s="33">
        <v>92.604576110839801</v>
      </c>
      <c r="D1316" s="33">
        <v>86.567001342773395</v>
      </c>
      <c r="E1316" s="33">
        <v>97.718505859375</v>
      </c>
    </row>
    <row r="1317" spans="1:5" ht="15" customHeight="1" x14ac:dyDescent="0.2">
      <c r="A1317" s="32" t="s">
        <v>1318</v>
      </c>
      <c r="B1317" s="33">
        <v>319.88983154296898</v>
      </c>
      <c r="C1317" s="33">
        <v>95.616905212402301</v>
      </c>
      <c r="D1317" s="33">
        <v>87.925025939941406</v>
      </c>
      <c r="E1317" s="33">
        <v>97.9454345703125</v>
      </c>
    </row>
    <row r="1318" spans="1:5" ht="15" customHeight="1" x14ac:dyDescent="0.2">
      <c r="A1318" s="32" t="s">
        <v>1319</v>
      </c>
      <c r="B1318" s="33">
        <v>322.31283569335898</v>
      </c>
      <c r="C1318" s="33">
        <v>97.073860168457102</v>
      </c>
      <c r="D1318" s="33">
        <v>88.242233276367202</v>
      </c>
      <c r="E1318" s="33">
        <v>98.011764526367202</v>
      </c>
    </row>
    <row r="1319" spans="1:5" ht="15" customHeight="1" x14ac:dyDescent="0.2">
      <c r="A1319" s="32" t="s">
        <v>1320</v>
      </c>
      <c r="B1319" s="33">
        <v>322.83135986328102</v>
      </c>
      <c r="C1319" s="33">
        <v>96.473358154296903</v>
      </c>
      <c r="D1319" s="33">
        <v>89.441665649414105</v>
      </c>
      <c r="E1319" s="33">
        <v>98.239471435546903</v>
      </c>
    </row>
    <row r="1320" spans="1:5" ht="15" customHeight="1" x14ac:dyDescent="0.2">
      <c r="A1320" s="32" t="s">
        <v>1321</v>
      </c>
      <c r="B1320" s="33">
        <v>324.27719116210898</v>
      </c>
      <c r="C1320" s="33">
        <v>96.955726623535199</v>
      </c>
      <c r="D1320" s="33">
        <v>89.570526123046903</v>
      </c>
      <c r="E1320" s="33">
        <v>98.061279296875</v>
      </c>
    </row>
    <row r="1321" spans="1:5" ht="15" customHeight="1" x14ac:dyDescent="0.2">
      <c r="A1321" s="32" t="s">
        <v>1322</v>
      </c>
      <c r="B1321" s="33">
        <v>324.49655151367199</v>
      </c>
      <c r="C1321" s="33">
        <v>96.817901611328097</v>
      </c>
      <c r="D1321" s="33">
        <v>89.699386596679702</v>
      </c>
      <c r="E1321" s="33">
        <v>98.180061340332102</v>
      </c>
    </row>
    <row r="1322" spans="1:5" ht="15" customHeight="1" x14ac:dyDescent="0.2">
      <c r="A1322" s="32" t="s">
        <v>1323</v>
      </c>
      <c r="B1322" s="33">
        <v>332.74285888671898</v>
      </c>
      <c r="C1322" s="33">
        <v>100.598091125488</v>
      </c>
      <c r="D1322" s="33">
        <v>91.315155029296903</v>
      </c>
      <c r="E1322" s="33">
        <v>98.437477111816406</v>
      </c>
    </row>
    <row r="1323" spans="1:5" ht="15" customHeight="1" x14ac:dyDescent="0.2">
      <c r="A1323" s="32" t="s">
        <v>1324</v>
      </c>
      <c r="B1323" s="33">
        <v>334.48785400390602</v>
      </c>
      <c r="C1323" s="33">
        <v>100.361824035645</v>
      </c>
      <c r="D1323" s="33">
        <v>91.969383239746094</v>
      </c>
      <c r="E1323" s="33">
        <v>98.496879577636705</v>
      </c>
    </row>
    <row r="1324" spans="1:5" ht="15" customHeight="1" x14ac:dyDescent="0.2">
      <c r="A1324" s="32" t="s">
        <v>1325</v>
      </c>
      <c r="B1324" s="33">
        <v>334.08895874023398</v>
      </c>
      <c r="C1324" s="33">
        <v>100.588241577148</v>
      </c>
      <c r="D1324" s="33">
        <v>92.167640686035199</v>
      </c>
      <c r="E1324" s="33">
        <v>98.328575134277301</v>
      </c>
    </row>
    <row r="1325" spans="1:5" ht="15" customHeight="1" x14ac:dyDescent="0.2">
      <c r="A1325" s="32" t="s">
        <v>1326</v>
      </c>
      <c r="B1325" s="33">
        <v>337.69860839843801</v>
      </c>
      <c r="C1325" s="33">
        <v>101.20842742919901</v>
      </c>
      <c r="D1325" s="33">
        <v>92.514579772949205</v>
      </c>
      <c r="E1325" s="33">
        <v>98.526573181152301</v>
      </c>
    </row>
    <row r="1326" spans="1:5" ht="15" customHeight="1" x14ac:dyDescent="0.2">
      <c r="A1326" s="32" t="s">
        <v>1327</v>
      </c>
      <c r="B1326" s="33">
        <v>341.66717529296898</v>
      </c>
      <c r="C1326" s="33">
        <v>102.025497436523</v>
      </c>
      <c r="D1326" s="33">
        <v>93.396804809570298</v>
      </c>
      <c r="E1326" s="33">
        <v>98.783981323242202</v>
      </c>
    </row>
    <row r="1327" spans="1:5" ht="15" customHeight="1" x14ac:dyDescent="0.2">
      <c r="A1327" s="32" t="s">
        <v>1328</v>
      </c>
      <c r="B1327" s="33">
        <v>344.24972534179699</v>
      </c>
      <c r="C1327" s="33">
        <v>101.700637817383</v>
      </c>
      <c r="D1327" s="33">
        <v>93.466194152832102</v>
      </c>
      <c r="E1327" s="33">
        <v>98.625579833984403</v>
      </c>
    </row>
    <row r="1328" spans="1:5" ht="15" customHeight="1" x14ac:dyDescent="0.2">
      <c r="A1328" s="32" t="s">
        <v>1329</v>
      </c>
      <c r="B1328" s="33">
        <v>345.03747558593801</v>
      </c>
      <c r="C1328" s="33">
        <v>101.405311584473</v>
      </c>
      <c r="D1328" s="33">
        <v>94.328590393066406</v>
      </c>
      <c r="E1328" s="33">
        <v>98.486976623535199</v>
      </c>
    </row>
    <row r="1329" spans="1:5" ht="15" customHeight="1" x14ac:dyDescent="0.2">
      <c r="A1329" s="32" t="s">
        <v>1330</v>
      </c>
      <c r="B1329" s="33">
        <v>349.52456665039102</v>
      </c>
      <c r="C1329" s="33">
        <v>102.69490814209</v>
      </c>
      <c r="D1329" s="33">
        <v>95.835311889648395</v>
      </c>
      <c r="E1329" s="33">
        <v>98.853279113769503</v>
      </c>
    </row>
    <row r="1330" spans="1:5" ht="15" customHeight="1" x14ac:dyDescent="0.2">
      <c r="A1330" s="32" t="s">
        <v>1331</v>
      </c>
      <c r="B1330" s="33">
        <v>349.20547485351602</v>
      </c>
      <c r="C1330" s="33">
        <v>102.291297912598</v>
      </c>
      <c r="D1330" s="33">
        <v>96.1822509765625</v>
      </c>
      <c r="E1330" s="33">
        <v>98.8433837890625</v>
      </c>
    </row>
    <row r="1331" spans="1:5" ht="15" customHeight="1" x14ac:dyDescent="0.2">
      <c r="A1331" s="32" t="s">
        <v>1332</v>
      </c>
      <c r="B1331" s="33">
        <v>346.84228515625</v>
      </c>
      <c r="C1331" s="33">
        <v>100.04680633544901</v>
      </c>
      <c r="D1331" s="33">
        <v>94.477279663085895</v>
      </c>
      <c r="E1331" s="33">
        <v>98.477073669433594</v>
      </c>
    </row>
    <row r="1332" spans="1:5" ht="15" customHeight="1" x14ac:dyDescent="0.2">
      <c r="A1332" s="32" t="s">
        <v>1333</v>
      </c>
      <c r="B1332" s="33">
        <v>350.21258544921898</v>
      </c>
      <c r="C1332" s="33">
        <v>100.38151550293</v>
      </c>
      <c r="D1332" s="33">
        <v>93.694175720214801</v>
      </c>
      <c r="E1332" s="33">
        <v>98.615676879882798</v>
      </c>
    </row>
    <row r="1333" spans="1:5" ht="15" customHeight="1" x14ac:dyDescent="0.2">
      <c r="A1333" s="32" t="s">
        <v>1334</v>
      </c>
      <c r="B1333" s="33">
        <v>348.79666137695301</v>
      </c>
      <c r="C1333" s="33">
        <v>99.662887573242202</v>
      </c>
      <c r="D1333" s="33">
        <v>94.655708312988295</v>
      </c>
      <c r="E1333" s="33">
        <v>98.457267761230497</v>
      </c>
    </row>
    <row r="1334" spans="1:5" ht="15" customHeight="1" x14ac:dyDescent="0.2">
      <c r="A1334" s="32" t="s">
        <v>1335</v>
      </c>
      <c r="B1334" s="33">
        <v>351.04019165039102</v>
      </c>
      <c r="C1334" s="33">
        <v>100.184623718262</v>
      </c>
      <c r="D1334" s="33">
        <v>94.467369079589801</v>
      </c>
      <c r="E1334" s="33">
        <v>98.595870971679702</v>
      </c>
    </row>
    <row r="1335" spans="1:5" ht="15" customHeight="1" x14ac:dyDescent="0.2">
      <c r="A1335" s="32" t="s">
        <v>1336</v>
      </c>
      <c r="B1335" s="33">
        <v>351.51882934570301</v>
      </c>
      <c r="C1335" s="33">
        <v>99.800704956054702</v>
      </c>
      <c r="D1335" s="33">
        <v>93.951911926269503</v>
      </c>
      <c r="E1335" s="33">
        <v>98.447380065917997</v>
      </c>
    </row>
    <row r="1336" spans="1:5" ht="15" customHeight="1" x14ac:dyDescent="0.2">
      <c r="A1336" s="32" t="s">
        <v>1337</v>
      </c>
      <c r="B1336" s="33">
        <v>349.62429809570301</v>
      </c>
      <c r="C1336" s="33">
        <v>99.387245178222699</v>
      </c>
      <c r="D1336" s="33">
        <v>94.814308166503906</v>
      </c>
      <c r="E1336" s="33">
        <v>98.407775878906193</v>
      </c>
    </row>
    <row r="1337" spans="1:5" ht="15" customHeight="1" x14ac:dyDescent="0.2">
      <c r="A1337" s="32" t="s">
        <v>1338</v>
      </c>
      <c r="B1337" s="33">
        <v>349.20547485351602</v>
      </c>
      <c r="C1337" s="33">
        <v>98.373291015625</v>
      </c>
      <c r="D1337" s="33">
        <v>94.070861816406193</v>
      </c>
      <c r="E1337" s="33">
        <v>97.97216796875</v>
      </c>
    </row>
    <row r="1338" spans="1:5" ht="15" customHeight="1" x14ac:dyDescent="0.2">
      <c r="A1338" s="32" t="s">
        <v>1339</v>
      </c>
      <c r="B1338" s="33">
        <v>353.16409301757801</v>
      </c>
      <c r="C1338" s="33">
        <v>100.72605895996099</v>
      </c>
      <c r="D1338" s="33">
        <v>95.488372802734403</v>
      </c>
      <c r="E1338" s="33">
        <v>98.110771179199205</v>
      </c>
    </row>
    <row r="1339" spans="1:5" ht="15" customHeight="1" x14ac:dyDescent="0.2">
      <c r="A1339" s="32" t="s">
        <v>1340</v>
      </c>
      <c r="B1339" s="33">
        <v>354.27093505859398</v>
      </c>
      <c r="C1339" s="33">
        <v>100.509490966797</v>
      </c>
      <c r="D1339" s="33">
        <v>95.220726013183594</v>
      </c>
      <c r="E1339" s="33">
        <v>98.239906311035199</v>
      </c>
    </row>
    <row r="1340" spans="1:5" ht="15" customHeight="1" x14ac:dyDescent="0.2">
      <c r="A1340" s="32" t="s">
        <v>1341</v>
      </c>
      <c r="B1340" s="33">
        <v>352.96469116210898</v>
      </c>
      <c r="C1340" s="33">
        <v>99.131294250488295</v>
      </c>
      <c r="D1340" s="33">
        <v>94.625968933105497</v>
      </c>
      <c r="E1340" s="33">
        <v>97.931968688964801</v>
      </c>
    </row>
    <row r="1341" spans="1:5" ht="15" customHeight="1" x14ac:dyDescent="0.2">
      <c r="A1341" s="32" t="s">
        <v>1342</v>
      </c>
      <c r="B1341" s="33">
        <v>355.96603393554699</v>
      </c>
      <c r="C1341" s="33">
        <v>100.45042419433599</v>
      </c>
      <c r="D1341" s="33">
        <v>94.923347473144503</v>
      </c>
      <c r="E1341" s="33">
        <v>98.110771179199205</v>
      </c>
    </row>
    <row r="1342" spans="1:5" ht="15" customHeight="1" x14ac:dyDescent="0.2">
      <c r="A1342" s="32" t="s">
        <v>1343</v>
      </c>
      <c r="B1342" s="33">
        <v>360.82205200195301</v>
      </c>
      <c r="C1342" s="33">
        <v>103.17726898193401</v>
      </c>
      <c r="D1342" s="33">
        <v>96.241722106933594</v>
      </c>
      <c r="E1342" s="33">
        <v>98.527969360351605</v>
      </c>
    </row>
    <row r="1343" spans="1:5" ht="15" customHeight="1" x14ac:dyDescent="0.2">
      <c r="A1343" s="32" t="s">
        <v>1344</v>
      </c>
      <c r="B1343" s="33">
        <v>359.16683959960898</v>
      </c>
      <c r="C1343" s="33">
        <v>101.287185668945</v>
      </c>
      <c r="D1343" s="33">
        <v>95.547843933105497</v>
      </c>
      <c r="E1343" s="33">
        <v>98.289566040039105</v>
      </c>
    </row>
    <row r="1344" spans="1:5" ht="15" customHeight="1" x14ac:dyDescent="0.2">
      <c r="A1344" s="32" t="s">
        <v>1345</v>
      </c>
      <c r="B1344" s="33">
        <v>361.82916259765602</v>
      </c>
      <c r="C1344" s="33">
        <v>102.34051513671901</v>
      </c>
      <c r="D1344" s="33">
        <v>95.775833129882798</v>
      </c>
      <c r="E1344" s="33">
        <v>98.518035888671903</v>
      </c>
    </row>
    <row r="1345" spans="1:5" ht="15" customHeight="1" x14ac:dyDescent="0.2">
      <c r="A1345" s="32" t="s">
        <v>1346</v>
      </c>
      <c r="B1345" s="33">
        <v>362.58700561523398</v>
      </c>
      <c r="C1345" s="33">
        <v>102.12393951416</v>
      </c>
      <c r="D1345" s="33">
        <v>95.845222473144503</v>
      </c>
      <c r="E1345" s="33">
        <v>98.259765625</v>
      </c>
    </row>
    <row r="1346" spans="1:5" ht="15" customHeight="1" x14ac:dyDescent="0.2">
      <c r="A1346" s="32" t="s">
        <v>1347</v>
      </c>
      <c r="B1346" s="33">
        <v>361.74942016601602</v>
      </c>
      <c r="C1346" s="33">
        <v>101.53328704834</v>
      </c>
      <c r="D1346" s="33">
        <v>95.845222473144503</v>
      </c>
      <c r="E1346" s="33">
        <v>97.971702575683594</v>
      </c>
    </row>
    <row r="1347" spans="1:5" ht="15" customHeight="1" x14ac:dyDescent="0.2">
      <c r="A1347" s="32" t="s">
        <v>1348</v>
      </c>
      <c r="B1347" s="33">
        <v>363.66390991210898</v>
      </c>
      <c r="C1347" s="33">
        <v>102.212539672852</v>
      </c>
      <c r="D1347" s="33">
        <v>95.052207946777301</v>
      </c>
      <c r="E1347" s="33">
        <v>98.011436462402301</v>
      </c>
    </row>
    <row r="1348" spans="1:5" ht="15" customHeight="1" x14ac:dyDescent="0.2">
      <c r="A1348" s="32" t="s">
        <v>1349</v>
      </c>
      <c r="B1348" s="33">
        <v>366.34619140625</v>
      </c>
      <c r="C1348" s="33">
        <v>101.848304748535</v>
      </c>
      <c r="D1348" s="33">
        <v>94.487190246582102</v>
      </c>
      <c r="E1348" s="33">
        <v>97.981643676757798</v>
      </c>
    </row>
    <row r="1349" spans="1:5" ht="15" customHeight="1" x14ac:dyDescent="0.2">
      <c r="A1349" s="32" t="s">
        <v>1350</v>
      </c>
      <c r="B1349" s="33">
        <v>361.69955444335898</v>
      </c>
      <c r="C1349" s="33">
        <v>100.13540649414099</v>
      </c>
      <c r="D1349" s="33">
        <v>93.089515686035199</v>
      </c>
      <c r="E1349" s="33">
        <v>97.365768432617202</v>
      </c>
    </row>
    <row r="1350" spans="1:5" ht="15" customHeight="1" x14ac:dyDescent="0.2">
      <c r="A1350" s="32" t="s">
        <v>1351</v>
      </c>
      <c r="B1350" s="33">
        <v>361.32061767578102</v>
      </c>
      <c r="C1350" s="33">
        <v>101.06076812744099</v>
      </c>
      <c r="D1350" s="33">
        <v>94.179901123046903</v>
      </c>
      <c r="E1350" s="33">
        <v>97.355850219726605</v>
      </c>
    </row>
    <row r="1351" spans="1:5" ht="15" customHeight="1" x14ac:dyDescent="0.2">
      <c r="A1351" s="32" t="s">
        <v>1352</v>
      </c>
      <c r="B1351" s="33">
        <v>359.02725219726602</v>
      </c>
      <c r="C1351" s="33">
        <v>100.33229064941401</v>
      </c>
      <c r="D1351" s="33">
        <v>94.447540283203097</v>
      </c>
      <c r="E1351" s="33">
        <v>96.978378295898395</v>
      </c>
    </row>
    <row r="1352" spans="1:5" ht="15" customHeight="1" x14ac:dyDescent="0.2">
      <c r="A1352" s="32" t="s">
        <v>1353</v>
      </c>
      <c r="B1352" s="33">
        <v>363.14538574218801</v>
      </c>
      <c r="C1352" s="33">
        <v>102.005813598633</v>
      </c>
      <c r="D1352" s="33">
        <v>95.646965026855497</v>
      </c>
      <c r="E1352" s="33">
        <v>97.564445495605497</v>
      </c>
    </row>
    <row r="1353" spans="1:5" ht="15" customHeight="1" x14ac:dyDescent="0.2">
      <c r="A1353" s="32" t="s">
        <v>1354</v>
      </c>
      <c r="B1353" s="33">
        <v>364.04281616210898</v>
      </c>
      <c r="C1353" s="33">
        <v>102.566932678223</v>
      </c>
      <c r="D1353" s="33">
        <v>95.825393676757798</v>
      </c>
      <c r="E1353" s="33">
        <v>97.683639526367202</v>
      </c>
    </row>
    <row r="1354" spans="1:5" ht="15" customHeight="1" x14ac:dyDescent="0.2">
      <c r="A1354" s="32" t="s">
        <v>1355</v>
      </c>
      <c r="B1354" s="33">
        <v>365.73794555664102</v>
      </c>
      <c r="C1354" s="33">
        <v>102.36020660400401</v>
      </c>
      <c r="D1354" s="33">
        <v>95.924522399902301</v>
      </c>
      <c r="E1354" s="33">
        <v>97.782974243164105</v>
      </c>
    </row>
    <row r="1355" spans="1:5" ht="15" customHeight="1" x14ac:dyDescent="0.2">
      <c r="A1355" s="32" t="s">
        <v>1356</v>
      </c>
      <c r="B1355" s="33">
        <v>368.40026855468801</v>
      </c>
      <c r="C1355" s="33">
        <v>103.49228668212901</v>
      </c>
      <c r="D1355" s="33">
        <v>96.370590209960895</v>
      </c>
      <c r="E1355" s="33">
        <v>98.061111450195298</v>
      </c>
    </row>
    <row r="1356" spans="1:5" ht="15" customHeight="1" x14ac:dyDescent="0.2">
      <c r="A1356" s="32" t="s">
        <v>1357</v>
      </c>
      <c r="B1356" s="33">
        <v>368.300537109375</v>
      </c>
      <c r="C1356" s="33">
        <v>103.137893676758</v>
      </c>
      <c r="D1356" s="33">
        <v>96.073211669921903</v>
      </c>
      <c r="E1356" s="33">
        <v>98.140579223632798</v>
      </c>
    </row>
    <row r="1357" spans="1:5" ht="15" customHeight="1" x14ac:dyDescent="0.2">
      <c r="A1357" s="32" t="s">
        <v>1358</v>
      </c>
      <c r="B1357" s="33">
        <v>370.59396362304699</v>
      </c>
      <c r="C1357" s="33">
        <v>103.05914306640599</v>
      </c>
      <c r="D1357" s="33">
        <v>95.706451416015597</v>
      </c>
      <c r="E1357" s="33">
        <v>98.3392333984375</v>
      </c>
    </row>
    <row r="1358" spans="1:5" ht="15" customHeight="1" x14ac:dyDescent="0.2">
      <c r="A1358" s="32" t="s">
        <v>1359</v>
      </c>
      <c r="B1358" s="33">
        <v>371.47146606445301</v>
      </c>
      <c r="C1358" s="33">
        <v>103.167434692383</v>
      </c>
      <c r="D1358" s="33">
        <v>94.863868713378906</v>
      </c>
      <c r="E1358" s="33">
        <v>98.398834228515597</v>
      </c>
    </row>
    <row r="1359" spans="1:5" ht="15" customHeight="1" x14ac:dyDescent="0.2">
      <c r="A1359" s="32" t="s">
        <v>1360</v>
      </c>
      <c r="B1359" s="33">
        <v>372.32897949218801</v>
      </c>
      <c r="C1359" s="33">
        <v>102.813041687012</v>
      </c>
      <c r="D1359" s="33">
        <v>93.267936706542997</v>
      </c>
      <c r="E1359" s="33">
        <v>98.350006103515597</v>
      </c>
    </row>
    <row r="1360" spans="1:5" ht="15" customHeight="1" x14ac:dyDescent="0.2">
      <c r="A1360" s="32" t="s">
        <v>1361</v>
      </c>
      <c r="B1360" s="33">
        <v>373.28622436523398</v>
      </c>
      <c r="C1360" s="33">
        <v>103.383995056152</v>
      </c>
      <c r="D1360" s="33">
        <v>93.694175720214801</v>
      </c>
      <c r="E1360" s="33">
        <v>98.379898071289105</v>
      </c>
    </row>
    <row r="1361" spans="1:5" ht="15" customHeight="1" x14ac:dyDescent="0.2">
      <c r="A1361" s="32" t="s">
        <v>1362</v>
      </c>
      <c r="B1361" s="33">
        <v>370.583984375</v>
      </c>
      <c r="C1361" s="33">
        <v>102.49802398681599</v>
      </c>
      <c r="D1361" s="33">
        <v>93.585144042968807</v>
      </c>
      <c r="E1361" s="33">
        <v>98.170600891113295</v>
      </c>
    </row>
    <row r="1362" spans="1:5" ht="15" customHeight="1" x14ac:dyDescent="0.2">
      <c r="A1362" s="32" t="s">
        <v>1363</v>
      </c>
      <c r="B1362" s="33">
        <v>372.30905151367199</v>
      </c>
      <c r="C1362" s="33">
        <v>103.31508636474599</v>
      </c>
      <c r="D1362" s="33">
        <v>95.2603759765625</v>
      </c>
      <c r="E1362" s="33">
        <v>98.330070495605497</v>
      </c>
    </row>
    <row r="1363" spans="1:5" ht="15" customHeight="1" x14ac:dyDescent="0.2">
      <c r="A1363" s="32" t="s">
        <v>1364</v>
      </c>
      <c r="B1363" s="33">
        <v>362.33773803710898</v>
      </c>
      <c r="C1363" s="33">
        <v>100.666999816895</v>
      </c>
      <c r="D1363" s="33">
        <v>95.944351196289105</v>
      </c>
      <c r="E1363" s="33">
        <v>97.841705322265597</v>
      </c>
    </row>
    <row r="1364" spans="1:5" ht="15" customHeight="1" x14ac:dyDescent="0.2">
      <c r="A1364" s="32" t="s">
        <v>1365</v>
      </c>
      <c r="B1364" s="33">
        <v>363.42459106445301</v>
      </c>
      <c r="C1364" s="33">
        <v>101.27733612060599</v>
      </c>
      <c r="D1364" s="33">
        <v>94.635879516601605</v>
      </c>
      <c r="E1364" s="33">
        <v>97.841705322265597</v>
      </c>
    </row>
    <row r="1365" spans="1:5" ht="15" customHeight="1" x14ac:dyDescent="0.2">
      <c r="A1365" s="32" t="s">
        <v>1366</v>
      </c>
      <c r="B1365" s="33">
        <v>362.62689208984398</v>
      </c>
      <c r="C1365" s="33">
        <v>101.29702758789099</v>
      </c>
      <c r="D1365" s="33">
        <v>96.816658020019503</v>
      </c>
      <c r="E1365" s="33">
        <v>98.041038513183594</v>
      </c>
    </row>
    <row r="1366" spans="1:5" ht="15" customHeight="1" x14ac:dyDescent="0.2">
      <c r="A1366" s="32" t="s">
        <v>1367</v>
      </c>
      <c r="B1366" s="33">
        <v>357.01303100585898</v>
      </c>
      <c r="C1366" s="33">
        <v>99.987747192382798</v>
      </c>
      <c r="D1366" s="33">
        <v>96.826576232910199</v>
      </c>
      <c r="E1366" s="33">
        <v>97.981239318847699</v>
      </c>
    </row>
    <row r="1367" spans="1:5" ht="15" customHeight="1" x14ac:dyDescent="0.2">
      <c r="A1367" s="32" t="s">
        <v>1368</v>
      </c>
      <c r="B1367" s="33">
        <v>363.25506591796898</v>
      </c>
      <c r="C1367" s="33">
        <v>103.098526000977</v>
      </c>
      <c r="D1367" s="33">
        <v>96.757186889648395</v>
      </c>
      <c r="E1367" s="33">
        <v>98.549331665039105</v>
      </c>
    </row>
    <row r="1368" spans="1:5" ht="15" customHeight="1" x14ac:dyDescent="0.2">
      <c r="A1368" s="32" t="s">
        <v>1369</v>
      </c>
      <c r="B1368" s="33">
        <v>365.30914306640602</v>
      </c>
      <c r="C1368" s="33">
        <v>103.383995056152</v>
      </c>
      <c r="D1368" s="33">
        <v>97.649322509765597</v>
      </c>
      <c r="E1368" s="33">
        <v>98.429733276367202</v>
      </c>
    </row>
    <row r="1369" spans="1:5" ht="15" customHeight="1" x14ac:dyDescent="0.2">
      <c r="A1369" s="32" t="s">
        <v>1370</v>
      </c>
      <c r="B1369" s="33">
        <v>371.46148681640602</v>
      </c>
      <c r="C1369" s="33">
        <v>104.080001831055</v>
      </c>
      <c r="D1369" s="33">
        <v>96.965347290039105</v>
      </c>
      <c r="E1369" s="33">
        <v>98.519432067871094</v>
      </c>
    </row>
    <row r="1370" spans="1:5" ht="15" customHeight="1" x14ac:dyDescent="0.2">
      <c r="A1370" s="32" t="s">
        <v>1371</v>
      </c>
      <c r="B1370" s="33">
        <v>369.30767822265602</v>
      </c>
      <c r="C1370" s="33">
        <v>104.30999755859401</v>
      </c>
      <c r="D1370" s="33">
        <v>97.2032470703125</v>
      </c>
      <c r="E1370" s="33">
        <v>98.639030456542997</v>
      </c>
    </row>
    <row r="1371" spans="1:5" ht="15" customHeight="1" x14ac:dyDescent="0.2">
      <c r="A1371" s="32" t="s">
        <v>1372</v>
      </c>
      <c r="B1371" s="33">
        <v>364.71090698242199</v>
      </c>
      <c r="C1371" s="33">
        <v>103.779998779297</v>
      </c>
      <c r="D1371" s="33">
        <v>94.774658203125</v>
      </c>
      <c r="E1371" s="33">
        <v>98.280235290527301</v>
      </c>
    </row>
    <row r="1372" spans="1:5" ht="15" customHeight="1" x14ac:dyDescent="0.2">
      <c r="A1372" s="32" t="s">
        <v>1373</v>
      </c>
      <c r="B1372" s="33">
        <v>368.92874145507801</v>
      </c>
      <c r="C1372" s="33">
        <v>104.41000366210901</v>
      </c>
      <c r="D1372" s="33">
        <v>94.725090026855497</v>
      </c>
      <c r="E1372" s="33">
        <v>98.569267272949205</v>
      </c>
    </row>
    <row r="1373" spans="1:5" ht="15" customHeight="1" x14ac:dyDescent="0.2">
      <c r="A1373" s="32" t="s">
        <v>1374</v>
      </c>
      <c r="B1373" s="33">
        <v>367.75213623046898</v>
      </c>
      <c r="C1373" s="33">
        <v>104.580001831055</v>
      </c>
      <c r="D1373" s="33">
        <v>95.74609375</v>
      </c>
      <c r="E1373" s="33">
        <v>98.300163269042997</v>
      </c>
    </row>
    <row r="1374" spans="1:5" ht="15" customHeight="1" x14ac:dyDescent="0.2">
      <c r="A1374" s="32" t="s">
        <v>1375</v>
      </c>
      <c r="B1374" s="33">
        <v>362.65679931640602</v>
      </c>
      <c r="C1374" s="33">
        <v>102.459999084473</v>
      </c>
      <c r="D1374" s="33">
        <v>97.004997253417997</v>
      </c>
      <c r="E1374" s="33">
        <v>98.379898071289105</v>
      </c>
    </row>
    <row r="1375" spans="1:5" ht="15" customHeight="1" x14ac:dyDescent="0.2">
      <c r="A1375" s="32" t="s">
        <v>1376</v>
      </c>
      <c r="B1375" s="33">
        <v>362.60693359375</v>
      </c>
      <c r="C1375" s="33">
        <v>102.26000213623099</v>
      </c>
      <c r="D1375" s="33">
        <v>97.010002136230497</v>
      </c>
      <c r="E1375" s="33">
        <v>98.858299255371094</v>
      </c>
    </row>
    <row r="1376" spans="1:5" ht="15" customHeight="1" x14ac:dyDescent="0.2">
      <c r="A1376" s="32" t="s">
        <v>1377</v>
      </c>
      <c r="B1376" s="33">
        <v>362.93600463867199</v>
      </c>
      <c r="C1376" s="33">
        <v>103.15000152587901</v>
      </c>
      <c r="D1376" s="33">
        <v>97.190002441406193</v>
      </c>
      <c r="E1376" s="33">
        <v>98.918098449707102</v>
      </c>
    </row>
    <row r="1377" spans="1:5" ht="15" customHeight="1" x14ac:dyDescent="0.2">
      <c r="A1377" s="32" t="s">
        <v>1378</v>
      </c>
      <c r="B1377" s="33">
        <v>362.22000122070301</v>
      </c>
      <c r="C1377" s="33">
        <v>102.540000915527</v>
      </c>
      <c r="D1377" s="33">
        <v>98.669998168945298</v>
      </c>
      <c r="E1377" s="33">
        <v>99.007789611816406</v>
      </c>
    </row>
    <row r="1378" spans="1:5" ht="15" customHeight="1" x14ac:dyDescent="0.2">
      <c r="A1378" s="32" t="s">
        <v>1379</v>
      </c>
      <c r="B1378" s="33">
        <v>367.11999511718801</v>
      </c>
      <c r="C1378" s="33">
        <v>103.449996948242</v>
      </c>
      <c r="D1378" s="33">
        <v>98.150001525878906</v>
      </c>
      <c r="E1378" s="33">
        <v>99.037696838378906</v>
      </c>
    </row>
    <row r="1379" spans="1:5" ht="15" customHeight="1" x14ac:dyDescent="0.2">
      <c r="A1379" s="32" t="s">
        <v>1380</v>
      </c>
      <c r="B1379" s="33">
        <v>370.04000854492199</v>
      </c>
      <c r="C1379" s="33">
        <v>103.879997253418</v>
      </c>
      <c r="D1379" s="33">
        <v>96.430000305175795</v>
      </c>
      <c r="E1379" s="33">
        <v>98.649002075195298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03"/>
  <sheetViews>
    <sheetView zoomScaleNormal="100" workbookViewId="0">
      <pane ySplit="3" topLeftCell="A69" activePane="bottomLeft" state="frozen"/>
      <selection pane="bottomLeft" activeCell="K29" sqref="K29"/>
    </sheetView>
  </sheetViews>
  <sheetFormatPr baseColWidth="10" defaultColWidth="8.6640625" defaultRowHeight="15" x14ac:dyDescent="0.2"/>
  <cols>
    <col min="1" max="5" width="14" customWidth="1"/>
  </cols>
  <sheetData>
    <row r="1" spans="1:5" ht="15" customHeight="1" x14ac:dyDescent="0.2">
      <c r="A1" s="3"/>
    </row>
    <row r="3" spans="1:5" ht="1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ht="15" customHeight="1" x14ac:dyDescent="0.2">
      <c r="A4" s="4" t="s">
        <v>6</v>
      </c>
      <c r="B4" s="7">
        <f>'Price Data'!B5/'Price Data'!B4-1</f>
        <v>1.6038286215488196E-2</v>
      </c>
      <c r="C4" s="7">
        <f>'Price Data'!C5/'Price Data'!C4-1</f>
        <v>1.0675583177199854E-3</v>
      </c>
      <c r="D4" s="7">
        <f>'Price Data'!D5/'Price Data'!D4-1</f>
        <v>-1.9411562855790043E-3</v>
      </c>
      <c r="E4" s="7">
        <f>'Price Data'!E5/'Price Data'!E4-1</f>
        <v>-1.0226157174468842E-3</v>
      </c>
    </row>
    <row r="5" spans="1:5" ht="15" customHeight="1" x14ac:dyDescent="0.2">
      <c r="A5" s="4" t="s">
        <v>7</v>
      </c>
      <c r="B5" s="7">
        <f>'Price Data'!B6/'Price Data'!B5-1</f>
        <v>4.8413172702586049E-3</v>
      </c>
      <c r="C5" s="7">
        <f>'Price Data'!C6/'Price Data'!C5-1</f>
        <v>9.3296202593351474E-3</v>
      </c>
      <c r="D5" s="7">
        <f>'Price Data'!D6/'Price Data'!D5-1</f>
        <v>9.7239754385776145E-3</v>
      </c>
      <c r="E5" s="7">
        <f>'Price Data'!E6/'Price Data'!E5-1</f>
        <v>-1.1944783217974209E-3</v>
      </c>
    </row>
    <row r="6" spans="1:5" ht="15" customHeight="1" x14ac:dyDescent="0.2">
      <c r="A6" s="4" t="s">
        <v>8</v>
      </c>
      <c r="B6" s="7">
        <f>'Price Data'!B7/'Price Data'!B6-1</f>
        <v>-5.9723919477685516E-3</v>
      </c>
      <c r="C6" s="7">
        <f>'Price Data'!C7/'Price Data'!C6-1</f>
        <v>-1.3073056065713629E-2</v>
      </c>
      <c r="D6" s="7">
        <f>'Price Data'!D7/'Price Data'!D6-1</f>
        <v>-1.3241788783068476E-2</v>
      </c>
      <c r="E6" s="7">
        <f>'Price Data'!E7/'Price Data'!E6-1</f>
        <v>-1.6228401391044089E-3</v>
      </c>
    </row>
    <row r="7" spans="1:5" ht="15" customHeight="1" x14ac:dyDescent="0.2">
      <c r="A7" s="4" t="s">
        <v>9</v>
      </c>
      <c r="B7" s="7">
        <f>'Price Data'!B8/'Price Data'!B7-1</f>
        <v>3.53424070128594E-3</v>
      </c>
      <c r="C7" s="7">
        <f>'Price Data'!C8/'Price Data'!C7-1</f>
        <v>4.549250694195095E-3</v>
      </c>
      <c r="D7" s="7">
        <f>'Price Data'!D8/'Price Data'!D7-1</f>
        <v>2.3179165488349529E-3</v>
      </c>
      <c r="E7" s="7">
        <f>'Price Data'!E8/'Price Data'!E7-1</f>
        <v>8.5571799180250707E-4</v>
      </c>
    </row>
    <row r="8" spans="1:5" ht="15" customHeight="1" x14ac:dyDescent="0.2">
      <c r="A8" s="4" t="s">
        <v>10</v>
      </c>
      <c r="B8" s="7">
        <f>'Price Data'!B9/'Price Data'!B8-1</f>
        <v>1.1070247090771979E-3</v>
      </c>
      <c r="C8" s="7">
        <f>'Price Data'!C9/'Price Data'!C8-1</f>
        <v>-1.3317604613287681E-3</v>
      </c>
      <c r="D8" s="7">
        <f>'Price Data'!D9/'Price Data'!D8-1</f>
        <v>1.2171414611602094E-2</v>
      </c>
      <c r="E8" s="7">
        <f>'Price Data'!E9/'Price Data'!E8-1</f>
        <v>3.1626007357976604E-3</v>
      </c>
    </row>
    <row r="9" spans="1:5" ht="15" customHeight="1" x14ac:dyDescent="0.2">
      <c r="A9" s="4" t="s">
        <v>11</v>
      </c>
      <c r="B9" s="7">
        <f>'Price Data'!B10/'Price Data'!B9-1</f>
        <v>-9.5497194687121922E-4</v>
      </c>
      <c r="C9" s="7">
        <f>'Price Data'!C10/'Price Data'!C9-1</f>
        <v>8.0021843676574278E-3</v>
      </c>
      <c r="D9" s="7">
        <f>'Price Data'!D10/'Price Data'!D9-1</f>
        <v>5.8920719730410909E-3</v>
      </c>
      <c r="E9" s="7">
        <f>'Price Data'!E10/'Price Data'!E9-1</f>
        <v>-1.9599614038363633E-3</v>
      </c>
    </row>
    <row r="10" spans="1:5" ht="15" customHeight="1" x14ac:dyDescent="0.2">
      <c r="A10" s="4" t="s">
        <v>12</v>
      </c>
      <c r="B10" s="7">
        <f>'Price Data'!B11/'Price Data'!B10-1</f>
        <v>-8.7024792018822739E-3</v>
      </c>
      <c r="C10" s="7">
        <f>'Price Data'!C11/'Price Data'!C10-1</f>
        <v>-1.5612725544545292E-2</v>
      </c>
      <c r="D10" s="7">
        <f>'Price Data'!D11/'Price Data'!D10-1</f>
        <v>1.1476403773515775E-2</v>
      </c>
      <c r="E10" s="7">
        <f>'Price Data'!E11/'Price Data'!E10-1</f>
        <v>1.024680503153963E-3</v>
      </c>
    </row>
    <row r="11" spans="1:5" ht="15" customHeight="1" x14ac:dyDescent="0.2">
      <c r="A11" s="4" t="s">
        <v>13</v>
      </c>
      <c r="B11" s="7">
        <f>'Price Data'!B12/'Price Data'!B11-1</f>
        <v>9.1342117086539165E-3</v>
      </c>
      <c r="C11" s="7">
        <f>'Price Data'!C12/'Price Data'!C11-1</f>
        <v>7.2581473846640154E-3</v>
      </c>
      <c r="D11" s="7">
        <f>'Price Data'!D12/'Price Data'!D11-1</f>
        <v>-2.8362708363015576E-3</v>
      </c>
      <c r="E11" s="7">
        <f>'Price Data'!E12/'Price Data'!E11-1</f>
        <v>1.3647908145872911E-3</v>
      </c>
    </row>
    <row r="12" spans="1:5" ht="15" customHeight="1" x14ac:dyDescent="0.2">
      <c r="A12" s="4" t="s">
        <v>14</v>
      </c>
      <c r="B12" s="7">
        <f>'Price Data'!B13/'Price Data'!B12-1</f>
        <v>1.2621917091776291E-2</v>
      </c>
      <c r="C12" s="7">
        <f>'Price Data'!C13/'Price Data'!C12-1</f>
        <v>6.8052094268342689E-3</v>
      </c>
      <c r="D12" s="7">
        <f>'Price Data'!D13/'Price Data'!D12-1</f>
        <v>1.9082442844867264E-2</v>
      </c>
      <c r="E12" s="7">
        <f>'Price Data'!E13/'Price Data'!E12-1</f>
        <v>8.5192779804010854E-5</v>
      </c>
    </row>
    <row r="13" spans="1:5" ht="15" customHeight="1" x14ac:dyDescent="0.2">
      <c r="A13" s="4" t="s">
        <v>15</v>
      </c>
      <c r="B13" s="7">
        <f>'Price Data'!B14/'Price Data'!B13-1</f>
        <v>-7.4519238437720237E-4</v>
      </c>
      <c r="C13" s="7">
        <f>'Price Data'!C14/'Price Data'!C13-1</f>
        <v>7.9537780985972084E-4</v>
      </c>
      <c r="D13" s="7">
        <f>'Price Data'!D14/'Price Data'!D13-1</f>
        <v>-4.7686445931668375E-3</v>
      </c>
      <c r="E13" s="7">
        <f>'Price Data'!E14/'Price Data'!E13-1</f>
        <v>-1.448000119936621E-3</v>
      </c>
    </row>
    <row r="14" spans="1:5" ht="15" customHeight="1" x14ac:dyDescent="0.2">
      <c r="A14" s="4" t="s">
        <v>16</v>
      </c>
      <c r="B14" s="7">
        <f>'Price Data'!B15/'Price Data'!B14-1</f>
        <v>-1.6394997970285985E-3</v>
      </c>
      <c r="C14" s="7">
        <f>'Price Data'!C15/'Price Data'!C14-1</f>
        <v>-4.7676348960612458E-3</v>
      </c>
      <c r="D14" s="7">
        <f>'Price Data'!D15/'Price Data'!D14-1</f>
        <v>2.3374073506119419E-3</v>
      </c>
      <c r="E14" s="7">
        <f>'Price Data'!E15/'Price Data'!E14-1</f>
        <v>0</v>
      </c>
    </row>
    <row r="15" spans="1:5" ht="15" customHeight="1" x14ac:dyDescent="0.2">
      <c r="A15" s="4" t="s">
        <v>17</v>
      </c>
      <c r="B15" s="7">
        <f>'Price Data'!B16/'Price Data'!B15-1</f>
        <v>2.8371026213520611E-3</v>
      </c>
      <c r="C15" s="7">
        <f>'Price Data'!C16/'Price Data'!C15-1</f>
        <v>-1.1974679524786591E-3</v>
      </c>
      <c r="D15" s="7">
        <f>'Price Data'!D16/'Price Data'!D15-1</f>
        <v>7.5783403108211633E-3</v>
      </c>
      <c r="E15" s="7">
        <f>'Price Data'!E16/'Price Data'!E15-1</f>
        <v>2.558886535190652E-3</v>
      </c>
    </row>
    <row r="16" spans="1:5" ht="15" customHeight="1" x14ac:dyDescent="0.2">
      <c r="A16" s="4" t="s">
        <v>18</v>
      </c>
      <c r="B16" s="7">
        <f>'Price Data'!B17/'Price Data'!B16-1</f>
        <v>-3.6234840555100511E-3</v>
      </c>
      <c r="C16" s="7">
        <f>'Price Data'!C17/'Price Data'!C16-1</f>
        <v>1.4653869275789155E-3</v>
      </c>
      <c r="D16" s="7">
        <f>'Price Data'!D17/'Price Data'!D16-1</f>
        <v>7.0583492152616056E-3</v>
      </c>
      <c r="E16" s="7">
        <f>'Price Data'!E17/'Price Data'!E16-1</f>
        <v>-3.4028844725741969E-4</v>
      </c>
    </row>
    <row r="17" spans="1:5" ht="15" customHeight="1" x14ac:dyDescent="0.2">
      <c r="A17" s="4" t="s">
        <v>19</v>
      </c>
      <c r="B17" s="7">
        <f>'Price Data'!B18/'Price Data'!B17-1</f>
        <v>-2.4012288677574989E-2</v>
      </c>
      <c r="C17" s="7">
        <f>'Price Data'!C18/'Price Data'!C17-1</f>
        <v>-2.2881382621049107E-2</v>
      </c>
      <c r="D17" s="7">
        <f>'Price Data'!D18/'Price Data'!D17-1</f>
        <v>-1.7694654109439822E-2</v>
      </c>
      <c r="E17" s="7">
        <f>'Price Data'!E18/'Price Data'!E17-1</f>
        <v>8.4966629855909304E-5</v>
      </c>
    </row>
    <row r="18" spans="1:5" ht="15" customHeight="1" x14ac:dyDescent="0.2">
      <c r="A18" s="4" t="s">
        <v>20</v>
      </c>
      <c r="B18" s="7">
        <f>'Price Data'!B19/'Price Data'!B18-1</f>
        <v>7.8606412092505629E-3</v>
      </c>
      <c r="C18" s="7">
        <f>'Price Data'!C19/'Price Data'!C18-1</f>
        <v>6.3987951903017315E-3</v>
      </c>
      <c r="D18" s="7">
        <f>'Price Data'!D19/'Price Data'!D18-1</f>
        <v>5.3804636723659982E-3</v>
      </c>
      <c r="E18" s="7">
        <f>'Price Data'!E19/'Price Data'!E18-1</f>
        <v>-6.8075072470885623E-4</v>
      </c>
    </row>
    <row r="19" spans="1:5" ht="15" customHeight="1" x14ac:dyDescent="0.2">
      <c r="A19" s="4" t="s">
        <v>21</v>
      </c>
      <c r="B19" s="7">
        <f>'Price Data'!B20/'Price Data'!B19-1</f>
        <v>-1.7523577527417622E-2</v>
      </c>
      <c r="C19" s="7">
        <f>'Price Data'!C20/'Price Data'!C19-1</f>
        <v>-2.0698136293924807E-2</v>
      </c>
      <c r="D19" s="7">
        <f>'Price Data'!D20/'Price Data'!D19-1</f>
        <v>-1.1518440652764861E-2</v>
      </c>
      <c r="E19" s="7">
        <f>'Price Data'!E20/'Price Data'!E19-1</f>
        <v>-1.1066852413293971E-3</v>
      </c>
    </row>
    <row r="20" spans="1:5" ht="15" customHeight="1" x14ac:dyDescent="0.2">
      <c r="A20" s="4" t="s">
        <v>22</v>
      </c>
      <c r="B20" s="7">
        <f>'Price Data'!B21/'Price Data'!B20-1</f>
        <v>1.7062758119769983E-2</v>
      </c>
      <c r="C20" s="7">
        <f>'Price Data'!C21/'Price Data'!C20-1</f>
        <v>1.1880300713253522E-2</v>
      </c>
      <c r="D20" s="7">
        <f>'Price Data'!D21/'Price Data'!D20-1</f>
        <v>2.283426381985465E-2</v>
      </c>
      <c r="E20" s="7">
        <f>'Price Data'!E21/'Price Data'!E20-1</f>
        <v>9.5623438500624935E-4</v>
      </c>
    </row>
    <row r="21" spans="1:5" ht="15" customHeight="1" x14ac:dyDescent="0.2">
      <c r="A21" s="4" t="s">
        <v>23</v>
      </c>
      <c r="B21" s="7">
        <f>'Price Data'!B22/'Price Data'!B21-1</f>
        <v>1.4343949903919517E-2</v>
      </c>
      <c r="C21" s="7">
        <f>'Price Data'!C22/'Price Data'!C21-1</f>
        <v>1.0102345852157191E-2</v>
      </c>
      <c r="D21" s="7">
        <f>'Price Data'!D22/'Price Data'!D21-1</f>
        <v>5.9841400134859057E-3</v>
      </c>
      <c r="E21" s="7">
        <f>'Price Data'!E22/'Price Data'!E21-1</f>
        <v>-1.5360015892805778E-3</v>
      </c>
    </row>
    <row r="22" spans="1:5" ht="15" customHeight="1" x14ac:dyDescent="0.2">
      <c r="A22" s="4" t="s">
        <v>24</v>
      </c>
      <c r="B22" s="7">
        <f>'Price Data'!B23/'Price Data'!B22-1</f>
        <v>1.4987959014469698E-3</v>
      </c>
      <c r="C22" s="7">
        <f>'Price Data'!C23/'Price Data'!C22-1</f>
        <v>2.432605378844821E-3</v>
      </c>
      <c r="D22" s="7">
        <f>'Price Data'!D23/'Price Data'!D22-1</f>
        <v>-2.5164687925942619E-3</v>
      </c>
      <c r="E22" s="7">
        <f>'Price Data'!E23/'Price Data'!E22-1</f>
        <v>-1.196103631206813E-3</v>
      </c>
    </row>
    <row r="23" spans="1:5" ht="15" customHeight="1" x14ac:dyDescent="0.2">
      <c r="A23" s="4" t="s">
        <v>25</v>
      </c>
      <c r="B23" s="7">
        <f>'Price Data'!B24/'Price Data'!B23-1</f>
        <v>1.2672951092960405E-2</v>
      </c>
      <c r="C23" s="7">
        <f>'Price Data'!C24/'Price Data'!C23-1</f>
        <v>1.0786021062836326E-3</v>
      </c>
      <c r="D23" s="7">
        <f>'Price Data'!D24/'Price Data'!D23-1</f>
        <v>6.8803915178856645E-3</v>
      </c>
      <c r="E23" s="7">
        <f>'Price Data'!E24/'Price Data'!E23-1</f>
        <v>-4.2747117075081498E-4</v>
      </c>
    </row>
    <row r="24" spans="1:5" ht="15" customHeight="1" x14ac:dyDescent="0.2">
      <c r="A24" s="4" t="s">
        <v>26</v>
      </c>
      <c r="B24" s="7">
        <f>'Price Data'!B25/'Price Data'!B24-1</f>
        <v>5.6165445574656303E-3</v>
      </c>
      <c r="C24" s="7">
        <f>'Price Data'!C25/'Price Data'!C24-1</f>
        <v>6.1954322738682066E-3</v>
      </c>
      <c r="D24" s="7">
        <f>'Price Data'!D25/'Price Data'!D24-1</f>
        <v>3.5309363360447321E-3</v>
      </c>
      <c r="E24" s="7">
        <f>'Price Data'!E25/'Price Data'!E24-1</f>
        <v>-1.2834246870102595E-3</v>
      </c>
    </row>
    <row r="25" spans="1:5" ht="15" customHeight="1" x14ac:dyDescent="0.2">
      <c r="A25" s="4" t="s">
        <v>27</v>
      </c>
      <c r="B25" s="7">
        <f>'Price Data'!B26/'Price Data'!B25-1</f>
        <v>8.9656716869621622E-3</v>
      </c>
      <c r="C25" s="7">
        <f>'Price Data'!C26/'Price Data'!C25-1</f>
        <v>6.9604805139880099E-3</v>
      </c>
      <c r="D25" s="7">
        <f>'Price Data'!D26/'Price Data'!D25-1</f>
        <v>5.4478482009441276E-3</v>
      </c>
      <c r="E25" s="7">
        <f>'Price Data'!E26/'Price Data'!E25-1</f>
        <v>1.0284607476349628E-3</v>
      </c>
    </row>
    <row r="26" spans="1:5" ht="15" customHeight="1" x14ac:dyDescent="0.2">
      <c r="A26" s="4" t="s">
        <v>28</v>
      </c>
      <c r="B26" s="7">
        <f>'Price Data'!B27/'Price Data'!B26-1</f>
        <v>3.8832320520065799E-4</v>
      </c>
      <c r="C26" s="7">
        <f>'Price Data'!C27/'Price Data'!C26-1</f>
        <v>5.449629971604919E-3</v>
      </c>
      <c r="D26" s="7">
        <f>'Price Data'!D27/'Price Data'!D26-1</f>
        <v>3.4991310584595592E-3</v>
      </c>
      <c r="E26" s="7">
        <f>'Price Data'!E27/'Price Data'!E26-1</f>
        <v>4.2753217735080895E-4</v>
      </c>
    </row>
    <row r="27" spans="1:5" ht="15" customHeight="1" x14ac:dyDescent="0.2">
      <c r="A27" s="4" t="s">
        <v>29</v>
      </c>
      <c r="B27" s="7">
        <f>'Price Data'!B28/'Price Data'!B27-1</f>
        <v>-4.3686392784259009E-4</v>
      </c>
      <c r="C27" s="7">
        <f>'Price Data'!C28/'Price Data'!C27-1</f>
        <v>-3.4373011202046833E-3</v>
      </c>
      <c r="D27" s="7">
        <f>'Price Data'!D28/'Price Data'!D27-1</f>
        <v>5.3994366254168646E-3</v>
      </c>
      <c r="E27" s="7">
        <f>'Price Data'!E28/'Price Data'!E27-1</f>
        <v>9.4160310337976227E-4</v>
      </c>
    </row>
    <row r="28" spans="1:5" ht="15" customHeight="1" x14ac:dyDescent="0.2">
      <c r="A28" s="4" t="s">
        <v>30</v>
      </c>
      <c r="B28" s="7">
        <f>'Price Data'!B29/'Price Data'!B28-1</f>
        <v>2.3797253257402673E-3</v>
      </c>
      <c r="C28" s="7">
        <f>'Price Data'!C29/'Price Data'!C28-1</f>
        <v>6.7659079902566699E-3</v>
      </c>
      <c r="D28" s="7">
        <f>'Price Data'!D29/'Price Data'!D28-1</f>
        <v>2.1258556419625485E-3</v>
      </c>
      <c r="E28" s="7">
        <f>'Price Data'!E29/'Price Data'!E28-1</f>
        <v>-1.1967163102860612E-3</v>
      </c>
    </row>
    <row r="29" spans="1:5" ht="15" customHeight="1" x14ac:dyDescent="0.2">
      <c r="A29" s="4" t="s">
        <v>31</v>
      </c>
      <c r="B29" s="7">
        <f>'Price Data'!B30/'Price Data'!B29-1</f>
        <v>5.1834504318448715E-3</v>
      </c>
      <c r="C29" s="7">
        <f>'Price Data'!C30/'Price Data'!C29-1</f>
        <v>5.5341697075381724E-3</v>
      </c>
      <c r="D29" s="7">
        <f>'Price Data'!D30/'Price Data'!D29-1</f>
        <v>2.2314547704849197E-4</v>
      </c>
      <c r="E29" s="7">
        <f>'Price Data'!E30/'Price Data'!E29-1</f>
        <v>-2.3108393638059388E-3</v>
      </c>
    </row>
    <row r="30" spans="1:5" ht="15" customHeight="1" x14ac:dyDescent="0.2">
      <c r="A30" s="4" t="s">
        <v>32</v>
      </c>
      <c r="B30" s="7">
        <f>'Price Data'!B31/'Price Data'!B30-1</f>
        <v>-1.7833424667713649E-3</v>
      </c>
      <c r="C30" s="7">
        <f>'Price Data'!C31/'Price Data'!C30-1</f>
        <v>7.207509238791987E-3</v>
      </c>
      <c r="D30" s="7">
        <f>'Price Data'!D31/'Price Data'!D30-1</f>
        <v>-7.7018195367009046E-3</v>
      </c>
      <c r="E30" s="7">
        <f>'Price Data'!E31/'Price Data'!E30-1</f>
        <v>-4.7178876950078052E-3</v>
      </c>
    </row>
    <row r="31" spans="1:5" ht="15" customHeight="1" x14ac:dyDescent="0.2">
      <c r="A31" s="4" t="s">
        <v>33</v>
      </c>
      <c r="B31" s="7">
        <f>'Price Data'!B32/'Price Data'!B31-1</f>
        <v>-2.0760917654055744E-3</v>
      </c>
      <c r="C31" s="7">
        <f>'Price Data'!C32/'Price Data'!C31-1</f>
        <v>-5.8548969288908514E-3</v>
      </c>
      <c r="D31" s="7">
        <f>'Price Data'!D32/'Price Data'!D31-1</f>
        <v>-1.2371821325324328E-3</v>
      </c>
      <c r="E31" s="7">
        <f>'Price Data'!E32/'Price Data'!E31-1</f>
        <v>1.9820568587851639E-3</v>
      </c>
    </row>
    <row r="32" spans="1:5" ht="15" customHeight="1" x14ac:dyDescent="0.2">
      <c r="A32" s="4" t="s">
        <v>34</v>
      </c>
      <c r="B32" s="7">
        <f>'Price Data'!B33/'Price Data'!B32-1</f>
        <v>-5.7573309280624096E-3</v>
      </c>
      <c r="C32" s="7">
        <f>'Price Data'!C33/'Price Data'!C32-1</f>
        <v>-4.9731951463712898E-3</v>
      </c>
      <c r="D32" s="7">
        <f>'Price Data'!D33/'Price Data'!D32-1</f>
        <v>-4.2797522528498222E-3</v>
      </c>
      <c r="E32" s="7">
        <f>'Price Data'!E33/'Price Data'!E32-1</f>
        <v>-5.1567822268105967E-4</v>
      </c>
    </row>
    <row r="33" spans="1:5" ht="15" customHeight="1" x14ac:dyDescent="0.2">
      <c r="A33" s="4" t="s">
        <v>35</v>
      </c>
      <c r="B33" s="7">
        <f>'Price Data'!B34/'Price Data'!B33-1</f>
        <v>2.2871554347896339E-3</v>
      </c>
      <c r="C33" s="7">
        <f>'Price Data'!C34/'Price Data'!C33-1</f>
        <v>2.8936212571017972E-3</v>
      </c>
      <c r="D33" s="7">
        <f>'Price Data'!D34/'Price Data'!D33-1</f>
        <v>5.768577208589587E-3</v>
      </c>
      <c r="E33" s="7">
        <f>'Price Data'!E34/'Price Data'!E33-1</f>
        <v>-3.0985355078176902E-3</v>
      </c>
    </row>
    <row r="34" spans="1:5" ht="15" customHeight="1" x14ac:dyDescent="0.2">
      <c r="A34" s="4" t="s">
        <v>36</v>
      </c>
      <c r="B34" s="7">
        <f>'Price Data'!B35/'Price Data'!B34-1</f>
        <v>-9.5159318483666322E-3</v>
      </c>
      <c r="C34" s="7">
        <f>'Price Data'!C35/'Price Data'!C34-1</f>
        <v>-2.491934071609414E-3</v>
      </c>
      <c r="D34" s="7">
        <f>'Price Data'!D35/'Price Data'!D34-1</f>
        <v>8.322003213021345E-3</v>
      </c>
      <c r="E34" s="7">
        <f>'Price Data'!E35/'Price Data'!E34-1</f>
        <v>-3.1074660411688493E-3</v>
      </c>
    </row>
    <row r="35" spans="1:5" ht="15" customHeight="1" x14ac:dyDescent="0.2">
      <c r="A35" s="4" t="s">
        <v>37</v>
      </c>
      <c r="B35" s="7">
        <f>'Price Data'!B36/'Price Data'!B35-1</f>
        <v>-1.4710984462340537E-4</v>
      </c>
      <c r="C35" s="7">
        <f>'Price Data'!C36/'Price Data'!C35-1</f>
        <v>9.2039954362155285E-4</v>
      </c>
      <c r="D35" s="7">
        <f>'Price Data'!D36/'Price Data'!D35-1</f>
        <v>6.2457719080446505E-3</v>
      </c>
      <c r="E35" s="7">
        <f>'Price Data'!E36/'Price Data'!E35-1</f>
        <v>2.5997082957163187E-4</v>
      </c>
    </row>
    <row r="36" spans="1:5" ht="15" customHeight="1" x14ac:dyDescent="0.2">
      <c r="A36" s="4" t="s">
        <v>38</v>
      </c>
      <c r="B36" s="7">
        <f>'Price Data'!B37/'Price Data'!B36-1</f>
        <v>1.1226568684524096E-2</v>
      </c>
      <c r="C36" s="7">
        <f>'Price Data'!C37/'Price Data'!C36-1</f>
        <v>3.1526178845662223E-3</v>
      </c>
      <c r="D36" s="7">
        <f>'Price Data'!D37/'Price Data'!D36-1</f>
        <v>7.6481422692333823E-3</v>
      </c>
      <c r="E36" s="7">
        <f>'Price Data'!E37/'Price Data'!E36-1</f>
        <v>-3.4674575133086805E-4</v>
      </c>
    </row>
    <row r="37" spans="1:5" ht="15" customHeight="1" x14ac:dyDescent="0.2">
      <c r="A37" s="4" t="s">
        <v>39</v>
      </c>
      <c r="B37" s="7">
        <f>'Price Data'!B38/'Price Data'!B37-1</f>
        <v>-2.6130714262045829E-2</v>
      </c>
      <c r="C37" s="7">
        <f>'Price Data'!C38/'Price Data'!C37-1</f>
        <v>-1.7022459969623704E-2</v>
      </c>
      <c r="D37" s="7">
        <f>'Price Data'!D38/'Price Data'!D37-1</f>
        <v>-1.9140071157630278E-2</v>
      </c>
      <c r="E37" s="7">
        <f>'Price Data'!E38/'Price Data'!E37-1</f>
        <v>-9.1796954119790497E-3</v>
      </c>
    </row>
    <row r="38" spans="1:5" ht="15" customHeight="1" x14ac:dyDescent="0.2">
      <c r="A38" s="4" t="s">
        <v>40</v>
      </c>
      <c r="B38" s="7">
        <f>'Price Data'!B39/'Price Data'!B38-1</f>
        <v>-3.9824414078762915E-3</v>
      </c>
      <c r="C38" s="7">
        <f>'Price Data'!C39/'Price Data'!C38-1</f>
        <v>-1.4120048540662844E-2</v>
      </c>
      <c r="D38" s="7">
        <f>'Price Data'!D39/'Price Data'!D38-1</f>
        <v>-1.4578767336955956E-2</v>
      </c>
      <c r="E38" s="7">
        <f>'Price Data'!E39/'Price Data'!E38-1</f>
        <v>8.1284808071437897E-3</v>
      </c>
    </row>
    <row r="39" spans="1:5" ht="15" customHeight="1" x14ac:dyDescent="0.2">
      <c r="A39" s="4" t="s">
        <v>41</v>
      </c>
      <c r="B39" s="7">
        <f>'Price Data'!B40/'Price Data'!B39-1</f>
        <v>2.5689659657804675E-2</v>
      </c>
      <c r="C39" s="7">
        <f>'Price Data'!C40/'Price Data'!C39-1</f>
        <v>1.8781177222059853E-2</v>
      </c>
      <c r="D39" s="7">
        <f>'Price Data'!D40/'Price Data'!D39-1</f>
        <v>4.4382930281736677E-3</v>
      </c>
      <c r="E39" s="7">
        <f>'Price Data'!E40/'Price Data'!E39-1</f>
        <v>-5.2111988969028022E-4</v>
      </c>
    </row>
    <row r="40" spans="1:5" ht="15" customHeight="1" x14ac:dyDescent="0.2">
      <c r="A40" s="4" t="s">
        <v>42</v>
      </c>
      <c r="B40" s="7">
        <f>'Price Data'!B41/'Price Data'!B40-1</f>
        <v>-9.4047072578125057E-3</v>
      </c>
      <c r="C40" s="7">
        <f>'Price Data'!C41/'Price Data'!C40-1</f>
        <v>-1.0610067473648677E-3</v>
      </c>
      <c r="D40" s="7">
        <f>'Price Data'!D41/'Price Data'!D40-1</f>
        <v>-9.6304953233965485E-3</v>
      </c>
      <c r="E40" s="7">
        <f>'Price Data'!E41/'Price Data'!E40-1</f>
        <v>1.7410992457844721E-4</v>
      </c>
    </row>
    <row r="41" spans="1:5" ht="15" customHeight="1" x14ac:dyDescent="0.2">
      <c r="A41" s="4" t="s">
        <v>43</v>
      </c>
      <c r="B41" s="7">
        <f>'Price Data'!B42/'Price Data'!B41-1</f>
        <v>-1.4412810667019382E-2</v>
      </c>
      <c r="C41" s="7">
        <f>'Price Data'!C42/'Price Data'!C41-1</f>
        <v>-6.1074188901616422E-3</v>
      </c>
      <c r="D41" s="7">
        <f>'Price Data'!D42/'Price Data'!D41-1</f>
        <v>-5.7202420706583545E-3</v>
      </c>
      <c r="E41" s="7">
        <f>'Price Data'!E42/'Price Data'!E41-1</f>
        <v>-3.648714996181246E-3</v>
      </c>
    </row>
    <row r="42" spans="1:5" ht="15" customHeight="1" x14ac:dyDescent="0.2">
      <c r="A42" s="4" t="s">
        <v>44</v>
      </c>
      <c r="B42" s="7">
        <f>'Price Data'!B43/'Price Data'!B42-1</f>
        <v>-1.5821484771960659E-2</v>
      </c>
      <c r="C42" s="7">
        <f>'Price Data'!C43/'Price Data'!C42-1</f>
        <v>-9.4840741539325979E-3</v>
      </c>
      <c r="D42" s="7">
        <f>'Price Data'!D43/'Price Data'!D42-1</f>
        <v>-1.1391315386934497E-2</v>
      </c>
      <c r="E42" s="7">
        <f>'Price Data'!E43/'Price Data'!E42-1</f>
        <v>-2.877458190086557E-3</v>
      </c>
    </row>
    <row r="43" spans="1:5" ht="15" customHeight="1" x14ac:dyDescent="0.2">
      <c r="A43" s="4" t="s">
        <v>45</v>
      </c>
      <c r="B43" s="7">
        <f>'Price Data'!B44/'Price Data'!B43-1</f>
        <v>1.8053480563668067E-2</v>
      </c>
      <c r="C43" s="7">
        <f>'Price Data'!C44/'Price Data'!C43-1</f>
        <v>6.4732343157967165E-3</v>
      </c>
      <c r="D43" s="7">
        <f>'Price Data'!D44/'Price Data'!D43-1</f>
        <v>1.0940791899851199E-2</v>
      </c>
      <c r="E43" s="7">
        <f>'Price Data'!E44/'Price Data'!E43-1</f>
        <v>-6.9946895435746281E-4</v>
      </c>
    </row>
    <row r="44" spans="1:5" ht="15" customHeight="1" x14ac:dyDescent="0.2">
      <c r="A44" s="4" t="s">
        <v>46</v>
      </c>
      <c r="B44" s="7">
        <f>'Price Data'!B45/'Price Data'!B44-1</f>
        <v>-4.8815217830141533E-3</v>
      </c>
      <c r="C44" s="7">
        <f>'Price Data'!C45/'Price Data'!C44-1</f>
        <v>-3.4838799363311468E-3</v>
      </c>
      <c r="D44" s="7">
        <f>'Price Data'!D45/'Price Data'!D44-1</f>
        <v>8.6342082775079376E-3</v>
      </c>
      <c r="E44" s="7">
        <f>'Price Data'!E45/'Price Data'!E44-1</f>
        <v>-3.9374046513145355E-3</v>
      </c>
    </row>
    <row r="45" spans="1:5" ht="15" customHeight="1" x14ac:dyDescent="0.2">
      <c r="A45" s="4" t="s">
        <v>47</v>
      </c>
      <c r="B45" s="7">
        <f>'Price Data'!B46/'Price Data'!B45-1</f>
        <v>1.5517697011727449E-2</v>
      </c>
      <c r="C45" s="7">
        <f>'Price Data'!C46/'Price Data'!C45-1</f>
        <v>1.3446266758229797E-2</v>
      </c>
      <c r="D45" s="7">
        <f>'Price Data'!D46/'Price Data'!D45-1</f>
        <v>6.6204846312782895E-3</v>
      </c>
      <c r="E45" s="7">
        <f>'Price Data'!E46/'Price Data'!E45-1</f>
        <v>3.777011059585611E-3</v>
      </c>
    </row>
    <row r="46" spans="1:5" ht="15" customHeight="1" x14ac:dyDescent="0.2">
      <c r="A46" s="4" t="s">
        <v>48</v>
      </c>
      <c r="B46" s="7">
        <f>'Price Data'!B47/'Price Data'!B46-1</f>
        <v>7.1475594693517497E-3</v>
      </c>
      <c r="C46" s="7">
        <f>'Price Data'!C47/'Price Data'!C46-1</f>
        <v>4.2457763842660423E-3</v>
      </c>
      <c r="D46" s="7">
        <f>'Price Data'!D47/'Price Data'!D46-1</f>
        <v>9.9784131693470002E-3</v>
      </c>
      <c r="E46" s="7">
        <f>'Price Data'!E47/'Price Data'!E46-1</f>
        <v>1.663263909528423E-3</v>
      </c>
    </row>
    <row r="47" spans="1:5" ht="15" customHeight="1" x14ac:dyDescent="0.2">
      <c r="A47" s="4" t="s">
        <v>49</v>
      </c>
      <c r="B47" s="7">
        <f>'Price Data'!B48/'Price Data'!B47-1</f>
        <v>1.3067672181872103E-2</v>
      </c>
      <c r="C47" s="7">
        <f>'Price Data'!C48/'Price Data'!C47-1</f>
        <v>5.2845283169618007E-3</v>
      </c>
      <c r="D47" s="7">
        <f>'Price Data'!D48/'Price Data'!D47-1</f>
        <v>1.1676485575741635E-2</v>
      </c>
      <c r="E47" s="7">
        <f>'Price Data'!E48/'Price Data'!E47-1</f>
        <v>-8.7502428330110682E-5</v>
      </c>
    </row>
    <row r="48" spans="1:5" ht="15" customHeight="1" x14ac:dyDescent="0.2">
      <c r="A48" s="4" t="s">
        <v>50</v>
      </c>
      <c r="B48" s="7">
        <f>'Price Data'!B49/'Price Data'!B48-1</f>
        <v>1.9807873731287895E-3</v>
      </c>
      <c r="C48" s="7">
        <f>'Price Data'!C49/'Price Data'!C48-1</f>
        <v>2.4971743346300368E-3</v>
      </c>
      <c r="D48" s="7">
        <f>'Price Data'!D49/'Price Data'!D48-1</f>
        <v>1.6757330169118179E-2</v>
      </c>
      <c r="E48" s="7">
        <f>'Price Data'!E49/'Price Data'!E48-1</f>
        <v>-5.6799785258266899E-3</v>
      </c>
    </row>
    <row r="49" spans="1:5" ht="15" customHeight="1" x14ac:dyDescent="0.2">
      <c r="A49" s="4" t="s">
        <v>51</v>
      </c>
      <c r="B49" s="7">
        <f>'Price Data'!B50/'Price Data'!B49-1</f>
        <v>6.9914430074695666E-3</v>
      </c>
      <c r="C49" s="7">
        <f>'Price Data'!C50/'Price Data'!C49-1</f>
        <v>7.866045563960089E-4</v>
      </c>
      <c r="D49" s="7">
        <f>'Price Data'!D50/'Price Data'!D49-1</f>
        <v>1.4843574696552064E-2</v>
      </c>
      <c r="E49" s="7">
        <f>'Price Data'!E50/'Price Data'!E49-1</f>
        <v>1.0549336473542059E-3</v>
      </c>
    </row>
    <row r="50" spans="1:5" ht="15" customHeight="1" x14ac:dyDescent="0.2">
      <c r="A50" s="4" t="s">
        <v>52</v>
      </c>
      <c r="B50" s="7">
        <f>'Price Data'!B51/'Price Data'!B50-1</f>
        <v>-4.0221983579934451E-3</v>
      </c>
      <c r="C50" s="7">
        <f>'Price Data'!C51/'Price Data'!C50-1</f>
        <v>1.7028912508276761E-3</v>
      </c>
      <c r="D50" s="7">
        <f>'Price Data'!D51/'Price Data'!D50-1</f>
        <v>-4.0867917682330113E-3</v>
      </c>
      <c r="E50" s="7">
        <f>'Price Data'!E51/'Price Data'!E50-1</f>
        <v>-3.5111599592851928E-4</v>
      </c>
    </row>
    <row r="51" spans="1:5" ht="15" customHeight="1" x14ac:dyDescent="0.2">
      <c r="A51" s="4" t="s">
        <v>53</v>
      </c>
      <c r="B51" s="7">
        <f>'Price Data'!B52/'Price Data'!B51-1</f>
        <v>3.798184657148207E-3</v>
      </c>
      <c r="C51" s="7">
        <f>'Price Data'!C52/'Price Data'!C51-1</f>
        <v>5.8846391479550064E-3</v>
      </c>
      <c r="D51" s="7">
        <f>'Price Data'!D52/'Price Data'!D51-1</f>
        <v>8.6398235380213961E-4</v>
      </c>
      <c r="E51" s="7">
        <f>'Price Data'!E52/'Price Data'!E51-1</f>
        <v>-8.7711056705797041E-5</v>
      </c>
    </row>
    <row r="52" spans="1:5" ht="15" customHeight="1" x14ac:dyDescent="0.2">
      <c r="A52" s="4" t="s">
        <v>54</v>
      </c>
      <c r="B52" s="7">
        <f>'Price Data'!B53/'Price Data'!B52-1</f>
        <v>-1.8199285553237798E-2</v>
      </c>
      <c r="C52" s="7">
        <f>'Price Data'!C53/'Price Data'!C52-1</f>
        <v>-9.1001478794624502E-3</v>
      </c>
      <c r="D52" s="7">
        <f>'Price Data'!D53/'Price Data'!D52-1</f>
        <v>-1.0142372382575093E-2</v>
      </c>
      <c r="E52" s="7">
        <f>'Price Data'!E53/'Price Data'!E52-1</f>
        <v>-3.8647617104335952E-3</v>
      </c>
    </row>
    <row r="53" spans="1:5" ht="15" customHeight="1" x14ac:dyDescent="0.2">
      <c r="A53" s="4" t="s">
        <v>55</v>
      </c>
      <c r="B53" s="7">
        <f>'Price Data'!B54/'Price Data'!B53-1</f>
        <v>1.2681787962540714E-3</v>
      </c>
      <c r="C53" s="7">
        <f>'Price Data'!C54/'Price Data'!C53-1</f>
        <v>2.7551638388336741E-3</v>
      </c>
      <c r="D53" s="7">
        <f>'Price Data'!D54/'Price Data'!D53-1</f>
        <v>-1.3625686526820391E-2</v>
      </c>
      <c r="E53" s="7">
        <f>'Price Data'!E54/'Price Data'!E53-1</f>
        <v>7.9380102170767408E-4</v>
      </c>
    </row>
    <row r="54" spans="1:5" ht="15" customHeight="1" x14ac:dyDescent="0.2">
      <c r="A54" s="4" t="s">
        <v>56</v>
      </c>
      <c r="B54" s="7">
        <f>'Price Data'!B55/'Price Data'!B54-1</f>
        <v>5.4078306652773911E-3</v>
      </c>
      <c r="C54" s="7">
        <f>'Price Data'!C55/'Price Data'!C54-1</f>
        <v>9.1558821508930244E-4</v>
      </c>
      <c r="D54" s="7">
        <f>'Price Data'!D55/'Price Data'!D54-1</f>
        <v>7.0726128974052394E-3</v>
      </c>
      <c r="E54" s="7">
        <f>'Price Data'!E55/'Price Data'!E54-1</f>
        <v>1.9378241134881957E-3</v>
      </c>
    </row>
    <row r="55" spans="1:5" ht="15" customHeight="1" x14ac:dyDescent="0.2">
      <c r="A55" s="4" t="s">
        <v>57</v>
      </c>
      <c r="B55" s="7">
        <f>'Price Data'!B56/'Price Data'!B55-1</f>
        <v>-1.1387326749080939E-2</v>
      </c>
      <c r="C55" s="7">
        <f>'Price Data'!C56/'Price Data'!C55-1</f>
        <v>-1.3855987711810291E-2</v>
      </c>
      <c r="D55" s="7">
        <f>'Price Data'!D56/'Price Data'!D55-1</f>
        <v>-1.4261304802497543E-3</v>
      </c>
      <c r="E55" s="7">
        <f>'Price Data'!E56/'Price Data'!E55-1</f>
        <v>2.5499963369177703E-3</v>
      </c>
    </row>
    <row r="56" spans="1:5" ht="15" customHeight="1" x14ac:dyDescent="0.2">
      <c r="A56" s="4" t="s">
        <v>58</v>
      </c>
      <c r="B56" s="7">
        <f>'Price Data'!B57/'Price Data'!B56-1</f>
        <v>-8.2836868667673924E-3</v>
      </c>
      <c r="C56" s="7">
        <f>'Price Data'!C57/'Price Data'!C56-1</f>
        <v>-5.0371392418711025E-3</v>
      </c>
      <c r="D56" s="7">
        <f>'Price Data'!D57/'Price Data'!D56-1</f>
        <v>-5.6048050478645361E-3</v>
      </c>
      <c r="E56" s="7">
        <f>'Price Data'!E57/'Price Data'!E56-1</f>
        <v>1.2279968121475804E-3</v>
      </c>
    </row>
    <row r="57" spans="1:5" ht="15" customHeight="1" x14ac:dyDescent="0.2">
      <c r="A57" s="4" t="s">
        <v>59</v>
      </c>
      <c r="B57" s="7">
        <f>'Price Data'!B58/'Price Data'!B57-1</f>
        <v>7.3988206272421753E-3</v>
      </c>
      <c r="C57" s="7">
        <f>'Price Data'!C58/'Price Data'!C57-1</f>
        <v>7.4606285810387973E-3</v>
      </c>
      <c r="D57" s="7">
        <f>'Price Data'!D58/'Price Data'!D57-1</f>
        <v>1.0181863196505603E-2</v>
      </c>
      <c r="E57" s="7">
        <f>'Price Data'!E58/'Price Data'!E57-1</f>
        <v>-5.2571768345577308E-4</v>
      </c>
    </row>
    <row r="58" spans="1:5" ht="15" customHeight="1" x14ac:dyDescent="0.2">
      <c r="A58" s="4" t="s">
        <v>60</v>
      </c>
      <c r="B58" s="7">
        <f>'Price Data'!B59/'Price Data'!B58-1</f>
        <v>1.6342482510573575E-2</v>
      </c>
      <c r="C58" s="7">
        <f>'Price Data'!C59/'Price Data'!C58-1</f>
        <v>1.2959489459348772E-2</v>
      </c>
      <c r="D58" s="7">
        <f>'Price Data'!D59/'Price Data'!D58-1</f>
        <v>2.156689667326317E-2</v>
      </c>
      <c r="E58" s="7">
        <f>'Price Data'!E59/'Price Data'!E58-1</f>
        <v>-1.6650437340129942E-3</v>
      </c>
    </row>
    <row r="59" spans="1:5" ht="15" customHeight="1" x14ac:dyDescent="0.2">
      <c r="A59" s="4" t="s">
        <v>61</v>
      </c>
      <c r="B59" s="7">
        <f>'Price Data'!B60/'Price Data'!B59-1</f>
        <v>-4.6979998117123722E-3</v>
      </c>
      <c r="C59" s="7">
        <f>'Price Data'!C60/'Price Data'!C59-1</f>
        <v>-3.9163560515791396E-3</v>
      </c>
      <c r="D59" s="7">
        <f>'Price Data'!D60/'Price Data'!D59-1</f>
        <v>-5.8162422501505384E-3</v>
      </c>
      <c r="E59" s="7">
        <f>'Price Data'!E60/'Price Data'!E59-1</f>
        <v>-1.6681366933679609E-3</v>
      </c>
    </row>
    <row r="60" spans="1:5" ht="15" customHeight="1" x14ac:dyDescent="0.2">
      <c r="A60" s="4" t="s">
        <v>62</v>
      </c>
      <c r="B60" s="7">
        <f>'Price Data'!B61/'Price Data'!B60-1</f>
        <v>-2.9191524200011809E-4</v>
      </c>
      <c r="C60" s="7">
        <f>'Price Data'!C61/'Price Data'!C60-1</f>
        <v>-1.3108220294503203E-3</v>
      </c>
      <c r="D60" s="7">
        <f>'Price Data'!D61/'Price Data'!D60-1</f>
        <v>1.3001942523309662E-3</v>
      </c>
      <c r="E60" s="7">
        <f>'Price Data'!E61/'Price Data'!E60-1</f>
        <v>7.9139038159281583E-4</v>
      </c>
    </row>
    <row r="61" spans="1:5" ht="15" customHeight="1" x14ac:dyDescent="0.2">
      <c r="A61" s="4" t="s">
        <v>63</v>
      </c>
      <c r="B61" s="7">
        <f>'Price Data'!B62/'Price Data'!B61-1</f>
        <v>6.084382225595597E-3</v>
      </c>
      <c r="C61" s="7">
        <f>'Price Data'!C62/'Price Data'!C61-1</f>
        <v>-4.33068943767978E-3</v>
      </c>
      <c r="D61" s="7">
        <f>'Price Data'!D62/'Price Data'!D61-1</f>
        <v>-6.059291385318244E-3</v>
      </c>
      <c r="E61" s="7">
        <f>'Price Data'!E62/'Price Data'!E61-1</f>
        <v>1.7598899728854533E-4</v>
      </c>
    </row>
    <row r="62" spans="1:5" ht="15" customHeight="1" x14ac:dyDescent="0.2">
      <c r="A62" s="4" t="s">
        <v>64</v>
      </c>
      <c r="B62" s="7">
        <f>'Price Data'!B63/'Price Data'!B62-1</f>
        <v>1.2531001247356288E-2</v>
      </c>
      <c r="C62" s="7">
        <f>'Price Data'!C63/'Price Data'!C62-1</f>
        <v>1.3048816291191701E-2</v>
      </c>
      <c r="D62" s="7">
        <f>'Price Data'!D63/'Price Data'!D62-1</f>
        <v>1.8179518065328359E-2</v>
      </c>
      <c r="E62" s="7">
        <f>'Price Data'!E63/'Price Data'!E62-1</f>
        <v>3.3606719098882021E-3</v>
      </c>
    </row>
    <row r="63" spans="1:5" ht="15" customHeight="1" x14ac:dyDescent="0.2">
      <c r="A63" s="4" t="s">
        <v>65</v>
      </c>
      <c r="B63" s="7">
        <f>'Price Data'!B64/'Price Data'!B63-1</f>
        <v>1.1658762812924106E-2</v>
      </c>
      <c r="C63" s="7">
        <f>'Price Data'!C64/'Price Data'!C63-1</f>
        <v>1.4571931405752636E-2</v>
      </c>
      <c r="D63" s="7">
        <f>'Price Data'!D64/'Price Data'!D63-1</f>
        <v>3.848988934790798E-3</v>
      </c>
      <c r="E63" s="7">
        <f>'Price Data'!E64/'Price Data'!E63-1</f>
        <v>-2.0166609694164395E-3</v>
      </c>
    </row>
    <row r="64" spans="1:5" ht="15" customHeight="1" x14ac:dyDescent="0.2">
      <c r="A64" s="4" t="s">
        <v>66</v>
      </c>
      <c r="B64" s="7">
        <f>'Price Data'!B65/'Price Data'!B64-1</f>
        <v>3.7825095764199013E-4</v>
      </c>
      <c r="C64" s="7">
        <f>'Price Data'!C65/'Price Data'!C64-1</f>
        <v>-1.0643640563202883E-2</v>
      </c>
      <c r="D64" s="7">
        <f>'Price Data'!D65/'Price Data'!D64-1</f>
        <v>2.5563523660392384E-3</v>
      </c>
      <c r="E64" s="7">
        <f>'Price Data'!E65/'Price Data'!E64-1</f>
        <v>3.5144609569206509E-3</v>
      </c>
    </row>
    <row r="65" spans="1:5" ht="15" customHeight="1" x14ac:dyDescent="0.2">
      <c r="A65" s="4" t="s">
        <v>67</v>
      </c>
      <c r="B65" s="7">
        <f>'Price Data'!B66/'Price Data'!B65-1</f>
        <v>-8.5000648782806998E-4</v>
      </c>
      <c r="C65" s="7">
        <f>'Price Data'!C66/'Price Data'!C65-1</f>
        <v>2.0738793406811507E-3</v>
      </c>
      <c r="D65" s="7">
        <f>'Price Data'!D66/'Price Data'!D65-1</f>
        <v>7.4330591885751751E-4</v>
      </c>
      <c r="E65" s="7">
        <f>'Price Data'!E66/'Price Data'!E65-1</f>
        <v>-1.5759687499733444E-3</v>
      </c>
    </row>
    <row r="66" spans="1:5" ht="15" customHeight="1" x14ac:dyDescent="0.2">
      <c r="A66" s="4" t="s">
        <v>68</v>
      </c>
      <c r="B66" s="7">
        <f>'Price Data'!B67/'Price Data'!B66-1</f>
        <v>5.8122846411285956E-3</v>
      </c>
      <c r="C66" s="7">
        <f>'Price Data'!C67/'Price Data'!C66-1</f>
        <v>5.6913064336958641E-3</v>
      </c>
      <c r="D66" s="7">
        <f>'Price Data'!D67/'Price Data'!D66-1</f>
        <v>-3.7152518675845903E-3</v>
      </c>
      <c r="E66" s="7">
        <f>'Price Data'!E67/'Price Data'!E66-1</f>
        <v>2.4556129077299982E-3</v>
      </c>
    </row>
    <row r="67" spans="1:5" ht="15" customHeight="1" x14ac:dyDescent="0.2">
      <c r="A67" s="4" t="s">
        <v>69</v>
      </c>
      <c r="B67" s="7">
        <f>'Price Data'!B68/'Price Data'!B67-1</f>
        <v>6.0605322022708741E-3</v>
      </c>
      <c r="C67" s="7">
        <f>'Price Data'!C68/'Price Data'!C67-1</f>
        <v>3.0869293366571071E-3</v>
      </c>
      <c r="D67" s="7">
        <f>'Price Data'!D68/'Price Data'!D67-1</f>
        <v>-1.1721607941882484E-3</v>
      </c>
      <c r="E67" s="7">
        <f>'Price Data'!E68/'Price Data'!E67-1</f>
        <v>-1.1372823149693456E-3</v>
      </c>
    </row>
    <row r="68" spans="1:5" ht="15" customHeight="1" x14ac:dyDescent="0.2">
      <c r="A68" s="4" t="s">
        <v>70</v>
      </c>
      <c r="B68" s="7">
        <f>'Price Data'!B69/'Price Data'!B68-1</f>
        <v>2.8029054537404008E-4</v>
      </c>
      <c r="C68" s="7">
        <f>'Price Data'!C69/'Price Data'!C68-1</f>
        <v>-5.5136505218471576E-3</v>
      </c>
      <c r="D68" s="7">
        <f>'Price Data'!D69/'Price Data'!D68-1</f>
        <v>5.8673838344018847E-3</v>
      </c>
      <c r="E68" s="7">
        <f>'Price Data'!E69/'Price Data'!E68-1</f>
        <v>-2.627304261511032E-4</v>
      </c>
    </row>
    <row r="69" spans="1:5" ht="15" customHeight="1" x14ac:dyDescent="0.2">
      <c r="A69" s="4" t="s">
        <v>71</v>
      </c>
      <c r="B69" s="7">
        <f>'Price Data'!B70/'Price Data'!B69-1</f>
        <v>2.801047024111103E-3</v>
      </c>
      <c r="C69" s="7">
        <f>'Price Data'!C70/'Price Data'!C69-1</f>
        <v>5.801821351945291E-3</v>
      </c>
      <c r="D69" s="7">
        <f>'Price Data'!D70/'Price Data'!D69-1</f>
        <v>4.9845571951629974E-3</v>
      </c>
      <c r="E69" s="7">
        <f>'Price Data'!E70/'Price Data'!E69-1</f>
        <v>2.8907154812032321E-3</v>
      </c>
    </row>
    <row r="70" spans="1:5" ht="15" customHeight="1" x14ac:dyDescent="0.2">
      <c r="A70" s="4" t="s">
        <v>72</v>
      </c>
      <c r="B70" s="7">
        <f>'Price Data'!B71/'Price Data'!B70-1</f>
        <v>-2.2345173156737008E-3</v>
      </c>
      <c r="C70" s="7">
        <f>'Price Data'!C71/'Price Data'!C70-1</f>
        <v>7.6904429042956579E-4</v>
      </c>
      <c r="D70" s="7">
        <f>'Price Data'!D71/'Price Data'!D70-1</f>
        <v>-5.2764448930575636E-3</v>
      </c>
      <c r="E70" s="7">
        <f>'Price Data'!E71/'Price Data'!E70-1</f>
        <v>-7.8612594825366866E-4</v>
      </c>
    </row>
    <row r="71" spans="1:5" ht="15" customHeight="1" x14ac:dyDescent="0.2">
      <c r="A71" s="4" t="s">
        <v>73</v>
      </c>
      <c r="B71" s="7">
        <f>'Price Data'!B72/'Price Data'!B71-1</f>
        <v>1.0638340247640876E-2</v>
      </c>
      <c r="C71" s="7">
        <f>'Price Data'!C72/'Price Data'!C71-1</f>
        <v>8.3260125216026992E-3</v>
      </c>
      <c r="D71" s="7">
        <f>'Price Data'!D72/'Price Data'!D71-1</f>
        <v>1.7505242840136326E-2</v>
      </c>
      <c r="E71" s="7">
        <f>'Price Data'!E72/'Price Data'!E71-1</f>
        <v>3.9339577650892021E-3</v>
      </c>
    </row>
    <row r="72" spans="1:5" ht="15" customHeight="1" x14ac:dyDescent="0.2">
      <c r="A72" s="4" t="s">
        <v>74</v>
      </c>
      <c r="B72" s="7">
        <f>'Price Data'!B73/'Price Data'!B72-1</f>
        <v>2.5389107764255403E-3</v>
      </c>
      <c r="C72" s="7">
        <f>'Price Data'!C73/'Price Data'!C72-1</f>
        <v>7.2408884566912413E-3</v>
      </c>
      <c r="D72" s="7">
        <f>'Price Data'!D73/'Price Data'!D72-1</f>
        <v>2.1893084853117362E-3</v>
      </c>
      <c r="E72" s="7">
        <f>'Price Data'!E73/'Price Data'!E72-1</f>
        <v>-2.6125180562130979E-3</v>
      </c>
    </row>
    <row r="73" spans="1:5" ht="15" customHeight="1" x14ac:dyDescent="0.2">
      <c r="A73" s="4" t="s">
        <v>75</v>
      </c>
      <c r="B73" s="7">
        <f>'Price Data'!B74/'Price Data'!B73-1</f>
        <v>-6.5388468240950015E-3</v>
      </c>
      <c r="C73" s="7">
        <f>'Price Data'!C74/'Price Data'!C73-1</f>
        <v>-1.7656967760308895E-3</v>
      </c>
      <c r="D73" s="7">
        <f>'Price Data'!D74/'Price Data'!D73-1</f>
        <v>1.9766326448971139E-3</v>
      </c>
      <c r="E73" s="7">
        <f>'Price Data'!E74/'Price Data'!E73-1</f>
        <v>-7.8532203929504441E-4</v>
      </c>
    </row>
    <row r="74" spans="1:5" ht="15" customHeight="1" x14ac:dyDescent="0.2">
      <c r="A74" s="4" t="s">
        <v>76</v>
      </c>
      <c r="B74" s="7">
        <f>'Price Data'!B75/'Price Data'!B74-1</f>
        <v>-9.178369008514986E-3</v>
      </c>
      <c r="C74" s="7">
        <f>'Price Data'!C75/'Price Data'!C74-1</f>
        <v>-1.7940626895419975E-2</v>
      </c>
      <c r="D74" s="7">
        <f>'Price Data'!D75/'Price Data'!D74-1</f>
        <v>8.2026412040587804E-3</v>
      </c>
      <c r="E74" s="7">
        <f>'Price Data'!E75/'Price Data'!E74-1</f>
        <v>1.572114008605352E-3</v>
      </c>
    </row>
    <row r="75" spans="1:5" ht="15" customHeight="1" x14ac:dyDescent="0.2">
      <c r="A75" s="4" t="s">
        <v>77</v>
      </c>
      <c r="B75" s="7">
        <f>'Price Data'!B76/'Price Data'!B75-1</f>
        <v>1.1929704582687606E-2</v>
      </c>
      <c r="C75" s="7">
        <f>'Price Data'!C76/'Price Data'!C75-1</f>
        <v>1.0292024699928293E-2</v>
      </c>
      <c r="D75" s="7">
        <f>'Price Data'!D76/'Price Data'!D75-1</f>
        <v>6.5910038982146535E-3</v>
      </c>
      <c r="E75" s="7">
        <f>'Price Data'!E76/'Price Data'!E75-1</f>
        <v>9.6026898817891393E-4</v>
      </c>
    </row>
    <row r="76" spans="1:5" ht="15" customHeight="1" x14ac:dyDescent="0.2">
      <c r="A76" s="4" t="s">
        <v>78</v>
      </c>
      <c r="B76" s="7">
        <f>'Price Data'!B77/'Price Data'!B76-1</f>
        <v>-7.8130265584327452E-3</v>
      </c>
      <c r="C76" s="7">
        <f>'Price Data'!C77/'Price Data'!C76-1</f>
        <v>-3.3109193129846615E-3</v>
      </c>
      <c r="D76" s="7">
        <f>'Price Data'!D77/'Price Data'!D76-1</f>
        <v>-5.4223375613767777E-3</v>
      </c>
      <c r="E76" s="7">
        <f>'Price Data'!E77/'Price Data'!E76-1</f>
        <v>2.6089999379053097E-4</v>
      </c>
    </row>
    <row r="77" spans="1:5" ht="15" customHeight="1" x14ac:dyDescent="0.2">
      <c r="A77" s="4" t="s">
        <v>79</v>
      </c>
      <c r="B77" s="7">
        <f>'Price Data'!B78/'Price Data'!B77-1</f>
        <v>1.2115064000516984E-2</v>
      </c>
      <c r="C77" s="7">
        <f>'Price Data'!C78/'Price Data'!C77-1</f>
        <v>1.0221134642985685E-2</v>
      </c>
      <c r="D77" s="7">
        <f>'Price Data'!D78/'Price Data'!D77-1</f>
        <v>5.8632155211124637E-3</v>
      </c>
      <c r="E77" s="7">
        <f>'Price Data'!E78/'Price Data'!E77-1</f>
        <v>-1.7394014908878042E-4</v>
      </c>
    </row>
    <row r="78" spans="1:5" ht="15" customHeight="1" x14ac:dyDescent="0.2">
      <c r="A78" s="4" t="s">
        <v>80</v>
      </c>
      <c r="B78" s="7">
        <f>'Price Data'!B79/'Price Data'!B78-1</f>
        <v>3.636869625576189E-3</v>
      </c>
      <c r="C78" s="7">
        <f>'Price Data'!C79/'Price Data'!C78-1</f>
        <v>7.5884904079059901E-4</v>
      </c>
      <c r="D78" s="7">
        <f>'Price Data'!D79/'Price Data'!D78-1</f>
        <v>2.96613405703261E-3</v>
      </c>
      <c r="E78" s="7">
        <f>'Price Data'!E79/'Price Data'!E78-1</f>
        <v>-8.7133964340146974E-4</v>
      </c>
    </row>
    <row r="79" spans="1:5" ht="15" customHeight="1" x14ac:dyDescent="0.2">
      <c r="A79" s="4" t="s">
        <v>81</v>
      </c>
      <c r="B79" s="7">
        <f>'Price Data'!B80/'Price Data'!B79-1</f>
        <v>-4.586283007368408E-4</v>
      </c>
      <c r="C79" s="7">
        <f>'Price Data'!C80/'Price Data'!C79-1</f>
        <v>-3.2855854334588042E-3</v>
      </c>
      <c r="D79" s="7">
        <f>'Price Data'!D80/'Price Data'!D79-1</f>
        <v>-1.0187978166864564E-4</v>
      </c>
      <c r="E79" s="7">
        <f>'Price Data'!E80/'Price Data'!E79-1</f>
        <v>-2.4423332114533736E-3</v>
      </c>
    </row>
    <row r="80" spans="1:5" ht="15" customHeight="1" x14ac:dyDescent="0.2">
      <c r="A80" s="4" t="s">
        <v>82</v>
      </c>
      <c r="B80" s="7">
        <f>'Price Data'!B81/'Price Data'!B80-1</f>
        <v>-1.3772696412817087E-4</v>
      </c>
      <c r="C80" s="7">
        <f>'Price Data'!C81/'Price Data'!C80-1</f>
        <v>2.5356428791900587E-3</v>
      </c>
      <c r="D80" s="7">
        <f>'Price Data'!D81/'Price Data'!D80-1</f>
        <v>-2.1414976125598839E-3</v>
      </c>
      <c r="E80" s="7">
        <f>'Price Data'!E81/'Price Data'!E80-1</f>
        <v>5.2419518599888804E-4</v>
      </c>
    </row>
    <row r="81" spans="1:5" ht="15" customHeight="1" x14ac:dyDescent="0.2">
      <c r="A81" s="4" t="s">
        <v>83</v>
      </c>
      <c r="B81" s="7">
        <f>'Price Data'!B82/'Price Data'!B81-1</f>
        <v>3.809639638393314E-3</v>
      </c>
      <c r="C81" s="7">
        <f>'Price Data'!C82/'Price Data'!C81-1</f>
        <v>3.7931002898861088E-4</v>
      </c>
      <c r="D81" s="7">
        <f>'Price Data'!D82/'Price Data'!D81-1</f>
        <v>8.5845641903854464E-3</v>
      </c>
      <c r="E81" s="7">
        <f>'Price Data'!E82/'Price Data'!E81-1</f>
        <v>-5.2392054936911681E-4</v>
      </c>
    </row>
    <row r="82" spans="1:5" ht="15" customHeight="1" x14ac:dyDescent="0.2">
      <c r="A82" s="4" t="s">
        <v>84</v>
      </c>
      <c r="B82" s="7">
        <f>'Price Data'!B83/'Price Data'!B82-1</f>
        <v>-7.3159164007650102E-3</v>
      </c>
      <c r="C82" s="7">
        <f>'Price Data'!C83/'Price Data'!C82-1</f>
        <v>-1.2515574941520113E-2</v>
      </c>
      <c r="D82" s="7">
        <f>'Price Data'!D83/'Price Data'!D82-1</f>
        <v>3.9517461069886739E-3</v>
      </c>
      <c r="E82" s="7">
        <f>'Price Data'!E83/'Price Data'!E82-1</f>
        <v>1.0488616999027034E-3</v>
      </c>
    </row>
    <row r="83" spans="1:5" ht="15" customHeight="1" x14ac:dyDescent="0.2">
      <c r="A83" s="4" t="s">
        <v>85</v>
      </c>
      <c r="B83" s="7">
        <f>'Price Data'!B84/'Price Data'!B83-1</f>
        <v>1.7503902779738567E-3</v>
      </c>
      <c r="C83" s="7">
        <f>'Price Data'!C84/'Price Data'!C83-1</f>
        <v>1.1010012821855319E-2</v>
      </c>
      <c r="D83" s="7">
        <f>'Price Data'!D84/'Price Data'!D83-1</f>
        <v>-1.9176750241465257E-3</v>
      </c>
      <c r="E83" s="7">
        <f>'Price Data'!E84/'Price Data'!E83-1</f>
        <v>6.3892182765523664E-4</v>
      </c>
    </row>
    <row r="84" spans="1:5" ht="15" customHeight="1" x14ac:dyDescent="0.2">
      <c r="A84" s="4" t="s">
        <v>86</v>
      </c>
      <c r="B84" s="7">
        <f>'Price Data'!B85/'Price Data'!B84-1</f>
        <v>-7.4950998542718805E-3</v>
      </c>
      <c r="C84" s="7">
        <f>'Price Data'!C85/'Price Data'!C84-1</f>
        <v>-1.4815720866825699E-2</v>
      </c>
      <c r="D84" s="7">
        <f>'Price Data'!D85/'Price Data'!D84-1</f>
        <v>-6.4717943850532977E-3</v>
      </c>
      <c r="E84" s="7">
        <f>'Price Data'!E85/'Price Data'!E84-1</f>
        <v>1.223779034363881E-3</v>
      </c>
    </row>
    <row r="85" spans="1:5" ht="15" customHeight="1" x14ac:dyDescent="0.2">
      <c r="A85" s="4" t="s">
        <v>87</v>
      </c>
      <c r="B85" s="7">
        <f>'Price Data'!B86/'Price Data'!B85-1</f>
        <v>-1.8520255188492207E-4</v>
      </c>
      <c r="C85" s="7">
        <f>'Price Data'!C86/'Price Data'!C85-1</f>
        <v>1.3624865647435147E-2</v>
      </c>
      <c r="D85" s="7">
        <f>'Price Data'!D86/'Price Data'!D85-1</f>
        <v>-1.6590478965114897E-2</v>
      </c>
      <c r="E85" s="7">
        <f>'Price Data'!E86/'Price Data'!E85-1</f>
        <v>7.8592694184731471E-4</v>
      </c>
    </row>
    <row r="86" spans="1:5" ht="15" customHeight="1" x14ac:dyDescent="0.2">
      <c r="A86" s="4" t="s">
        <v>88</v>
      </c>
      <c r="B86" s="7">
        <f>'Price Data'!B87/'Price Data'!B86-1</f>
        <v>5.0969423975013584E-3</v>
      </c>
      <c r="C86" s="7">
        <f>'Price Data'!C87/'Price Data'!C86-1</f>
        <v>8.2423716448645212E-3</v>
      </c>
      <c r="D86" s="7">
        <f>'Price Data'!D87/'Price Data'!D86-1</f>
        <v>5.5890822750803704E-3</v>
      </c>
      <c r="E86" s="7">
        <f>'Price Data'!E87/'Price Data'!E86-1</f>
        <v>1.7445240415647767E-4</v>
      </c>
    </row>
    <row r="87" spans="1:5" ht="15" customHeight="1" x14ac:dyDescent="0.2">
      <c r="A87" s="4" t="s">
        <v>89</v>
      </c>
      <c r="B87" s="7">
        <f>'Price Data'!B88/'Price Data'!B87-1</f>
        <v>8.4828319116696527E-3</v>
      </c>
      <c r="C87" s="7">
        <f>'Price Data'!C88/'Price Data'!C87-1</f>
        <v>1.1319059739480775E-2</v>
      </c>
      <c r="D87" s="7">
        <f>'Price Data'!D88/'Price Data'!D87-1</f>
        <v>1.3174057279385032E-2</v>
      </c>
      <c r="E87" s="7">
        <f>'Price Data'!E88/'Price Data'!E87-1</f>
        <v>-2.6198509423724925E-4</v>
      </c>
    </row>
    <row r="88" spans="1:5" ht="15" customHeight="1" x14ac:dyDescent="0.2">
      <c r="A88" s="4" t="s">
        <v>90</v>
      </c>
      <c r="B88" s="7">
        <f>'Price Data'!B89/'Price Data'!B88-1</f>
        <v>-1.1748586860612753E-2</v>
      </c>
      <c r="C88" s="7">
        <f>'Price Data'!C89/'Price Data'!C88-1</f>
        <v>-5.3474894281309027E-3</v>
      </c>
      <c r="D88" s="7">
        <f>'Price Data'!D89/'Price Data'!D88-1</f>
        <v>-3.0467972353054318E-4</v>
      </c>
      <c r="E88" s="7">
        <f>'Price Data'!E89/'Price Data'!E88-1</f>
        <v>-1.5701308820718074E-3</v>
      </c>
    </row>
    <row r="89" spans="1:5" ht="15" customHeight="1" x14ac:dyDescent="0.2">
      <c r="A89" s="4" t="s">
        <v>91</v>
      </c>
      <c r="B89" s="7">
        <f>'Price Data'!B90/'Price Data'!B89-1</f>
        <v>-8.0487592980120759E-3</v>
      </c>
      <c r="C89" s="7">
        <f>'Price Data'!C90/'Price Data'!C89-1</f>
        <v>-1.3128196096323652E-2</v>
      </c>
      <c r="D89" s="7">
        <f>'Price Data'!D90/'Price Data'!D89-1</f>
        <v>-1.2600609961493814E-2</v>
      </c>
      <c r="E89" s="7">
        <f>'Price Data'!E90/'Price Data'!E89-1</f>
        <v>-2.1848636067345328E-3</v>
      </c>
    </row>
    <row r="90" spans="1:5" ht="15" customHeight="1" x14ac:dyDescent="0.2">
      <c r="A90" s="4" t="s">
        <v>92</v>
      </c>
      <c r="B90" s="7">
        <f>'Price Data'!B91/'Price Data'!B90-1</f>
        <v>-2.2523781601781256E-2</v>
      </c>
      <c r="C90" s="7">
        <f>'Price Data'!C91/'Price Data'!C90-1</f>
        <v>-1.5963635429397716E-2</v>
      </c>
      <c r="D90" s="7">
        <f>'Price Data'!D91/'Price Data'!D90-1</f>
        <v>-2.531660125768509E-2</v>
      </c>
      <c r="E90" s="7">
        <f>'Price Data'!E91/'Price Data'!E90-1</f>
        <v>-3.503357734770618E-3</v>
      </c>
    </row>
    <row r="91" spans="1:5" ht="15" customHeight="1" x14ac:dyDescent="0.2">
      <c r="A91" s="4" t="s">
        <v>93</v>
      </c>
      <c r="B91" s="7">
        <f>'Price Data'!B92/'Price Data'!B91-1</f>
        <v>1.1020482969497314E-2</v>
      </c>
      <c r="C91" s="7">
        <f>'Price Data'!C92/'Price Data'!C91-1</f>
        <v>7.4675697046220346E-3</v>
      </c>
      <c r="D91" s="7">
        <f>'Price Data'!D92/'Price Data'!D91-1</f>
        <v>1.2987089597685575E-2</v>
      </c>
      <c r="E91" s="7">
        <f>'Price Data'!E92/'Price Data'!E91-1</f>
        <v>2.285255376204276E-3</v>
      </c>
    </row>
    <row r="92" spans="1:5" ht="15" customHeight="1" x14ac:dyDescent="0.2">
      <c r="A92" s="4" t="s">
        <v>94</v>
      </c>
      <c r="B92" s="7">
        <f>'Price Data'!B93/'Price Data'!B92-1</f>
        <v>1.708191868448794E-2</v>
      </c>
      <c r="C92" s="7">
        <f>'Price Data'!C93/'Price Data'!C92-1</f>
        <v>1.6741208424492227E-2</v>
      </c>
      <c r="D92" s="7">
        <f>'Price Data'!D93/'Price Data'!D92-1</f>
        <v>1.1882633012114452E-2</v>
      </c>
      <c r="E92" s="7">
        <f>'Price Data'!E93/'Price Data'!E92-1</f>
        <v>2.2798875655074546E-3</v>
      </c>
    </row>
    <row r="93" spans="1:5" ht="15" customHeight="1" x14ac:dyDescent="0.2">
      <c r="A93" s="4" t="s">
        <v>95</v>
      </c>
      <c r="B93" s="7">
        <f>'Price Data'!B94/'Price Data'!B93-1</f>
        <v>-2.1343014174987074E-3</v>
      </c>
      <c r="C93" s="7">
        <f>'Price Data'!C94/'Price Data'!C93-1</f>
        <v>-1.8854383962870758E-3</v>
      </c>
      <c r="D93" s="7">
        <f>'Price Data'!D94/'Price Data'!D93-1</f>
        <v>1.0299546255978509E-3</v>
      </c>
      <c r="E93" s="7">
        <f>'Price Data'!E94/'Price Data'!E93-1</f>
        <v>-8.7478256010364852E-4</v>
      </c>
    </row>
    <row r="94" spans="1:5" ht="15" customHeight="1" x14ac:dyDescent="0.2">
      <c r="A94" s="4" t="s">
        <v>96</v>
      </c>
      <c r="B94" s="7">
        <f>'Price Data'!B95/'Price Data'!B94-1</f>
        <v>-7.8110109523318316E-3</v>
      </c>
      <c r="C94" s="7">
        <f>'Price Data'!C95/'Price Data'!C94-1</f>
        <v>2.1407146530423304E-3</v>
      </c>
      <c r="D94" s="7">
        <f>'Price Data'!D95/'Price Data'!D94-1</f>
        <v>2.0581730935043119E-4</v>
      </c>
      <c r="E94" s="7">
        <f>'Price Data'!E95/'Price Data'!E94-1</f>
        <v>-1.2260506542425276E-3</v>
      </c>
    </row>
    <row r="95" spans="1:5" ht="15" customHeight="1" x14ac:dyDescent="0.2">
      <c r="A95" s="4" t="s">
        <v>97</v>
      </c>
      <c r="B95" s="7">
        <f>'Price Data'!B96/'Price Data'!B95-1</f>
        <v>-2.9054045633127856E-3</v>
      </c>
      <c r="C95" s="7">
        <f>'Price Data'!C96/'Price Data'!C95-1</f>
        <v>-8.7961991282753393E-3</v>
      </c>
      <c r="D95" s="7">
        <f>'Price Data'!D96/'Price Data'!D95-1</f>
        <v>-3.1892244430000716E-3</v>
      </c>
      <c r="E95" s="7">
        <f>'Price Data'!E96/'Price Data'!E95-1</f>
        <v>-1.4027073234452736E-3</v>
      </c>
    </row>
    <row r="96" spans="1:5" ht="15" customHeight="1" x14ac:dyDescent="0.2">
      <c r="A96" s="4" t="s">
        <v>98</v>
      </c>
      <c r="B96" s="7">
        <f>'Price Data'!B97/'Price Data'!B96-1</f>
        <v>1.0856609731767053E-2</v>
      </c>
      <c r="C96" s="7">
        <f>'Price Data'!C97/'Price Data'!C96-1</f>
        <v>1.3184800094476312E-2</v>
      </c>
      <c r="D96" s="7">
        <f>'Price Data'!D97/'Price Data'!D96-1</f>
        <v>1.1249847073082408E-2</v>
      </c>
      <c r="E96" s="7">
        <f>'Price Data'!E97/'Price Data'!E96-1</f>
        <v>3.4237590812777885E-3</v>
      </c>
    </row>
    <row r="97" spans="1:5" ht="15" customHeight="1" x14ac:dyDescent="0.2">
      <c r="A97" s="4" t="s">
        <v>99</v>
      </c>
      <c r="B97" s="7">
        <f>'Price Data'!B98/'Price Data'!B97-1</f>
        <v>-5.5802864379150829E-4</v>
      </c>
      <c r="C97" s="7">
        <f>'Price Data'!C98/'Price Data'!C97-1</f>
        <v>1.3761622731955914E-3</v>
      </c>
      <c r="D97" s="7">
        <f>'Price Data'!D98/'Price Data'!D97-1</f>
        <v>-1.0205890221343106E-3</v>
      </c>
      <c r="E97" s="7">
        <f>'Price Data'!E98/'Price Data'!E97-1</f>
        <v>4.3790060762982641E-4</v>
      </c>
    </row>
    <row r="98" spans="1:5" ht="15" customHeight="1" x14ac:dyDescent="0.2">
      <c r="A98" s="4" t="s">
        <v>100</v>
      </c>
      <c r="B98" s="7">
        <f>'Price Data'!B99/'Price Data'!B98-1</f>
        <v>1.0094189267633835E-2</v>
      </c>
      <c r="C98" s="7">
        <f>'Price Data'!C99/'Price Data'!C98-1</f>
        <v>6.1227400854024783E-3</v>
      </c>
      <c r="D98" s="7">
        <f>'Price Data'!D99/'Price Data'!D98-1</f>
        <v>1.2464115888555893E-2</v>
      </c>
      <c r="E98" s="7">
        <f>'Price Data'!E99/'Price Data'!E98-1</f>
        <v>9.6195541268739859E-4</v>
      </c>
    </row>
    <row r="99" spans="1:5" ht="15" customHeight="1" x14ac:dyDescent="0.2">
      <c r="A99" s="4" t="s">
        <v>101</v>
      </c>
      <c r="B99" s="7">
        <f>'Price Data'!B100/'Price Data'!B99-1</f>
        <v>-2.763197866801681E-3</v>
      </c>
      <c r="C99" s="7">
        <f>'Price Data'!C100/'Price Data'!C99-1</f>
        <v>2.4835712157522671E-4</v>
      </c>
      <c r="D99" s="7">
        <f>'Price Data'!D100/'Price Data'!D99-1</f>
        <v>-3.0255667910750184E-4</v>
      </c>
      <c r="E99" s="7">
        <f>'Price Data'!E100/'Price Data'!E99-1</f>
        <v>2.4466667408677978E-3</v>
      </c>
    </row>
    <row r="100" spans="1:5" ht="15" customHeight="1" x14ac:dyDescent="0.2">
      <c r="A100" s="4" t="s">
        <v>102</v>
      </c>
      <c r="B100" s="7">
        <f>'Price Data'!B101/'Price Data'!B100-1</f>
        <v>3.6023304380414789E-3</v>
      </c>
      <c r="C100" s="7">
        <f>'Price Data'!C101/'Price Data'!C100-1</f>
        <v>-6.2079483995058915E-4</v>
      </c>
      <c r="D100" s="7">
        <f>'Price Data'!D101/'Price Data'!D100-1</f>
        <v>4.441316034886178E-3</v>
      </c>
      <c r="E100" s="7">
        <f>'Price Data'!E101/'Price Data'!E100-1</f>
        <v>-3.4872658889362196E-4</v>
      </c>
    </row>
    <row r="101" spans="1:5" ht="15" customHeight="1" x14ac:dyDescent="0.2">
      <c r="A101" s="4" t="s">
        <v>103</v>
      </c>
      <c r="B101" s="7">
        <f>'Price Data'!B102/'Price Data'!B101-1</f>
        <v>1.840404269474849E-3</v>
      </c>
      <c r="C101" s="7">
        <f>'Price Data'!C102/'Price Data'!C101-1</f>
        <v>1.8637663398686222E-3</v>
      </c>
      <c r="D101" s="7">
        <f>'Price Data'!D102/'Price Data'!D101-1</f>
        <v>-2.3113848312107388E-3</v>
      </c>
      <c r="E101" s="7">
        <f>'Price Data'!E102/'Price Data'!E101-1</f>
        <v>-1.2209688454271062E-3</v>
      </c>
    </row>
    <row r="102" spans="1:5" ht="15" customHeight="1" x14ac:dyDescent="0.2">
      <c r="A102" s="4" t="s">
        <v>104</v>
      </c>
      <c r="B102" s="7">
        <f>'Price Data'!B103/'Price Data'!B102-1</f>
        <v>1.6996349856677195E-3</v>
      </c>
      <c r="C102" s="7">
        <f>'Price Data'!C103/'Price Data'!C102-1</f>
        <v>2.3561619168663839E-3</v>
      </c>
      <c r="D102" s="7">
        <f>'Price Data'!D103/'Price Data'!D102-1</f>
        <v>6.0434445204573528E-3</v>
      </c>
      <c r="E102" s="7">
        <f>'Price Data'!E103/'Price Data'!E102-1</f>
        <v>0</v>
      </c>
    </row>
    <row r="103" spans="1:5" ht="15" customHeight="1" x14ac:dyDescent="0.2">
      <c r="A103" s="4" t="s">
        <v>105</v>
      </c>
      <c r="B103" s="7">
        <f>'Price Data'!B104/'Price Data'!B103-1</f>
        <v>4.1251979511880421E-4</v>
      </c>
      <c r="C103" s="7">
        <f>'Price Data'!C104/'Price Data'!C103-1</f>
        <v>3.5877583454249073E-3</v>
      </c>
      <c r="D103" s="7">
        <f>'Price Data'!D104/'Price Data'!D103-1</f>
        <v>1.8021888236325223E-2</v>
      </c>
      <c r="E103" s="7">
        <f>'Price Data'!E104/'Price Data'!E103-1</f>
        <v>-4.6345462902108725E-4</v>
      </c>
    </row>
    <row r="104" spans="1:5" ht="15" customHeight="1" x14ac:dyDescent="0.2">
      <c r="A104" s="4" t="s">
        <v>106</v>
      </c>
      <c r="B104" s="7">
        <f>'Price Data'!B105/'Price Data'!B104-1</f>
        <v>1.3292257886203807E-3</v>
      </c>
      <c r="C104" s="7">
        <f>'Price Data'!C105/'Price Data'!C104-1</f>
        <v>3.3281890346203991E-3</v>
      </c>
      <c r="D104" s="7">
        <f>'Price Data'!D105/'Price Data'!D104-1</f>
        <v>1.1703056976507309E-2</v>
      </c>
      <c r="E104" s="7">
        <f>'Price Data'!E105/'Price Data'!E104-1</f>
        <v>1.3123461372086531E-3</v>
      </c>
    </row>
    <row r="105" spans="1:5" ht="15" customHeight="1" x14ac:dyDescent="0.2">
      <c r="A105" s="4" t="s">
        <v>107</v>
      </c>
      <c r="B105" s="7">
        <f>'Price Data'!B106/'Price Data'!B105-1</f>
        <v>-4.4399503552784436E-3</v>
      </c>
      <c r="C105" s="7">
        <f>'Price Data'!C106/'Price Data'!C105-1</f>
        <v>-4.9144924583059968E-3</v>
      </c>
      <c r="D105" s="7">
        <f>'Price Data'!D106/'Price Data'!D105-1</f>
        <v>-3.6939562371764989E-3</v>
      </c>
      <c r="E105" s="7">
        <f>'Price Data'!E106/'Price Data'!E105-1</f>
        <v>-2.358657577676504E-3</v>
      </c>
    </row>
    <row r="106" spans="1:5" ht="15" customHeight="1" x14ac:dyDescent="0.2">
      <c r="A106" s="4" t="s">
        <v>108</v>
      </c>
      <c r="B106" s="7">
        <f>'Price Data'!B107/'Price Data'!B106-1</f>
        <v>8.6897370464602552E-3</v>
      </c>
      <c r="C106" s="7">
        <f>'Price Data'!C107/'Price Data'!C106-1</f>
        <v>8.5196584804028141E-3</v>
      </c>
      <c r="D106" s="7">
        <f>'Price Data'!D107/'Price Data'!D106-1</f>
        <v>4.8797568316527595E-4</v>
      </c>
      <c r="E106" s="7">
        <f>'Price Data'!E107/'Price Data'!E106-1</f>
        <v>4.1153702896004063E-3</v>
      </c>
    </row>
    <row r="107" spans="1:5" ht="15" customHeight="1" x14ac:dyDescent="0.2">
      <c r="A107" s="4" t="s">
        <v>109</v>
      </c>
      <c r="B107" s="7">
        <f>'Price Data'!B108/'Price Data'!B107-1</f>
        <v>8.2045013109310894E-4</v>
      </c>
      <c r="C107" s="7">
        <f>'Price Data'!C108/'Price Data'!C107-1</f>
        <v>3.3054817531288361E-3</v>
      </c>
      <c r="D107" s="7">
        <f>'Price Data'!D108/'Price Data'!D107-1</f>
        <v>1.1800055339292737E-2</v>
      </c>
      <c r="E107" s="7">
        <f>'Price Data'!E108/'Price Data'!E107-1</f>
        <v>-6.9791176364419893E-4</v>
      </c>
    </row>
    <row r="108" spans="1:5" ht="15" customHeight="1" x14ac:dyDescent="0.2">
      <c r="A108" s="4" t="s">
        <v>110</v>
      </c>
      <c r="B108" s="7">
        <f>'Price Data'!B109/'Price Data'!B108-1</f>
        <v>2.0492943213732406E-3</v>
      </c>
      <c r="C108" s="7">
        <f>'Price Data'!C109/'Price Data'!C108-1</f>
        <v>-4.8815718948735931E-4</v>
      </c>
      <c r="D108" s="7">
        <f>'Price Data'!D109/'Price Data'!D108-1</f>
        <v>8.2893481517254397E-3</v>
      </c>
      <c r="E108" s="7">
        <f>'Price Data'!E109/'Price Data'!E108-1</f>
        <v>1.8324869037449343E-3</v>
      </c>
    </row>
    <row r="109" spans="1:5" ht="15" customHeight="1" x14ac:dyDescent="0.2">
      <c r="A109" s="4" t="s">
        <v>111</v>
      </c>
      <c r="B109" s="7">
        <f>'Price Data'!B110/'Price Data'!B109-1</f>
        <v>-2.8178371689504544E-3</v>
      </c>
      <c r="C109" s="7">
        <f>'Price Data'!C110/'Price Data'!C109-1</f>
        <v>-2.6857889921000355E-3</v>
      </c>
      <c r="D109" s="7">
        <f>'Price Data'!D110/'Price Data'!D109-1</f>
        <v>1.3383037945158271E-3</v>
      </c>
      <c r="E109" s="7">
        <f>'Price Data'!E110/'Price Data'!E109-1</f>
        <v>2.0035910155795644E-3</v>
      </c>
    </row>
    <row r="110" spans="1:5" ht="15" customHeight="1" x14ac:dyDescent="0.2">
      <c r="A110" s="4" t="s">
        <v>112</v>
      </c>
      <c r="B110" s="7">
        <f>'Price Data'!B111/'Price Data'!B110-1</f>
        <v>4.4209804187445023E-3</v>
      </c>
      <c r="C110" s="7">
        <f>'Price Data'!C111/'Price Data'!C110-1</f>
        <v>2.7548590975838838E-3</v>
      </c>
      <c r="D110" s="7">
        <f>'Price Data'!D111/'Price Data'!D110-1</f>
        <v>7.1599342365213925E-3</v>
      </c>
      <c r="E110" s="7">
        <f>'Price Data'!E111/'Price Data'!E110-1</f>
        <v>2.086482503984799E-3</v>
      </c>
    </row>
    <row r="111" spans="1:5" ht="15" customHeight="1" x14ac:dyDescent="0.2">
      <c r="A111" s="4" t="s">
        <v>113</v>
      </c>
      <c r="B111" s="7">
        <f>'Price Data'!B112/'Price Data'!B111-1</f>
        <v>2.9497687789543647E-3</v>
      </c>
      <c r="C111" s="7">
        <f>'Price Data'!C112/'Price Data'!C111-1</f>
        <v>2.3510946669802468E-3</v>
      </c>
      <c r="D111" s="7">
        <f>'Price Data'!D112/'Price Data'!D111-1</f>
        <v>-3.9810413991230309E-3</v>
      </c>
      <c r="E111" s="7">
        <f>'Price Data'!E112/'Price Data'!E111-1</f>
        <v>-4.3412844809465057E-4</v>
      </c>
    </row>
    <row r="112" spans="1:5" ht="15" customHeight="1" x14ac:dyDescent="0.2">
      <c r="A112" s="4" t="s">
        <v>114</v>
      </c>
      <c r="B112" s="7">
        <f>'Price Data'!B113/'Price Data'!B112-1</f>
        <v>1.5383265784858491E-3</v>
      </c>
      <c r="C112" s="7">
        <f>'Price Data'!C113/'Price Data'!C112-1</f>
        <v>1.7285890301088624E-3</v>
      </c>
      <c r="D112" s="7">
        <f>'Price Data'!D113/'Price Data'!D112-1</f>
        <v>3.9015157053554628E-3</v>
      </c>
      <c r="E112" s="7">
        <f>'Price Data'!E113/'Price Data'!E112-1</f>
        <v>-2.5166598309873667E-3</v>
      </c>
    </row>
    <row r="113" spans="1:5" ht="15" customHeight="1" x14ac:dyDescent="0.2">
      <c r="A113" s="4" t="s">
        <v>115</v>
      </c>
      <c r="B113" s="7">
        <f>'Price Data'!B114/'Price Data'!B113-1</f>
        <v>-2.6200382381555976E-3</v>
      </c>
      <c r="C113" s="7">
        <f>'Price Data'!C114/'Price Data'!C113-1</f>
        <v>1.2321827421106768E-3</v>
      </c>
      <c r="D113" s="7">
        <f>'Price Data'!D114/'Price Data'!D113-1</f>
        <v>-1.0711745113570093E-2</v>
      </c>
      <c r="E113" s="7">
        <f>'Price Data'!E114/'Price Data'!E113-1</f>
        <v>4.3510105052435577E-4</v>
      </c>
    </row>
    <row r="114" spans="1:5" ht="15" customHeight="1" x14ac:dyDescent="0.2">
      <c r="A114" s="4" t="s">
        <v>116</v>
      </c>
      <c r="B114" s="7">
        <f>'Price Data'!B115/'Price Data'!B114-1</f>
        <v>-4.9825015704872966E-3</v>
      </c>
      <c r="C114" s="7">
        <f>'Price Data'!C115/'Price Data'!C114-1</f>
        <v>-6.1546508414371814E-3</v>
      </c>
      <c r="D114" s="7">
        <f>'Price Data'!D115/'Price Data'!D114-1</f>
        <v>-6.5157138674999393E-3</v>
      </c>
      <c r="E114" s="7">
        <f>'Price Data'!E115/'Price Data'!E114-1</f>
        <v>-3.2177086932119181E-3</v>
      </c>
    </row>
    <row r="115" spans="1:5" ht="15" customHeight="1" x14ac:dyDescent="0.2">
      <c r="A115" s="4" t="s">
        <v>117</v>
      </c>
      <c r="B115" s="7">
        <f>'Price Data'!B116/'Price Data'!B115-1</f>
        <v>-9.559034154150714E-4</v>
      </c>
      <c r="C115" s="7">
        <f>'Price Data'!C116/'Price Data'!C115-1</f>
        <v>-6.9357376870027299E-3</v>
      </c>
      <c r="D115" s="7">
        <f>'Price Data'!D116/'Price Data'!D115-1</f>
        <v>-1.2541205277727396E-3</v>
      </c>
      <c r="E115" s="7">
        <f>'Price Data'!E116/'Price Data'!E115-1</f>
        <v>3.1407232025502108E-3</v>
      </c>
    </row>
    <row r="116" spans="1:5" ht="15" customHeight="1" x14ac:dyDescent="0.2">
      <c r="A116" s="4" t="s">
        <v>118</v>
      </c>
      <c r="B116" s="7">
        <f>'Price Data'!B117/'Price Data'!B116-1</f>
        <v>-1.2393452914020275E-2</v>
      </c>
      <c r="C116" s="7">
        <f>'Price Data'!C117/'Price Data'!C116-1</f>
        <v>-2.070336991272137E-2</v>
      </c>
      <c r="D116" s="7">
        <f>'Price Data'!D117/'Price Data'!D116-1</f>
        <v>-1.6996578940647766E-2</v>
      </c>
      <c r="E116" s="7">
        <f>'Price Data'!E117/'Price Data'!E116-1</f>
        <v>2.6960960557151914E-3</v>
      </c>
    </row>
    <row r="117" spans="1:5" ht="15" customHeight="1" x14ac:dyDescent="0.2">
      <c r="A117" s="4" t="s">
        <v>119</v>
      </c>
      <c r="B117" s="7">
        <f>'Price Data'!B118/'Price Data'!B117-1</f>
        <v>1.3794794339201388E-2</v>
      </c>
      <c r="C117" s="7">
        <f>'Price Data'!C118/'Price Data'!C117-1</f>
        <v>1.3117637451304232E-2</v>
      </c>
      <c r="D117" s="7">
        <f>'Price Data'!D118/'Price Data'!D117-1</f>
        <v>2.0630889333699498E-2</v>
      </c>
      <c r="E117" s="7">
        <f>'Price Data'!E118/'Price Data'!E117-1</f>
        <v>-2.6019818541110906E-3</v>
      </c>
    </row>
    <row r="118" spans="1:5" ht="15" customHeight="1" x14ac:dyDescent="0.2">
      <c r="A118" s="4" t="s">
        <v>120</v>
      </c>
      <c r="B118" s="7">
        <f>'Price Data'!B119/'Price Data'!B118-1</f>
        <v>5.6883537909928616E-3</v>
      </c>
      <c r="C118" s="7">
        <f>'Price Data'!C119/'Price Data'!C118-1</f>
        <v>1.2573724687525711E-4</v>
      </c>
      <c r="D118" s="7">
        <f>'Price Data'!D119/'Price Data'!D118-1</f>
        <v>-5.198059558407131E-3</v>
      </c>
      <c r="E118" s="7">
        <f>'Price Data'!E119/'Price Data'!E118-1</f>
        <v>1.0432274928460217E-3</v>
      </c>
    </row>
    <row r="119" spans="1:5" ht="15" customHeight="1" x14ac:dyDescent="0.2">
      <c r="A119" s="4" t="s">
        <v>121</v>
      </c>
      <c r="B119" s="7">
        <f>'Price Data'!B120/'Price Data'!B119-1</f>
        <v>-4.0710644414332364E-4</v>
      </c>
      <c r="C119" s="7">
        <f>'Price Data'!C120/'Price Data'!C119-1</f>
        <v>-6.410221871400168E-3</v>
      </c>
      <c r="D119" s="7">
        <f>'Price Data'!D120/'Price Data'!D119-1</f>
        <v>-1.7414098301899994E-3</v>
      </c>
      <c r="E119" s="7">
        <f>'Price Data'!E120/'Price Data'!E119-1</f>
        <v>-5.2114796983826484E-4</v>
      </c>
    </row>
    <row r="120" spans="1:5" ht="15" customHeight="1" x14ac:dyDescent="0.2">
      <c r="A120" s="4" t="s">
        <v>122</v>
      </c>
      <c r="B120" s="7">
        <f>'Price Data'!B121/'Price Data'!B120-1</f>
        <v>6.7884405731457598E-3</v>
      </c>
      <c r="C120" s="7">
        <f>'Price Data'!C121/'Price Data'!C120-1</f>
        <v>9.6138746546059473E-3</v>
      </c>
      <c r="D120" s="7">
        <f>'Price Data'!D121/'Price Data'!D120-1</f>
        <v>-2.1574542689462017E-3</v>
      </c>
      <c r="E120" s="7">
        <f>'Price Data'!E121/'Price Data'!E120-1</f>
        <v>3.4771694937196784E-4</v>
      </c>
    </row>
    <row r="121" spans="1:5" ht="15" customHeight="1" x14ac:dyDescent="0.2">
      <c r="A121" s="4" t="s">
        <v>123</v>
      </c>
      <c r="B121" s="7">
        <f>'Price Data'!B122/'Price Data'!B121-1</f>
        <v>3.7434170382553145E-3</v>
      </c>
      <c r="C121" s="7">
        <f>'Price Data'!C122/'Price Data'!C121-1</f>
        <v>2.1302344578320032E-3</v>
      </c>
      <c r="D121" s="7">
        <f>'Price Data'!D122/'Price Data'!D121-1</f>
        <v>6.750199736410778E-3</v>
      </c>
      <c r="E121" s="7">
        <f>'Price Data'!E122/'Price Data'!E121-1</f>
        <v>-1.9984050741248538E-3</v>
      </c>
    </row>
    <row r="122" spans="1:5" ht="15" customHeight="1" x14ac:dyDescent="0.2">
      <c r="A122" s="4" t="s">
        <v>124</v>
      </c>
      <c r="B122" s="7">
        <f>'Price Data'!B123/'Price Data'!B122-1</f>
        <v>1.1233009191096155E-3</v>
      </c>
      <c r="C122" s="7">
        <f>'Price Data'!C123/'Price Data'!C122-1</f>
        <v>-6.376448644716759E-3</v>
      </c>
      <c r="D122" s="7">
        <f>'Price Data'!D123/'Price Data'!D122-1</f>
        <v>-2.9149764834306424E-3</v>
      </c>
      <c r="E122" s="7">
        <f>'Price Data'!E123/'Price Data'!E122-1</f>
        <v>2.8729030139824641E-3</v>
      </c>
    </row>
    <row r="123" spans="1:5" ht="15" customHeight="1" x14ac:dyDescent="0.2">
      <c r="A123" s="4" t="s">
        <v>125</v>
      </c>
      <c r="B123" s="7">
        <f>'Price Data'!B124/'Price Data'!B123-1</f>
        <v>4.4884559629698728E-5</v>
      </c>
      <c r="C123" s="7">
        <f>'Price Data'!C124/'Price Data'!C123-1</f>
        <v>2.5150286447006565E-4</v>
      </c>
      <c r="D123" s="7">
        <f>'Price Data'!D124/'Price Data'!D123-1</f>
        <v>-2.7289589435225414E-3</v>
      </c>
      <c r="E123" s="7">
        <f>'Price Data'!E124/'Price Data'!E123-1</f>
        <v>5.2101931908565824E-4</v>
      </c>
    </row>
    <row r="124" spans="1:5" ht="15" customHeight="1" x14ac:dyDescent="0.2">
      <c r="A124" s="4" t="s">
        <v>126</v>
      </c>
      <c r="B124" s="7">
        <f>'Price Data'!B125/'Price Data'!B124-1</f>
        <v>4.488254509649181E-5</v>
      </c>
      <c r="C124" s="7">
        <f>'Price Data'!C125/'Price Data'!C124-1</f>
        <v>-7.6739643703982452E-3</v>
      </c>
      <c r="D124" s="7">
        <f>'Price Data'!D125/'Price Data'!D124-1</f>
        <v>-5.2770584435684054E-3</v>
      </c>
      <c r="E124" s="7">
        <f>'Price Data'!E125/'Price Data'!E124-1</f>
        <v>6.9407158714906991E-4</v>
      </c>
    </row>
    <row r="125" spans="1:5" ht="15" customHeight="1" x14ac:dyDescent="0.2">
      <c r="A125" s="4" t="s">
        <v>127</v>
      </c>
      <c r="B125" s="7">
        <f>'Price Data'!B126/'Price Data'!B125-1</f>
        <v>5.4305442201421084E-3</v>
      </c>
      <c r="C125" s="7">
        <f>'Price Data'!C126/'Price Data'!C125-1</f>
        <v>2.4087338936080727E-3</v>
      </c>
      <c r="D125" s="7">
        <f>'Price Data'!D126/'Price Data'!D125-1</f>
        <v>4.3227034854307345E-3</v>
      </c>
      <c r="E125" s="7">
        <f>'Price Data'!E126/'Price Data'!E125-1</f>
        <v>-5.5580418481071536E-4</v>
      </c>
    </row>
    <row r="126" spans="1:5" ht="15" customHeight="1" x14ac:dyDescent="0.2">
      <c r="A126" s="4" t="s">
        <v>128</v>
      </c>
      <c r="B126" s="7">
        <f>'Price Data'!B127/'Price Data'!B126-1</f>
        <v>5.5348348301837991E-3</v>
      </c>
      <c r="C126" s="7">
        <f>'Price Data'!C127/'Price Data'!C126-1</f>
        <v>3.4148373406146515E-3</v>
      </c>
      <c r="D126" s="7">
        <f>'Price Data'!D127/'Price Data'!D126-1</f>
        <v>3.0324040074860559E-3</v>
      </c>
      <c r="E126" s="7">
        <f>'Price Data'!E127/'Price Data'!E126-1</f>
        <v>2.1720746273559133E-3</v>
      </c>
    </row>
    <row r="127" spans="1:5" ht="15" customHeight="1" x14ac:dyDescent="0.2">
      <c r="A127" s="4" t="s">
        <v>129</v>
      </c>
      <c r="B127" s="7">
        <f>'Price Data'!B128/'Price Data'!B127-1</f>
        <v>-2.1750831104506707E-3</v>
      </c>
      <c r="C127" s="7">
        <f>'Price Data'!C128/'Price Data'!C127-1</f>
        <v>-6.5540666032554151E-3</v>
      </c>
      <c r="D127" s="7">
        <f>'Price Data'!D128/'Price Data'!D127-1</f>
        <v>7.3140516695788804E-3</v>
      </c>
      <c r="E127" s="7">
        <f>'Price Data'!E128/'Price Data'!E127-1</f>
        <v>3.2072378114096356E-3</v>
      </c>
    </row>
    <row r="128" spans="1:5" ht="15" customHeight="1" x14ac:dyDescent="0.2">
      <c r="A128" s="4" t="s">
        <v>130</v>
      </c>
      <c r="B128" s="7">
        <f>'Price Data'!B129/'Price Data'!B128-1</f>
        <v>1.3347483466701338E-3</v>
      </c>
      <c r="C128" s="7">
        <f>'Price Data'!C129/'Price Data'!C128-1</f>
        <v>5.4555297673020142E-3</v>
      </c>
      <c r="D128" s="7">
        <f>'Price Data'!D129/'Price Data'!D128-1</f>
        <v>3.4853716346767705E-3</v>
      </c>
      <c r="E128" s="7">
        <f>'Price Data'!E129/'Price Data'!E128-1</f>
        <v>1.7283503251717125E-3</v>
      </c>
    </row>
    <row r="129" spans="1:5" ht="15" customHeight="1" x14ac:dyDescent="0.2">
      <c r="A129" s="4" t="s">
        <v>131</v>
      </c>
      <c r="B129" s="7">
        <f>'Price Data'!B130/'Price Data'!B129-1</f>
        <v>-8.4415320935701255E-3</v>
      </c>
      <c r="C129" s="7">
        <f>'Price Data'!C130/'Price Data'!C129-1</f>
        <v>-1.287070482076913E-2</v>
      </c>
      <c r="D129" s="7">
        <f>'Price Data'!D130/'Price Data'!D129-1</f>
        <v>-2.7979161652761375E-3</v>
      </c>
      <c r="E129" s="7">
        <f>'Price Data'!E130/'Price Data'!E129-1</f>
        <v>1.1211035690119608E-3</v>
      </c>
    </row>
    <row r="130" spans="1:5" ht="15" customHeight="1" x14ac:dyDescent="0.2">
      <c r="A130" s="4" t="s">
        <v>132</v>
      </c>
      <c r="B130" s="7">
        <f>'Price Data'!B131/'Price Data'!B130-1</f>
        <v>1.2097828690373458E-2</v>
      </c>
      <c r="C130" s="7">
        <f>'Price Data'!C131/'Price Data'!C130-1</f>
        <v>1.7001116481690337E-2</v>
      </c>
      <c r="D130" s="7">
        <f>'Price Data'!D131/'Price Data'!D130-1</f>
        <v>1.6447269552522847E-2</v>
      </c>
      <c r="E130" s="7">
        <f>'Price Data'!E131/'Price Data'!E130-1</f>
        <v>-3.2739120404744471E-3</v>
      </c>
    </row>
    <row r="131" spans="1:5" ht="15" customHeight="1" x14ac:dyDescent="0.2">
      <c r="A131" s="4" t="s">
        <v>133</v>
      </c>
      <c r="B131" s="7">
        <f>'Price Data'!B132/'Price Data'!B131-1</f>
        <v>2.7890244414086052E-3</v>
      </c>
      <c r="C131" s="7">
        <f>'Price Data'!C132/'Price Data'!C131-1</f>
        <v>4.273294162124186E-3</v>
      </c>
      <c r="D131" s="7">
        <f>'Price Data'!D132/'Price Data'!D131-1</f>
        <v>8.5664982778295151E-3</v>
      </c>
      <c r="E131" s="7">
        <f>'Price Data'!E132/'Price Data'!E131-1</f>
        <v>-6.0495197618581908E-4</v>
      </c>
    </row>
    <row r="132" spans="1:5" ht="15" customHeight="1" x14ac:dyDescent="0.2">
      <c r="A132" s="4" t="s">
        <v>134</v>
      </c>
      <c r="B132" s="7">
        <f>'Price Data'!B133/'Price Data'!B132-1</f>
        <v>-5.5626793524065077E-3</v>
      </c>
      <c r="C132" s="7">
        <f>'Price Data'!C133/'Price Data'!C132-1</f>
        <v>-5.2562673437771545E-3</v>
      </c>
      <c r="D132" s="7">
        <f>'Price Data'!D133/'Price Data'!D132-1</f>
        <v>-1.3967227985727804E-2</v>
      </c>
      <c r="E132" s="7">
        <f>'Price Data'!E133/'Price Data'!E132-1</f>
        <v>-2.1626796242767421E-3</v>
      </c>
    </row>
    <row r="133" spans="1:5" ht="15" customHeight="1" x14ac:dyDescent="0.2">
      <c r="A133" s="4" t="s">
        <v>135</v>
      </c>
      <c r="B133" s="7">
        <f>'Price Data'!B134/'Price Data'!B133-1</f>
        <v>-1.376214451120128E-3</v>
      </c>
      <c r="C133" s="7">
        <f>'Price Data'!C134/'Price Data'!C133-1</f>
        <v>2.2644769269546394E-3</v>
      </c>
      <c r="D133" s="7">
        <f>'Price Data'!D134/'Price Data'!D133-1</f>
        <v>6.9869201216465893E-3</v>
      </c>
      <c r="E133" s="7">
        <f>'Price Data'!E134/'Price Data'!E133-1</f>
        <v>3.3807047114136068E-3</v>
      </c>
    </row>
    <row r="134" spans="1:5" ht="15" customHeight="1" x14ac:dyDescent="0.2">
      <c r="A134" s="4" t="s">
        <v>136</v>
      </c>
      <c r="B134" s="7">
        <f>'Price Data'!B135/'Price Data'!B134-1</f>
        <v>-3.5118547380772469E-3</v>
      </c>
      <c r="C134" s="7">
        <f>'Price Data'!C135/'Price Data'!C134-1</f>
        <v>-9.5403698297489292E-3</v>
      </c>
      <c r="D134" s="7">
        <f>'Price Data'!D135/'Price Data'!D134-1</f>
        <v>1.6155775988706544E-3</v>
      </c>
      <c r="E134" s="7">
        <f>'Price Data'!E135/'Price Data'!E134-1</f>
        <v>2.1597552720447055E-3</v>
      </c>
    </row>
    <row r="135" spans="1:5" ht="15" customHeight="1" x14ac:dyDescent="0.2">
      <c r="A135" s="4" t="s">
        <v>137</v>
      </c>
      <c r="B135" s="7">
        <f>'Price Data'!B136/'Price Data'!B135-1</f>
        <v>-7.8520297462213451E-3</v>
      </c>
      <c r="C135" s="7">
        <f>'Price Data'!C136/'Price Data'!C135-1</f>
        <v>-7.3510285938984676E-3</v>
      </c>
      <c r="D135" s="7">
        <f>'Price Data'!D136/'Price Data'!D135-1</f>
        <v>-6.6417514711047954E-4</v>
      </c>
      <c r="E135" s="7">
        <f>'Price Data'!E136/'Price Data'!E135-1</f>
        <v>-8.6170099962423752E-4</v>
      </c>
    </row>
    <row r="136" spans="1:5" ht="15" customHeight="1" x14ac:dyDescent="0.2">
      <c r="A136" s="4" t="s">
        <v>138</v>
      </c>
      <c r="B136" s="7">
        <f>'Price Data'!B137/'Price Data'!B136-1</f>
        <v>-1.4209300357310162E-2</v>
      </c>
      <c r="C136" s="7">
        <f>'Price Data'!C137/'Price Data'!C136-1</f>
        <v>-1.8130872324805369E-2</v>
      </c>
      <c r="D136" s="7">
        <f>'Price Data'!D137/'Price Data'!D136-1</f>
        <v>-1.8231828443587283E-2</v>
      </c>
      <c r="E136" s="7">
        <f>'Price Data'!E137/'Price Data'!E136-1</f>
        <v>5.263194048933828E-3</v>
      </c>
    </row>
    <row r="137" spans="1:5" ht="15" customHeight="1" x14ac:dyDescent="0.2">
      <c r="A137" s="4" t="s">
        <v>139</v>
      </c>
      <c r="B137" s="7">
        <f>'Price Data'!B138/'Price Data'!B137-1</f>
        <v>1.7287814719672889E-2</v>
      </c>
      <c r="C137" s="7">
        <f>'Price Data'!C138/'Price Data'!C137-1</f>
        <v>7.2820729008615803E-3</v>
      </c>
      <c r="D137" s="7">
        <f>'Price Data'!D138/'Price Data'!D137-1</f>
        <v>2.3600016633332999E-2</v>
      </c>
      <c r="E137" s="7">
        <f>'Price Data'!E138/'Price Data'!E137-1</f>
        <v>-9.445354531708583E-4</v>
      </c>
    </row>
    <row r="138" spans="1:5" ht="15" customHeight="1" x14ac:dyDescent="0.2">
      <c r="A138" s="4" t="s">
        <v>140</v>
      </c>
      <c r="B138" s="7">
        <f>'Price Data'!B139/'Price Data'!B138-1</f>
        <v>8.9677621149100162E-3</v>
      </c>
      <c r="C138" s="7">
        <f>'Price Data'!C139/'Price Data'!C138-1</f>
        <v>1.5233749842478383E-2</v>
      </c>
      <c r="D138" s="7">
        <f>'Price Data'!D139/'Price Data'!D138-1</f>
        <v>-9.45286188888117E-5</v>
      </c>
      <c r="E138" s="7">
        <f>'Price Data'!E139/'Price Data'!E138-1</f>
        <v>-3.2647330290519472E-3</v>
      </c>
    </row>
    <row r="139" spans="1:5" ht="15" customHeight="1" x14ac:dyDescent="0.2">
      <c r="A139" s="4" t="s">
        <v>141</v>
      </c>
      <c r="B139" s="7">
        <f>'Price Data'!B140/'Price Data'!B139-1</f>
        <v>8.4439297317451256E-4</v>
      </c>
      <c r="C139" s="7">
        <f>'Price Data'!C140/'Price Data'!C139-1</f>
        <v>3.8146318329546069E-4</v>
      </c>
      <c r="D139" s="7">
        <f>'Price Data'!D140/'Price Data'!D139-1</f>
        <v>-7.9380092260612489E-3</v>
      </c>
      <c r="E139" s="7">
        <f>'Price Data'!E140/'Price Data'!E139-1</f>
        <v>2.3274410200029294E-3</v>
      </c>
    </row>
    <row r="140" spans="1:5" ht="15" customHeight="1" x14ac:dyDescent="0.2">
      <c r="A140" s="4" t="s">
        <v>142</v>
      </c>
      <c r="B140" s="7">
        <f>'Price Data'!B141/'Price Data'!B140-1</f>
        <v>9.9906634814801443E-3</v>
      </c>
      <c r="C140" s="7">
        <f>'Price Data'!C141/'Price Data'!C140-1</f>
        <v>6.9913168766175815E-3</v>
      </c>
      <c r="D140" s="7">
        <f>'Price Data'!D141/'Price Data'!D140-1</f>
        <v>8.287319336623078E-3</v>
      </c>
      <c r="E140" s="7">
        <f>'Price Data'!E141/'Price Data'!E140-1</f>
        <v>-6.8785700082152346E-4</v>
      </c>
    </row>
    <row r="141" spans="1:5" ht="15" customHeight="1" x14ac:dyDescent="0.2">
      <c r="A141" s="4" t="s">
        <v>143</v>
      </c>
      <c r="B141" s="7">
        <f>'Price Data'!B142/'Price Data'!B141-1</f>
        <v>2.0223181025398329E-3</v>
      </c>
      <c r="C141" s="7">
        <f>'Price Data'!C142/'Price Data'!C141-1</f>
        <v>1.3883075308054327E-3</v>
      </c>
      <c r="D141" s="7">
        <f>'Price Data'!D142/'Price Data'!D141-1</f>
        <v>4.7237909960062829E-4</v>
      </c>
      <c r="E141" s="7">
        <f>'Price Data'!E142/'Price Data'!E141-1</f>
        <v>-8.6045158081704542E-4</v>
      </c>
    </row>
    <row r="142" spans="1:5" ht="15" customHeight="1" x14ac:dyDescent="0.2">
      <c r="A142" s="4" t="s">
        <v>144</v>
      </c>
      <c r="B142" s="7">
        <f>'Price Data'!B143/'Price Data'!B142-1</f>
        <v>-5.396637526648318E-3</v>
      </c>
      <c r="C142" s="7">
        <f>'Price Data'!C143/'Price Data'!C142-1</f>
        <v>-4.0336253274296796E-3</v>
      </c>
      <c r="D142" s="7">
        <f>'Price Data'!D143/'Price Data'!D142-1</f>
        <v>5.6656108344450562E-3</v>
      </c>
      <c r="E142" s="7">
        <f>'Price Data'!E143/'Price Data'!E142-1</f>
        <v>2.3254049119112441E-3</v>
      </c>
    </row>
    <row r="143" spans="1:5" ht="15" customHeight="1" x14ac:dyDescent="0.2">
      <c r="A143" s="4" t="s">
        <v>145</v>
      </c>
      <c r="B143" s="7">
        <f>'Price Data'!B144/'Price Data'!B143-1</f>
        <v>1.5438574501851487E-3</v>
      </c>
      <c r="C143" s="7">
        <f>'Price Data'!C144/'Price Data'!C143-1</f>
        <v>4.3031545841880625E-3</v>
      </c>
      <c r="D143" s="7">
        <f>'Price Data'!D144/'Price Data'!D143-1</f>
        <v>-3.4742536353609133E-3</v>
      </c>
      <c r="E143" s="7">
        <f>'Price Data'!E144/'Price Data'!E143-1</f>
        <v>9.4505259012023224E-4</v>
      </c>
    </row>
    <row r="144" spans="1:5" ht="15" customHeight="1" x14ac:dyDescent="0.2">
      <c r="A144" s="4" t="s">
        <v>146</v>
      </c>
      <c r="B144" s="7">
        <f>'Price Data'!B145/'Price Data'!B144-1</f>
        <v>4.4047058212903778E-3</v>
      </c>
      <c r="C144" s="7">
        <f>'Price Data'!C145/'Price Data'!C144-1</f>
        <v>6.9312919158295294E-3</v>
      </c>
      <c r="D144" s="7">
        <f>'Price Data'!D145/'Price Data'!D144-1</f>
        <v>1.8869709620794595E-4</v>
      </c>
      <c r="E144" s="7">
        <f>'Price Data'!E145/'Price Data'!E144-1</f>
        <v>-1.631143482955677E-3</v>
      </c>
    </row>
    <row r="145" spans="1:5" ht="15" customHeight="1" x14ac:dyDescent="0.2">
      <c r="A145" s="4" t="s">
        <v>147</v>
      </c>
      <c r="B145" s="7">
        <f>'Price Data'!B146/'Price Data'!B145-1</f>
        <v>-5.9201071194627808E-3</v>
      </c>
      <c r="C145" s="7">
        <f>'Price Data'!C146/'Price Data'!C145-1</f>
        <v>-5.1313044107107464E-3</v>
      </c>
      <c r="D145" s="7">
        <f>'Price Data'!D146/'Price Data'!D145-1</f>
        <v>1.3188884475756613E-3</v>
      </c>
      <c r="E145" s="7">
        <f>'Price Data'!E146/'Price Data'!E145-1</f>
        <v>1.3757496397170943E-3</v>
      </c>
    </row>
    <row r="146" spans="1:5" ht="15" customHeight="1" x14ac:dyDescent="0.2">
      <c r="A146" s="4" t="s">
        <v>148</v>
      </c>
      <c r="B146" s="7">
        <f>'Price Data'!B147/'Price Data'!B146-1</f>
        <v>-1.4117310350939549E-3</v>
      </c>
      <c r="C146" s="7">
        <f>'Price Data'!C147/'Price Data'!C146-1</f>
        <v>5.0322753881835158E-3</v>
      </c>
      <c r="D146" s="7">
        <f>'Price Data'!D147/'Price Data'!D146-1</f>
        <v>-2.1640529219580928E-3</v>
      </c>
      <c r="E146" s="7">
        <f>'Price Data'!E147/'Price Data'!E146-1</f>
        <v>2.1240056109643746E-3</v>
      </c>
    </row>
    <row r="147" spans="1:5" ht="15" customHeight="1" x14ac:dyDescent="0.2">
      <c r="A147" s="4" t="s">
        <v>149</v>
      </c>
      <c r="B147" s="7">
        <f>'Price Data'!B148/'Price Data'!B147-1</f>
        <v>7.1564814780662456E-3</v>
      </c>
      <c r="C147" s="7">
        <f>'Price Data'!C148/'Price Data'!C147-1</f>
        <v>7.1347317813041933E-3</v>
      </c>
      <c r="D147" s="7">
        <f>'Price Data'!D148/'Price Data'!D147-1</f>
        <v>1.225945729562028E-3</v>
      </c>
      <c r="E147" s="7">
        <f>'Price Data'!E148/'Price Data'!E147-1</f>
        <v>3.4323513292844332E-4</v>
      </c>
    </row>
    <row r="148" spans="1:5" ht="15" customHeight="1" x14ac:dyDescent="0.2">
      <c r="A148" s="4" t="s">
        <v>150</v>
      </c>
      <c r="B148" s="7">
        <f>'Price Data'!B149/'Price Data'!B148-1</f>
        <v>-4.4738621138754597E-3</v>
      </c>
      <c r="C148" s="7">
        <f>'Price Data'!C149/'Price Data'!C148-1</f>
        <v>-2.9830087819772144E-3</v>
      </c>
      <c r="D148" s="7">
        <f>'Price Data'!D149/'Price Data'!D148-1</f>
        <v>-3.1078238293830163E-3</v>
      </c>
      <c r="E148" s="7">
        <f>'Price Data'!E149/'Price Data'!E148-1</f>
        <v>-8.5970898008547181E-5</v>
      </c>
    </row>
    <row r="149" spans="1:5" ht="15" customHeight="1" x14ac:dyDescent="0.2">
      <c r="A149" s="4" t="s">
        <v>151</v>
      </c>
      <c r="B149" s="7">
        <f>'Price Data'!B150/'Price Data'!B149-1</f>
        <v>7.1375626384615476E-3</v>
      </c>
      <c r="C149" s="7">
        <f>'Price Data'!C150/'Price Data'!C149-1</f>
        <v>4.8617949264595506E-3</v>
      </c>
      <c r="D149" s="7">
        <f>'Price Data'!D150/'Price Data'!D149-1</f>
        <v>1.1713685988216094E-2</v>
      </c>
      <c r="E149" s="7">
        <f>'Price Data'!E150/'Price Data'!E149-1</f>
        <v>-2.2303013546710604E-3</v>
      </c>
    </row>
    <row r="150" spans="1:5" ht="15" customHeight="1" x14ac:dyDescent="0.2">
      <c r="A150" s="4" t="s">
        <v>152</v>
      </c>
      <c r="B150" s="7">
        <f>'Price Data'!B151/'Price Data'!B150-1</f>
        <v>1.2248630808988636E-3</v>
      </c>
      <c r="C150" s="7">
        <f>'Price Data'!C151/'Price Data'!C150-1</f>
        <v>-3.7216285648073999E-3</v>
      </c>
      <c r="D150" s="7">
        <f>'Price Data'!D151/'Price Data'!D150-1</f>
        <v>-1.7741417650719571E-3</v>
      </c>
      <c r="E150" s="7">
        <f>'Price Data'!E151/'Price Data'!E150-1</f>
        <v>-4.4708806384542443E-3</v>
      </c>
    </row>
    <row r="151" spans="1:5" ht="15" customHeight="1" x14ac:dyDescent="0.2">
      <c r="A151" s="4" t="s">
        <v>153</v>
      </c>
      <c r="B151" s="7">
        <f>'Price Data'!B152/'Price Data'!B151-1</f>
        <v>-3.9317581795828005E-4</v>
      </c>
      <c r="C151" s="7">
        <f>'Price Data'!C152/'Price Data'!C151-1</f>
        <v>-4.9796698694548613E-4</v>
      </c>
      <c r="D151" s="7">
        <f>'Price Data'!D152/'Price Data'!D151-1</f>
        <v>-5.3316253682631487E-3</v>
      </c>
      <c r="E151" s="7">
        <f>'Price Data'!E152/'Price Data'!E151-1</f>
        <v>-1.8134637280640131E-3</v>
      </c>
    </row>
    <row r="152" spans="1:5" ht="15" customHeight="1" x14ac:dyDescent="0.2">
      <c r="A152" s="4" t="s">
        <v>154</v>
      </c>
      <c r="B152" s="7">
        <f>'Price Data'!B153/'Price Data'!B152-1</f>
        <v>6.5559847040508323E-4</v>
      </c>
      <c r="C152" s="7">
        <f>'Price Data'!C153/'Price Data'!C152-1</f>
        <v>2.2423016424184539E-3</v>
      </c>
      <c r="D152" s="7">
        <f>'Price Data'!D153/'Price Data'!D152-1</f>
        <v>-9.4976901998597985E-3</v>
      </c>
      <c r="E152" s="7">
        <f>'Price Data'!E153/'Price Data'!E152-1</f>
        <v>-1.2976293339971301E-3</v>
      </c>
    </row>
    <row r="153" spans="1:5" ht="15" customHeight="1" x14ac:dyDescent="0.2">
      <c r="A153" s="4" t="s">
        <v>155</v>
      </c>
      <c r="B153" s="7">
        <f>'Price Data'!B154/'Price Data'!B153-1</f>
        <v>1.9657213092605375E-3</v>
      </c>
      <c r="C153" s="7">
        <f>'Price Data'!C154/'Price Data'!C153-1</f>
        <v>6.8365185652243809E-3</v>
      </c>
      <c r="D153" s="7">
        <f>'Price Data'!D154/'Price Data'!D153-1</f>
        <v>5.886137267185898E-3</v>
      </c>
      <c r="E153" s="7">
        <f>'Price Data'!E154/'Price Data'!E153-1</f>
        <v>9.5277967589146861E-4</v>
      </c>
    </row>
    <row r="154" spans="1:5" ht="15" customHeight="1" x14ac:dyDescent="0.2">
      <c r="A154" s="4" t="s">
        <v>156</v>
      </c>
      <c r="B154" s="7">
        <f>'Price Data'!B155/'Price Data'!B154-1</f>
        <v>2.7901364043698695E-3</v>
      </c>
      <c r="C154" s="7">
        <f>'Price Data'!C155/'Price Data'!C154-1</f>
        <v>-8.6407400363297526E-4</v>
      </c>
      <c r="D154" s="7">
        <f>'Price Data'!D155/'Price Data'!D154-1</f>
        <v>2.1709105319049904E-3</v>
      </c>
      <c r="E154" s="7">
        <f>'Price Data'!E155/'Price Data'!E154-1</f>
        <v>8.659011379030801E-5</v>
      </c>
    </row>
    <row r="155" spans="1:5" ht="15" customHeight="1" x14ac:dyDescent="0.2">
      <c r="A155" s="4" t="s">
        <v>157</v>
      </c>
      <c r="B155" s="7">
        <f>'Price Data'!B156/'Price Data'!B155-1</f>
        <v>5.6518401034000298E-4</v>
      </c>
      <c r="C155" s="7">
        <f>'Price Data'!C156/'Price Data'!C155-1</f>
        <v>6.0545213699252365E-3</v>
      </c>
      <c r="D155" s="7">
        <f>'Price Data'!D156/'Price Data'!D155-1</f>
        <v>5.4624105417178104E-3</v>
      </c>
      <c r="E155" s="7">
        <f>'Price Data'!E156/'Price Data'!E155-1</f>
        <v>3.6346918609713175E-3</v>
      </c>
    </row>
    <row r="156" spans="1:5" ht="15" customHeight="1" x14ac:dyDescent="0.2">
      <c r="A156" s="4" t="s">
        <v>158</v>
      </c>
      <c r="B156" s="7">
        <f>'Price Data'!B157/'Price Data'!B156-1</f>
        <v>3.9098910215362714E-4</v>
      </c>
      <c r="C156" s="7">
        <f>'Price Data'!C157/'Price Data'!C156-1</f>
        <v>-5.158468041717601E-3</v>
      </c>
      <c r="D156" s="7">
        <f>'Price Data'!D157/'Price Data'!D156-1</f>
        <v>-1.217560972229581E-3</v>
      </c>
      <c r="E156" s="7">
        <f>'Price Data'!E157/'Price Data'!E156-1</f>
        <v>5.1746027906940384E-4</v>
      </c>
    </row>
    <row r="157" spans="1:5" ht="15" customHeight="1" x14ac:dyDescent="0.2">
      <c r="A157" s="4" t="s">
        <v>159</v>
      </c>
      <c r="B157" s="7">
        <f>'Price Data'!B158/'Price Data'!B157-1</f>
        <v>-7.4271690649878597E-3</v>
      </c>
      <c r="C157" s="7">
        <f>'Price Data'!C158/'Price Data'!C157-1</f>
        <v>-9.3824302012429639E-3</v>
      </c>
      <c r="D157" s="7">
        <f>'Price Data'!D158/'Price Data'!D157-1</f>
        <v>-1.0318399805219203E-3</v>
      </c>
      <c r="E157" s="7">
        <f>'Price Data'!E158/'Price Data'!E157-1</f>
        <v>-7.7525007588918893E-4</v>
      </c>
    </row>
    <row r="158" spans="1:5" ht="15" customHeight="1" x14ac:dyDescent="0.2">
      <c r="A158" s="4" t="s">
        <v>160</v>
      </c>
      <c r="B158" s="7">
        <f>'Price Data'!B159/'Price Data'!B158-1</f>
        <v>-9.9767302969708815E-3</v>
      </c>
      <c r="C158" s="7">
        <f>'Price Data'!C159/'Price Data'!C158-1</f>
        <v>-3.8637786252413431E-3</v>
      </c>
      <c r="D158" s="7">
        <f>'Price Data'!D159/'Price Data'!D158-1</f>
        <v>-9.106062584020802E-3</v>
      </c>
      <c r="E158" s="7">
        <f>'Price Data'!E159/'Price Data'!E158-1</f>
        <v>8.5906105628641427E-5</v>
      </c>
    </row>
    <row r="159" spans="1:5" ht="15" customHeight="1" x14ac:dyDescent="0.2">
      <c r="A159" s="4" t="s">
        <v>161</v>
      </c>
      <c r="B159" s="7">
        <f>'Price Data'!B160/'Price Data'!B159-1</f>
        <v>-7.5140225100833735E-4</v>
      </c>
      <c r="C159" s="7">
        <f>'Price Data'!C160/'Price Data'!C159-1</f>
        <v>-9.8837845263468616E-3</v>
      </c>
      <c r="D159" s="7">
        <f>'Price Data'!D160/'Price Data'!D159-1</f>
        <v>4.8316457290682457E-3</v>
      </c>
      <c r="E159" s="7">
        <f>'Price Data'!E160/'Price Data'!E159-1</f>
        <v>1.724908057546104E-3</v>
      </c>
    </row>
    <row r="160" spans="1:5" ht="15" customHeight="1" x14ac:dyDescent="0.2">
      <c r="A160" s="4" t="s">
        <v>162</v>
      </c>
      <c r="B160" s="7">
        <f>'Price Data'!B161/'Price Data'!B160-1</f>
        <v>8.9791568164170332E-3</v>
      </c>
      <c r="C160" s="7">
        <f>'Price Data'!C161/'Price Data'!C160-1</f>
        <v>3.9172591982468141E-3</v>
      </c>
      <c r="D160" s="7">
        <f>'Price Data'!D161/'Price Data'!D160-1</f>
        <v>4.9972348006430689E-3</v>
      </c>
      <c r="E160" s="7">
        <f>'Price Data'!E161/'Price Data'!E160-1</f>
        <v>8.6289160051489233E-5</v>
      </c>
    </row>
    <row r="161" spans="1:5" ht="15" customHeight="1" x14ac:dyDescent="0.2">
      <c r="A161" s="4" t="s">
        <v>163</v>
      </c>
      <c r="B161" s="7">
        <f>'Price Data'!B162/'Price Data'!B161-1</f>
        <v>9.6884358767941325E-3</v>
      </c>
      <c r="C161" s="7">
        <f>'Price Data'!C162/'Price Data'!C161-1</f>
        <v>9.3140200619006297E-3</v>
      </c>
      <c r="D161" s="7">
        <f>'Price Data'!D162/'Price Data'!D161-1</f>
        <v>-1.8763117527836881E-3</v>
      </c>
      <c r="E161" s="7">
        <f>'Price Data'!E162/'Price Data'!E161-1</f>
        <v>0</v>
      </c>
    </row>
    <row r="162" spans="1:5" ht="15" customHeight="1" x14ac:dyDescent="0.2">
      <c r="A162" s="4" t="s">
        <v>164</v>
      </c>
      <c r="B162" s="7">
        <f>'Price Data'!B163/'Price Data'!B162-1</f>
        <v>3.5601499698687533E-3</v>
      </c>
      <c r="C162" s="7">
        <f>'Price Data'!C163/'Price Data'!C162-1</f>
        <v>2.1201395325110006E-3</v>
      </c>
      <c r="D162" s="7">
        <f>'Price Data'!D163/'Price Data'!D162-1</f>
        <v>-4.4177213946808847E-3</v>
      </c>
      <c r="E162" s="7">
        <f>'Price Data'!E163/'Price Data'!E162-1</f>
        <v>-1.4635593560518023E-3</v>
      </c>
    </row>
    <row r="163" spans="1:5" ht="15" customHeight="1" x14ac:dyDescent="0.2">
      <c r="A163" s="4" t="s">
        <v>165</v>
      </c>
      <c r="B163" s="7">
        <f>'Price Data'!B164/'Price Data'!B163-1</f>
        <v>2.8555629804012383E-3</v>
      </c>
      <c r="C163" s="7">
        <f>'Price Data'!C164/'Price Data'!C163-1</f>
        <v>3.7329841657740559E-4</v>
      </c>
      <c r="D163" s="7">
        <f>'Price Data'!D164/'Price Data'!D163-1</f>
        <v>-6.6087622358335096E-4</v>
      </c>
      <c r="E163" s="7">
        <f>'Price Data'!E164/'Price Data'!E163-1</f>
        <v>-1.8968212418104535E-3</v>
      </c>
    </row>
    <row r="164" spans="1:5" ht="15" customHeight="1" x14ac:dyDescent="0.2">
      <c r="A164" s="4" t="s">
        <v>166</v>
      </c>
      <c r="B164" s="7">
        <f>'Price Data'!B165/'Price Data'!B164-1</f>
        <v>-6.6869143813143017E-3</v>
      </c>
      <c r="C164" s="7">
        <f>'Price Data'!C165/'Price Data'!C164-1</f>
        <v>-5.2245609131439386E-3</v>
      </c>
      <c r="D164" s="7">
        <f>'Price Data'!D165/'Price Data'!D164-1</f>
        <v>3.7804303681121532E-4</v>
      </c>
      <c r="E164" s="7">
        <f>'Price Data'!E165/'Price Data'!E164-1</f>
        <v>8.6109436761239166E-5</v>
      </c>
    </row>
    <row r="165" spans="1:5" ht="15" customHeight="1" x14ac:dyDescent="0.2">
      <c r="A165" s="4" t="s">
        <v>167</v>
      </c>
      <c r="B165" s="7">
        <f>'Price Data'!B166/'Price Data'!B165-1</f>
        <v>1.0770775586544712E-2</v>
      </c>
      <c r="C165" s="7">
        <f>'Price Data'!C166/'Price Data'!C165-1</f>
        <v>9.1280433185889631E-3</v>
      </c>
      <c r="D165" s="7">
        <f>'Price Data'!D166/'Price Data'!D165-1</f>
        <v>1.0482364076431994E-2</v>
      </c>
      <c r="E165" s="7">
        <f>'Price Data'!E166/'Price Data'!E165-1</f>
        <v>2.7638286329028094E-3</v>
      </c>
    </row>
    <row r="166" spans="1:5" ht="15" customHeight="1" x14ac:dyDescent="0.2">
      <c r="A166" s="4" t="s">
        <v>168</v>
      </c>
      <c r="B166" s="7">
        <f>'Price Data'!B167/'Price Data'!B166-1</f>
        <v>3.7813117905620697E-3</v>
      </c>
      <c r="C166" s="7">
        <f>'Price Data'!C167/'Price Data'!C166-1</f>
        <v>-2.4755899307560281E-4</v>
      </c>
      <c r="D166" s="7">
        <f>'Price Data'!D167/'Price Data'!D166-1</f>
        <v>1.0000248859136418E-2</v>
      </c>
      <c r="E166" s="7">
        <f>'Price Data'!E167/'Price Data'!E166-1</f>
        <v>1.1198573599486839E-3</v>
      </c>
    </row>
    <row r="167" spans="1:5" ht="15" customHeight="1" x14ac:dyDescent="0.2">
      <c r="A167" s="4" t="s">
        <v>169</v>
      </c>
      <c r="B167" s="7">
        <f>'Price Data'!B168/'Price Data'!B167-1</f>
        <v>-1.8833935441954219E-3</v>
      </c>
      <c r="C167" s="7">
        <f>'Price Data'!C168/'Price Data'!C167-1</f>
        <v>-4.9568335950755937E-4</v>
      </c>
      <c r="D167" s="7">
        <f>'Price Data'!D168/'Price Data'!D167-1</f>
        <v>4.7190654985824754E-3</v>
      </c>
      <c r="E167" s="7">
        <f>'Price Data'!E168/'Price Data'!E167-1</f>
        <v>-1.4627552674332245E-3</v>
      </c>
    </row>
    <row r="168" spans="1:5" ht="15" customHeight="1" x14ac:dyDescent="0.2">
      <c r="A168" s="4" t="s">
        <v>170</v>
      </c>
      <c r="B168" s="7">
        <f>'Price Data'!B169/'Price Data'!B168-1</f>
        <v>1.7582823317527918E-3</v>
      </c>
      <c r="C168" s="7">
        <f>'Price Data'!C169/'Price Data'!C168-1</f>
        <v>9.052424188896957E-3</v>
      </c>
      <c r="D168" s="7">
        <f>'Price Data'!D169/'Price Data'!D168-1</f>
        <v>1.602467433182464E-2</v>
      </c>
      <c r="E168" s="7">
        <f>'Price Data'!E169/'Price Data'!E168-1</f>
        <v>3.1956374315322833E-4</v>
      </c>
    </row>
    <row r="169" spans="1:5" ht="15" customHeight="1" x14ac:dyDescent="0.2">
      <c r="A169" s="4" t="s">
        <v>171</v>
      </c>
      <c r="B169" s="7">
        <f>'Price Data'!B170/'Price Data'!B169-1</f>
        <v>3.3821633695305664E-3</v>
      </c>
      <c r="C169" s="7">
        <f>'Price Data'!C170/'Price Data'!C169-1</f>
        <v>4.0556437127088341E-3</v>
      </c>
      <c r="D169" s="7">
        <f>'Price Data'!D170/'Price Data'!D169-1</f>
        <v>5.2575907708174441E-3</v>
      </c>
      <c r="E169" s="7">
        <f>'Price Data'!E170/'Price Data'!E169-1</f>
        <v>1.0350188295411566E-3</v>
      </c>
    </row>
    <row r="170" spans="1:5" ht="15" customHeight="1" x14ac:dyDescent="0.2">
      <c r="A170" s="4" t="s">
        <v>172</v>
      </c>
      <c r="B170" s="7">
        <f>'Price Data'!B171/'Price Data'!B170-1</f>
        <v>-3.4148981881687579E-4</v>
      </c>
      <c r="C170" s="7">
        <f>'Price Data'!C171/'Price Data'!C170-1</f>
        <v>4.5287567857568156E-3</v>
      </c>
      <c r="D170" s="7">
        <f>'Price Data'!D171/'Price Data'!D170-1</f>
        <v>1.804975295602862E-4</v>
      </c>
      <c r="E170" s="7">
        <f>'Price Data'!E171/'Price Data'!E170-1</f>
        <v>-1.7234783748926175E-3</v>
      </c>
    </row>
    <row r="171" spans="1:5" ht="15" customHeight="1" x14ac:dyDescent="0.2">
      <c r="A171" s="4" t="s">
        <v>173</v>
      </c>
      <c r="B171" s="7">
        <f>'Price Data'!B172/'Price Data'!B171-1</f>
        <v>-4.3107383820455425E-3</v>
      </c>
      <c r="C171" s="7">
        <f>'Price Data'!C172/'Price Data'!C171-1</f>
        <v>7.3114974303711833E-4</v>
      </c>
      <c r="D171" s="7">
        <f>'Price Data'!D172/'Price Data'!D171-1</f>
        <v>-1.1269348823256253E-2</v>
      </c>
      <c r="E171" s="7">
        <f>'Price Data'!E172/'Price Data'!E171-1</f>
        <v>-2.6757994791146711E-3</v>
      </c>
    </row>
    <row r="172" spans="1:5" ht="15" customHeight="1" x14ac:dyDescent="0.2">
      <c r="A172" s="4" t="s">
        <v>174</v>
      </c>
      <c r="B172" s="7">
        <f>'Price Data'!B173/'Price Data'!B172-1</f>
        <v>-2.3578177521783594E-3</v>
      </c>
      <c r="C172" s="7">
        <f>'Price Data'!C173/'Price Data'!C172-1</f>
        <v>-7.9142225370806285E-3</v>
      </c>
      <c r="D172" s="7">
        <f>'Price Data'!D173/'Price Data'!D172-1</f>
        <v>5.0150936724946416E-3</v>
      </c>
      <c r="E172" s="7">
        <f>'Price Data'!E173/'Price Data'!E172-1</f>
        <v>1.6443115997877289E-3</v>
      </c>
    </row>
    <row r="173" spans="1:5" ht="15" customHeight="1" x14ac:dyDescent="0.2">
      <c r="A173" s="4" t="s">
        <v>175</v>
      </c>
      <c r="B173" s="7">
        <f>'Price Data'!B174/'Price Data'!B173-1</f>
        <v>-3.480314646099103E-3</v>
      </c>
      <c r="C173" s="7">
        <f>'Price Data'!C174/'Price Data'!C173-1</f>
        <v>-1.718515322889802E-3</v>
      </c>
      <c r="D173" s="7">
        <f>'Price Data'!D174/'Price Data'!D173-1</f>
        <v>-2.0323158639989458E-2</v>
      </c>
      <c r="E173" s="7">
        <f>'Price Data'!E174/'Price Data'!E173-1</f>
        <v>3.1972092822514231E-3</v>
      </c>
    </row>
    <row r="174" spans="1:5" ht="15" customHeight="1" x14ac:dyDescent="0.2">
      <c r="A174" s="4" t="s">
        <v>176</v>
      </c>
      <c r="B174" s="7">
        <f>'Price Data'!B175/'Price Data'!B174-1</f>
        <v>-7.9337096987719402E-3</v>
      </c>
      <c r="C174" s="7">
        <f>'Price Data'!C175/'Price Data'!C174-1</f>
        <v>-2.2126959316831618E-3</v>
      </c>
      <c r="D174" s="7">
        <f>'Price Data'!D175/'Price Data'!D174-1</f>
        <v>-1.4632232096328912E-2</v>
      </c>
      <c r="E174" s="7">
        <f>'Price Data'!E175/'Price Data'!E174-1</f>
        <v>-1.9811120564489082E-3</v>
      </c>
    </row>
    <row r="175" spans="1:5" ht="15" customHeight="1" x14ac:dyDescent="0.2">
      <c r="A175" s="4" t="s">
        <v>177</v>
      </c>
      <c r="B175" s="7">
        <f>'Price Data'!B176/'Price Data'!B175-1</f>
        <v>2.260075336315559E-3</v>
      </c>
      <c r="C175" s="7">
        <f>'Price Data'!C176/'Price Data'!C175-1</f>
        <v>7.8855680416061169E-3</v>
      </c>
      <c r="D175" s="7">
        <f>'Price Data'!D176/'Price Data'!D175-1</f>
        <v>6.7669054674435181E-3</v>
      </c>
      <c r="E175" s="7">
        <f>'Price Data'!E176/'Price Data'!E175-1</f>
        <v>1.2945207040160334E-3</v>
      </c>
    </row>
    <row r="176" spans="1:5" ht="15" customHeight="1" x14ac:dyDescent="0.2">
      <c r="A176" s="4" t="s">
        <v>178</v>
      </c>
      <c r="B176" s="7">
        <f>'Price Data'!B177/'Price Data'!B176-1</f>
        <v>-6.0275669415601474E-3</v>
      </c>
      <c r="C176" s="7">
        <f>'Price Data'!C177/'Price Data'!C176-1</f>
        <v>-4.1563844281105045E-3</v>
      </c>
      <c r="D176" s="7">
        <f>'Price Data'!D177/'Price Data'!D176-1</f>
        <v>-1.7737242305059242E-3</v>
      </c>
      <c r="E176" s="7">
        <f>'Price Data'!E177/'Price Data'!E176-1</f>
        <v>2.2410323340944505E-3</v>
      </c>
    </row>
    <row r="177" spans="1:5" ht="15" customHeight="1" x14ac:dyDescent="0.2">
      <c r="A177" s="4" t="s">
        <v>179</v>
      </c>
      <c r="B177" s="7">
        <f>'Price Data'!B178/'Price Data'!B177-1</f>
        <v>8.2455135524788226E-3</v>
      </c>
      <c r="C177" s="7">
        <f>'Price Data'!C178/'Price Data'!C177-1</f>
        <v>2.9461702582274096E-3</v>
      </c>
      <c r="D177" s="7">
        <f>'Price Data'!D178/'Price Data'!D177-1</f>
        <v>3.1795270691263866E-3</v>
      </c>
      <c r="E177" s="7">
        <f>'Price Data'!E178/'Price Data'!E177-1</f>
        <v>-9.4598837489856535E-4</v>
      </c>
    </row>
    <row r="178" spans="1:5" ht="15" customHeight="1" x14ac:dyDescent="0.2">
      <c r="A178" s="4" t="s">
        <v>180</v>
      </c>
      <c r="B178" s="7">
        <f>'Price Data'!B179/'Price Data'!B178-1</f>
        <v>-9.0872288987375871E-4</v>
      </c>
      <c r="C178" s="7">
        <f>'Price Data'!C179/'Price Data'!C178-1</f>
        <v>-1.5912409493181734E-3</v>
      </c>
      <c r="D178" s="7">
        <f>'Price Data'!D179/'Price Data'!D178-1</f>
        <v>8.3916464848332595E-4</v>
      </c>
      <c r="E178" s="7">
        <f>'Price Data'!E179/'Price Data'!E178-1</f>
        <v>-1.7214678792288884E-3</v>
      </c>
    </row>
    <row r="179" spans="1:5" ht="15" customHeight="1" x14ac:dyDescent="0.2">
      <c r="A179" s="4" t="s">
        <v>181</v>
      </c>
      <c r="B179" s="7">
        <f>'Price Data'!B180/'Price Data'!B179-1</f>
        <v>-8.0125554822684242E-3</v>
      </c>
      <c r="C179" s="7">
        <f>'Price Data'!C180/'Price Data'!C179-1</f>
        <v>-1.3117539331761296E-2</v>
      </c>
      <c r="D179" s="7">
        <f>'Price Data'!D180/'Price Data'!D179-1</f>
        <v>-8.9418907572069717E-3</v>
      </c>
      <c r="E179" s="7">
        <f>'Price Data'!E180/'Price Data'!E179-1</f>
        <v>-8.6244896587250874E-4</v>
      </c>
    </row>
    <row r="180" spans="1:5" ht="15" customHeight="1" x14ac:dyDescent="0.2">
      <c r="A180" s="4" t="s">
        <v>182</v>
      </c>
      <c r="B180" s="7">
        <f>'Price Data'!B181/'Price Data'!B180-1</f>
        <v>-1.7332987850752435E-2</v>
      </c>
      <c r="C180" s="7">
        <f>'Price Data'!C181/'Price Data'!C180-1</f>
        <v>-1.8509318672023212E-2</v>
      </c>
      <c r="D180" s="7">
        <f>'Price Data'!D181/'Price Data'!D180-1</f>
        <v>-6.1091844668006434E-3</v>
      </c>
      <c r="E180" s="7">
        <f>'Price Data'!E181/'Price Data'!E180-1</f>
        <v>1.8988253856617732E-3</v>
      </c>
    </row>
    <row r="181" spans="1:5" ht="15" customHeight="1" x14ac:dyDescent="0.2">
      <c r="A181" s="4" t="s">
        <v>183</v>
      </c>
      <c r="B181" s="7">
        <f>'Price Data'!B182/'Price Data'!B181-1</f>
        <v>-8.8936431538066962E-5</v>
      </c>
      <c r="C181" s="7">
        <f>'Price Data'!C182/'Price Data'!C181-1</f>
        <v>9.8722753187017176E-3</v>
      </c>
      <c r="D181" s="7">
        <f>'Price Data'!D182/'Price Data'!D181-1</f>
        <v>4.7291327781162629E-4</v>
      </c>
      <c r="E181" s="7">
        <f>'Price Data'!E182/'Price Data'!E181-1</f>
        <v>4.3066348608244986E-4</v>
      </c>
    </row>
    <row r="182" spans="1:5" ht="15" customHeight="1" x14ac:dyDescent="0.2">
      <c r="A182" s="4" t="s">
        <v>184</v>
      </c>
      <c r="B182" s="7">
        <f>'Price Data'!B183/'Price Data'!B182-1</f>
        <v>1.0086492008971826E-2</v>
      </c>
      <c r="C182" s="7">
        <f>'Price Data'!C183/'Price Data'!C182-1</f>
        <v>5.0130183120447036E-3</v>
      </c>
      <c r="D182" s="7">
        <f>'Price Data'!D183/'Price Data'!D182-1</f>
        <v>9.7352762696296669E-3</v>
      </c>
      <c r="E182" s="7">
        <f>'Price Data'!E183/'Price Data'!E182-1</f>
        <v>3.4415206836535539E-4</v>
      </c>
    </row>
    <row r="183" spans="1:5" ht="15" customHeight="1" x14ac:dyDescent="0.2">
      <c r="A183" s="4" t="s">
        <v>185</v>
      </c>
      <c r="B183" s="7">
        <f>'Price Data'!B184/'Price Data'!B183-1</f>
        <v>1.2185446713674386E-2</v>
      </c>
      <c r="C183" s="7">
        <f>'Price Data'!C184/'Price Data'!C183-1</f>
        <v>1.0849274194392855E-2</v>
      </c>
      <c r="D183" s="7">
        <f>'Price Data'!D184/'Price Data'!D183-1</f>
        <v>-1.9658269450879562E-3</v>
      </c>
      <c r="E183" s="7">
        <f>'Price Data'!E184/'Price Data'!E183-1</f>
        <v>-4.9058387296698758E-3</v>
      </c>
    </row>
    <row r="184" spans="1:5" ht="15" customHeight="1" x14ac:dyDescent="0.2">
      <c r="A184" s="4" t="s">
        <v>186</v>
      </c>
      <c r="B184" s="7">
        <f>'Price Data'!B185/'Price Data'!B184-1</f>
        <v>1.194613356491514E-3</v>
      </c>
      <c r="C184" s="7">
        <f>'Price Data'!C185/'Price Data'!C184-1</f>
        <v>-9.3754857989436502E-3</v>
      </c>
      <c r="D184" s="7">
        <f>'Price Data'!D185/'Price Data'!D184-1</f>
        <v>-1.0692082033620487E-2</v>
      </c>
      <c r="E184" s="7">
        <f>'Price Data'!E185/'Price Data'!E184-1</f>
        <v>-1.7300375974362847E-3</v>
      </c>
    </row>
    <row r="185" spans="1:5" ht="15" customHeight="1" x14ac:dyDescent="0.2">
      <c r="A185" s="4" t="s">
        <v>187</v>
      </c>
      <c r="B185" s="7">
        <f>'Price Data'!B186/'Price Data'!B185-1</f>
        <v>-2.1771381805287815E-3</v>
      </c>
      <c r="C185" s="7">
        <f>'Price Data'!C186/'Price Data'!C185-1</f>
        <v>-6.2314782294214943E-4</v>
      </c>
      <c r="D185" s="7">
        <f>'Price Data'!D186/'Price Data'!D185-1</f>
        <v>-1.345051235434791E-2</v>
      </c>
      <c r="E185" s="7">
        <f>'Price Data'!E186/'Price Data'!E185-1</f>
        <v>-1.3863977363175461E-3</v>
      </c>
    </row>
    <row r="186" spans="1:5" ht="15" customHeight="1" x14ac:dyDescent="0.2">
      <c r="A186" s="4" t="s">
        <v>188</v>
      </c>
      <c r="B186" s="7">
        <f>'Price Data'!B187/'Price Data'!B186-1</f>
        <v>-2.0948137088930063E-2</v>
      </c>
      <c r="C186" s="7">
        <f>'Price Data'!C187/'Price Data'!C186-1</f>
        <v>-2.1806635170456889E-2</v>
      </c>
      <c r="D186" s="7">
        <f>'Price Data'!D187/'Price Data'!D186-1</f>
        <v>-6.7685689621038714E-3</v>
      </c>
      <c r="E186" s="7">
        <f>'Price Data'!E187/'Price Data'!E186-1</f>
        <v>-4.1651223017088457E-3</v>
      </c>
    </row>
    <row r="187" spans="1:5" ht="15" customHeight="1" x14ac:dyDescent="0.2">
      <c r="A187" s="4" t="s">
        <v>189</v>
      </c>
      <c r="B187" s="7">
        <f>'Price Data'!B188/'Price Data'!B187-1</f>
        <v>6.6879732481184284E-4</v>
      </c>
      <c r="C187" s="7">
        <f>'Price Data'!C188/'Price Data'!C187-1</f>
        <v>-2.2928609361750896E-3</v>
      </c>
      <c r="D187" s="7">
        <f>'Price Data'!D188/'Price Data'!D187-1</f>
        <v>7.496164162399177E-3</v>
      </c>
      <c r="E187" s="7">
        <f>'Price Data'!E188/'Price Data'!E187-1</f>
        <v>6.9737548839787777E-4</v>
      </c>
    </row>
    <row r="188" spans="1:5" ht="15" customHeight="1" x14ac:dyDescent="0.2">
      <c r="A188" s="4" t="s">
        <v>190</v>
      </c>
      <c r="B188" s="7">
        <f>'Price Data'!B189/'Price Data'!B188-1</f>
        <v>-1.082435373843893E-2</v>
      </c>
      <c r="C188" s="7">
        <f>'Price Data'!C189/'Price Data'!C188-1</f>
        <v>-3.9582710452698011E-3</v>
      </c>
      <c r="D188" s="7">
        <f>'Price Data'!D189/'Price Data'!D188-1</f>
        <v>-1.6523475700331969E-2</v>
      </c>
      <c r="E188" s="7">
        <f>'Price Data'!E189/'Price Data'!E188-1</f>
        <v>-1.7420295739611902E-4</v>
      </c>
    </row>
    <row r="189" spans="1:5" ht="15" customHeight="1" x14ac:dyDescent="0.2">
      <c r="A189" s="4" t="s">
        <v>191</v>
      </c>
      <c r="B189" s="7">
        <f>'Price Data'!B190/'Price Data'!B189-1</f>
        <v>1.3779768228743272E-2</v>
      </c>
      <c r="C189" s="7">
        <f>'Price Data'!C190/'Price Data'!C189-1</f>
        <v>2.4357114032305116E-3</v>
      </c>
      <c r="D189" s="7">
        <f>'Price Data'!D190/'Price Data'!D189-1</f>
        <v>1.4148351214306576E-2</v>
      </c>
      <c r="E189" s="7">
        <f>'Price Data'!E190/'Price Data'!E189-1</f>
        <v>3.0527726516309528E-3</v>
      </c>
    </row>
    <row r="190" spans="1:5" ht="15" customHeight="1" x14ac:dyDescent="0.2">
      <c r="A190" s="4" t="s">
        <v>192</v>
      </c>
      <c r="B190" s="7">
        <f>'Price Data'!B191/'Price Data'!B190-1</f>
        <v>-1.5058563779043244E-2</v>
      </c>
      <c r="C190" s="7">
        <f>'Price Data'!C191/'Price Data'!C190-1</f>
        <v>-1.0486277253374476E-2</v>
      </c>
      <c r="D190" s="7">
        <f>'Price Data'!D191/'Price Data'!D190-1</f>
        <v>1.9397858081227071E-4</v>
      </c>
      <c r="E190" s="7">
        <f>'Price Data'!E191/'Price Data'!E190-1</f>
        <v>-6.958963258505424E-4</v>
      </c>
    </row>
    <row r="191" spans="1:5" ht="15" customHeight="1" x14ac:dyDescent="0.2">
      <c r="A191" s="4" t="s">
        <v>193</v>
      </c>
      <c r="B191" s="7">
        <f>'Price Data'!B192/'Price Data'!B191-1</f>
        <v>9.3355546583355764E-3</v>
      </c>
      <c r="C191" s="7">
        <f>'Price Data'!C192/'Price Data'!C191-1</f>
        <v>6.8496897678804736E-3</v>
      </c>
      <c r="D191" s="7">
        <f>'Price Data'!D192/'Price Data'!D191-1</f>
        <v>-6.8773832086469477E-3</v>
      </c>
      <c r="E191" s="7">
        <f>'Price Data'!E192/'Price Data'!E191-1</f>
        <v>-2.3493750744451036E-3</v>
      </c>
    </row>
    <row r="192" spans="1:5" ht="15" customHeight="1" x14ac:dyDescent="0.2">
      <c r="A192" s="4" t="s">
        <v>194</v>
      </c>
      <c r="B192" s="7">
        <f>'Price Data'!B193/'Price Data'!B192-1</f>
        <v>4.1553673926808532E-3</v>
      </c>
      <c r="C192" s="7">
        <f>'Price Data'!C193/'Price Data'!C192-1</f>
        <v>-6.6744774570890453E-3</v>
      </c>
      <c r="D192" s="7">
        <f>'Price Data'!D193/'Price Data'!D192-1</f>
        <v>9.5579824106382105E-3</v>
      </c>
      <c r="E192" s="7">
        <f>'Price Data'!E193/'Price Data'!E192-1</f>
        <v>4.3632128875770171E-4</v>
      </c>
    </row>
    <row r="193" spans="1:5" ht="15" customHeight="1" x14ac:dyDescent="0.2">
      <c r="A193" s="4" t="s">
        <v>195</v>
      </c>
      <c r="B193" s="7">
        <f>'Price Data'!B194/'Price Data'!B193-1</f>
        <v>9.6117622553950621E-3</v>
      </c>
      <c r="C193" s="7">
        <f>'Price Data'!C194/'Price Data'!C193-1</f>
        <v>7.7531832179680293E-3</v>
      </c>
      <c r="D193" s="7">
        <f>'Price Data'!D194/'Price Data'!D193-1</f>
        <v>2.705073886635434E-3</v>
      </c>
      <c r="E193" s="7">
        <f>'Price Data'!E194/'Price Data'!E193-1</f>
        <v>-2.7900892278823752E-3</v>
      </c>
    </row>
    <row r="194" spans="1:5" ht="15" customHeight="1" x14ac:dyDescent="0.2">
      <c r="A194" s="4" t="s">
        <v>196</v>
      </c>
      <c r="B194" s="7">
        <f>'Price Data'!B195/'Price Data'!B194-1</f>
        <v>-2.2036697051094345E-3</v>
      </c>
      <c r="C194" s="7">
        <f>'Price Data'!C195/'Price Data'!C194-1</f>
        <v>-1.2836679420091812E-4</v>
      </c>
      <c r="D194" s="7">
        <f>'Price Data'!D195/'Price Data'!D194-1</f>
        <v>-9.4420396434635734E-3</v>
      </c>
      <c r="E194" s="7">
        <f>'Price Data'!E195/'Price Data'!E194-1</f>
        <v>-2.1853547053295452E-3</v>
      </c>
    </row>
    <row r="195" spans="1:5" ht="15" customHeight="1" x14ac:dyDescent="0.2">
      <c r="A195" s="4" t="s">
        <v>197</v>
      </c>
      <c r="B195" s="7">
        <f>'Price Data'!B196/'Price Data'!B195-1</f>
        <v>-7.2001391785276869E-3</v>
      </c>
      <c r="C195" s="7">
        <f>'Price Data'!C196/'Price Data'!C195-1</f>
        <v>-3.2060315630449976E-3</v>
      </c>
      <c r="D195" s="7">
        <f>'Price Data'!D196/'Price Data'!D195-1</f>
        <v>2.5288287279379151E-3</v>
      </c>
      <c r="E195" s="7">
        <f>'Price Data'!E196/'Price Data'!E195-1</f>
        <v>-1.5774289772658712E-3</v>
      </c>
    </row>
    <row r="196" spans="1:5" ht="15" customHeight="1" x14ac:dyDescent="0.2">
      <c r="A196" s="4" t="s">
        <v>198</v>
      </c>
      <c r="B196" s="7">
        <f>'Price Data'!B197/'Price Data'!B196-1</f>
        <v>-7.1182814322878762E-4</v>
      </c>
      <c r="C196" s="7">
        <f>'Price Data'!C197/'Price Data'!C196-1</f>
        <v>5.146103260089685E-4</v>
      </c>
      <c r="D196" s="7">
        <f>'Price Data'!D197/'Price Data'!D196-1</f>
        <v>1.3097946281463768E-2</v>
      </c>
      <c r="E196" s="7">
        <f>'Price Data'!E197/'Price Data'!E196-1</f>
        <v>3.68622225876436E-3</v>
      </c>
    </row>
    <row r="197" spans="1:5" ht="15" customHeight="1" x14ac:dyDescent="0.2">
      <c r="A197" s="4" t="s">
        <v>199</v>
      </c>
      <c r="B197" s="7">
        <f>'Price Data'!B198/'Price Data'!B197-1</f>
        <v>4.5414093326114902E-3</v>
      </c>
      <c r="C197" s="7">
        <f>'Price Data'!C198/'Price Data'!C197-1</f>
        <v>9.901182248541085E-3</v>
      </c>
      <c r="D197" s="7">
        <f>'Price Data'!D198/'Price Data'!D197-1</f>
        <v>7.2783809557921408E-3</v>
      </c>
      <c r="E197" s="7">
        <f>'Price Data'!E198/'Price Data'!E197-1</f>
        <v>2.2728357581827119E-3</v>
      </c>
    </row>
    <row r="198" spans="1:5" ht="15" customHeight="1" x14ac:dyDescent="0.2">
      <c r="A198" s="4" t="s">
        <v>200</v>
      </c>
      <c r="B198" s="7">
        <f>'Price Data'!B199/'Price Data'!B198-1</f>
        <v>1.6620954335781368E-2</v>
      </c>
      <c r="C198" s="7">
        <f>'Price Data'!C199/'Price Data'!C198-1</f>
        <v>9.9310092942372918E-3</v>
      </c>
      <c r="D198" s="7">
        <f>'Price Data'!D199/'Price Data'!D198-1</f>
        <v>1.2169657784505183E-2</v>
      </c>
      <c r="E198" s="7">
        <f>'Price Data'!E199/'Price Data'!E198-1</f>
        <v>1.9196980567994792E-3</v>
      </c>
    </row>
    <row r="199" spans="1:5" ht="15" customHeight="1" x14ac:dyDescent="0.2">
      <c r="A199" s="4" t="s">
        <v>201</v>
      </c>
      <c r="B199" s="7">
        <f>'Price Data'!B200/'Price Data'!B199-1</f>
        <v>5.9293582867587791E-3</v>
      </c>
      <c r="C199" s="7">
        <f>'Price Data'!C200/'Price Data'!C199-1</f>
        <v>8.3206950013015035E-3</v>
      </c>
      <c r="D199" s="7">
        <f>'Price Data'!D200/'Price Data'!D199-1</f>
        <v>-7.5152335173023221E-4</v>
      </c>
      <c r="E199" s="7">
        <f>'Price Data'!E200/'Price Data'!E199-1</f>
        <v>-2.4385073081549802E-3</v>
      </c>
    </row>
    <row r="200" spans="1:5" ht="15" customHeight="1" x14ac:dyDescent="0.2">
      <c r="A200" s="4" t="s">
        <v>202</v>
      </c>
      <c r="B200" s="7">
        <f>'Price Data'!B201/'Price Data'!B200-1</f>
        <v>3.6404372088547632E-3</v>
      </c>
      <c r="C200" s="7">
        <f>'Price Data'!C201/'Price Data'!C200-1</f>
        <v>-4.2509657631439879E-3</v>
      </c>
      <c r="D200" s="7">
        <f>'Price Data'!D201/'Price Data'!D200-1</f>
        <v>2.5380289734191486E-3</v>
      </c>
      <c r="E200" s="7">
        <f>'Price Data'!E201/'Price Data'!E200-1</f>
        <v>-6.9819738060172831E-4</v>
      </c>
    </row>
    <row r="201" spans="1:5" ht="15" customHeight="1" x14ac:dyDescent="0.2">
      <c r="A201" s="4" t="s">
        <v>203</v>
      </c>
      <c r="B201" s="7">
        <f>'Price Data'!B202/'Price Data'!B201-1</f>
        <v>7.2981479145985961E-3</v>
      </c>
      <c r="C201" s="7">
        <f>'Price Data'!C202/'Price Data'!C201-1</f>
        <v>6.0271092639654356E-3</v>
      </c>
      <c r="D201" s="7">
        <f>'Price Data'!D202/'Price Data'!D201-1</f>
        <v>4.6887612838975024E-4</v>
      </c>
      <c r="E201" s="7">
        <f>'Price Data'!E202/'Price Data'!E201-1</f>
        <v>-2.8820959000274149E-3</v>
      </c>
    </row>
    <row r="202" spans="1:5" ht="15" customHeight="1" x14ac:dyDescent="0.2">
      <c r="A202" s="4" t="s">
        <v>204</v>
      </c>
      <c r="B202" s="7">
        <f>'Price Data'!B203/'Price Data'!B202-1</f>
        <v>3.9012297459555256E-3</v>
      </c>
      <c r="C202" s="7">
        <f>'Price Data'!C203/'Price Data'!C202-1</f>
        <v>3.4947040497741444E-3</v>
      </c>
      <c r="D202" s="7">
        <f>'Price Data'!D203/'Price Data'!D202-1</f>
        <v>1.5745028879377898E-2</v>
      </c>
      <c r="E202" s="7">
        <f>'Price Data'!E203/'Price Data'!E202-1</f>
        <v>-7.0062668681714069E-4</v>
      </c>
    </row>
    <row r="203" spans="1:5" ht="15" customHeight="1" x14ac:dyDescent="0.2">
      <c r="A203" s="4" t="s">
        <v>205</v>
      </c>
      <c r="B203" s="7">
        <f>'Price Data'!B204/'Price Data'!B203-1</f>
        <v>2.7330336931805643E-3</v>
      </c>
      <c r="C203" s="7">
        <f>'Price Data'!C204/'Price Data'!C203-1</f>
        <v>-4.7262797661256073E-3</v>
      </c>
      <c r="D203" s="7">
        <f>'Price Data'!D204/'Price Data'!D203-1</f>
        <v>1.3841752800334284E-3</v>
      </c>
      <c r="E203" s="7">
        <f>'Price Data'!E204/'Price Data'!E203-1</f>
        <v>-2.1041343941781143E-3</v>
      </c>
    </row>
    <row r="204" spans="1:5" ht="15" customHeight="1" x14ac:dyDescent="0.2">
      <c r="A204" s="4" t="s">
        <v>206</v>
      </c>
      <c r="B204" s="7">
        <f>'Price Data'!B205/'Price Data'!B204-1</f>
        <v>-1.9162334041509244E-3</v>
      </c>
      <c r="C204" s="7">
        <f>'Price Data'!C205/'Price Data'!C204-1</f>
        <v>5.9983759095321165E-3</v>
      </c>
      <c r="D204" s="7">
        <f>'Price Data'!D205/'Price Data'!D204-1</f>
        <v>4.6990642257371817E-3</v>
      </c>
      <c r="E204" s="7">
        <f>'Price Data'!E205/'Price Data'!E204-1</f>
        <v>1.9327851397881179E-3</v>
      </c>
    </row>
    <row r="205" spans="1:5" ht="15" customHeight="1" x14ac:dyDescent="0.2">
      <c r="A205" s="4" t="s">
        <v>207</v>
      </c>
      <c r="B205" s="7">
        <f>'Price Data'!B206/'Price Data'!B205-1</f>
        <v>6.1442348639464406E-3</v>
      </c>
      <c r="C205" s="7">
        <f>'Price Data'!C206/'Price Data'!C205-1</f>
        <v>-1.987610604937573E-3</v>
      </c>
      <c r="D205" s="7">
        <f>'Price Data'!D206/'Price Data'!D205-1</f>
        <v>3.2097717151098326E-3</v>
      </c>
      <c r="E205" s="7">
        <f>'Price Data'!E206/'Price Data'!E205-1</f>
        <v>9.6437218285605475E-4</v>
      </c>
    </row>
    <row r="206" spans="1:5" ht="15" customHeight="1" x14ac:dyDescent="0.2">
      <c r="A206" s="4" t="s">
        <v>208</v>
      </c>
      <c r="B206" s="7">
        <f>'Price Data'!B207/'Price Data'!B206-1</f>
        <v>-3.8159609433496833E-4</v>
      </c>
      <c r="C206" s="7">
        <f>'Price Data'!C207/'Price Data'!C206-1</f>
        <v>1.9915690687390963E-3</v>
      </c>
      <c r="D206" s="7">
        <f>'Price Data'!D207/'Price Data'!D206-1</f>
        <v>2.7425383242623003E-3</v>
      </c>
      <c r="E206" s="7">
        <f>'Price Data'!E207/'Price Data'!E206-1</f>
        <v>1.8391302038194279E-3</v>
      </c>
    </row>
    <row r="207" spans="1:5" ht="15" customHeight="1" x14ac:dyDescent="0.2">
      <c r="A207" s="4" t="s">
        <v>209</v>
      </c>
      <c r="B207" s="7">
        <f>'Price Data'!B208/'Price Data'!B207-1</f>
        <v>-6.830581896969834E-3</v>
      </c>
      <c r="C207" s="7">
        <f>'Price Data'!C208/'Price Data'!C207-1</f>
        <v>-3.9751102693432738E-3</v>
      </c>
      <c r="D207" s="7">
        <f>'Price Data'!D208/'Price Data'!D207-1</f>
        <v>-8.4784567114523091E-3</v>
      </c>
      <c r="E207" s="7">
        <f>'Price Data'!E208/'Price Data'!E207-1</f>
        <v>3.3225302307260396E-3</v>
      </c>
    </row>
    <row r="208" spans="1:5" ht="15" customHeight="1" x14ac:dyDescent="0.2">
      <c r="A208" s="4" t="s">
        <v>210</v>
      </c>
      <c r="B208" s="7">
        <f>'Price Data'!B209/'Price Data'!B208-1</f>
        <v>1.0679205796272573E-2</v>
      </c>
      <c r="C208" s="7">
        <f>'Price Data'!C209/'Price Data'!C208-1</f>
        <v>9.7282169639656413E-3</v>
      </c>
      <c r="D208" s="7">
        <f>'Price Data'!D209/'Price Data'!D208-1</f>
        <v>1.3975629142834345E-2</v>
      </c>
      <c r="E208" s="7">
        <f>'Price Data'!E209/'Price Data'!E208-1</f>
        <v>-7.8426831940892061E-4</v>
      </c>
    </row>
    <row r="209" spans="1:5" ht="15" customHeight="1" x14ac:dyDescent="0.2">
      <c r="A209" s="4" t="s">
        <v>211</v>
      </c>
      <c r="B209" s="7">
        <f>'Price Data'!B210/'Price Data'!B209-1</f>
        <v>1.3102105535920394E-3</v>
      </c>
      <c r="C209" s="7">
        <f>'Price Data'!C210/'Price Data'!C209-1</f>
        <v>-5.805514118765176E-3</v>
      </c>
      <c r="D209" s="7">
        <f>'Price Data'!D210/'Price Data'!D209-1</f>
        <v>-1.1243991490745953E-2</v>
      </c>
      <c r="E209" s="7">
        <f>'Price Data'!E210/'Price Data'!E209-1</f>
        <v>-2.6180917831020167E-4</v>
      </c>
    </row>
    <row r="210" spans="1:5" ht="15" customHeight="1" x14ac:dyDescent="0.2">
      <c r="A210" s="4" t="s">
        <v>212</v>
      </c>
      <c r="B210" s="7">
        <f>'Price Data'!B211/'Price Data'!B210-1</f>
        <v>4.9808250219758321E-3</v>
      </c>
      <c r="C210" s="7">
        <f>'Price Data'!C211/'Price Data'!C210-1</f>
        <v>9.6908612917878667E-3</v>
      </c>
      <c r="D210" s="7">
        <f>'Price Data'!D211/'Price Data'!D210-1</f>
        <v>4.952397389103691E-3</v>
      </c>
      <c r="E210" s="7">
        <f>'Price Data'!E211/'Price Data'!E210-1</f>
        <v>-6.1146238325548996E-4</v>
      </c>
    </row>
    <row r="211" spans="1:5" ht="15" customHeight="1" x14ac:dyDescent="0.2">
      <c r="A211" s="4" t="s">
        <v>213</v>
      </c>
      <c r="B211" s="7">
        <f>'Price Data'!B212/'Price Data'!B211-1</f>
        <v>3.1081745051122489E-3</v>
      </c>
      <c r="C211" s="7">
        <f>'Price Data'!C212/'Price Data'!C211-1</f>
        <v>-2.091964458691975E-3</v>
      </c>
      <c r="D211" s="7">
        <f>'Price Data'!D212/'Price Data'!D211-1</f>
        <v>4.7453557733843077E-3</v>
      </c>
      <c r="E211" s="7">
        <f>'Price Data'!E212/'Price Data'!E211-1</f>
        <v>2.0105642265864088E-3</v>
      </c>
    </row>
    <row r="212" spans="1:5" ht="15" customHeight="1" x14ac:dyDescent="0.2">
      <c r="A212" s="4" t="s">
        <v>214</v>
      </c>
      <c r="B212" s="7">
        <f>'Price Data'!B213/'Price Data'!B212-1</f>
        <v>7.076090879412078E-3</v>
      </c>
      <c r="C212" s="7">
        <f>'Price Data'!C213/'Price Data'!C212-1</f>
        <v>8.1380708030449611E-3</v>
      </c>
      <c r="D212" s="7">
        <f>'Price Data'!D213/'Price Data'!D212-1</f>
        <v>3.3603924040983557E-3</v>
      </c>
      <c r="E212" s="7">
        <f>'Price Data'!E213/'Price Data'!E212-1</f>
        <v>-2.0065299692106908E-3</v>
      </c>
    </row>
    <row r="213" spans="1:5" ht="15" customHeight="1" x14ac:dyDescent="0.2">
      <c r="A213" s="4" t="s">
        <v>215</v>
      </c>
      <c r="B213" s="7">
        <f>'Price Data'!B214/'Price Data'!B213-1</f>
        <v>3.7834726248207051E-3</v>
      </c>
      <c r="C213" s="7">
        <f>'Price Data'!C214/'Price Data'!C213-1</f>
        <v>-6.1136498784697402E-4</v>
      </c>
      <c r="D213" s="7">
        <f>'Price Data'!D214/'Price Data'!D213-1</f>
        <v>-9.5047511278723018E-3</v>
      </c>
      <c r="E213" s="7">
        <f>'Price Data'!E214/'Price Data'!E213-1</f>
        <v>3.3221532540439469E-3</v>
      </c>
    </row>
    <row r="214" spans="1:5" ht="15" customHeight="1" x14ac:dyDescent="0.2">
      <c r="A214" s="4" t="s">
        <v>216</v>
      </c>
      <c r="B214" s="7">
        <f>'Price Data'!B215/'Price Data'!B214-1</f>
        <v>3.8518608823949751E-3</v>
      </c>
      <c r="C214" s="7">
        <f>'Price Data'!C215/'Price Data'!C214-1</f>
        <v>1.4685233132438746E-3</v>
      </c>
      <c r="D214" s="7">
        <f>'Price Data'!D215/'Price Data'!D214-1</f>
        <v>5.1178500377482283E-3</v>
      </c>
      <c r="E214" s="7">
        <f>'Price Data'!E215/'Price Data'!E214-1</f>
        <v>3.9207312830904506E-3</v>
      </c>
    </row>
    <row r="215" spans="1:5" ht="15" customHeight="1" x14ac:dyDescent="0.2">
      <c r="A215" s="4" t="s">
        <v>217</v>
      </c>
      <c r="B215" s="7">
        <f>'Price Data'!B216/'Price Data'!B215-1</f>
        <v>1.650541272921302E-3</v>
      </c>
      <c r="C215" s="7">
        <f>'Price Data'!C216/'Price Data'!C215-1</f>
        <v>-1.2234300941715848E-4</v>
      </c>
      <c r="D215" s="7">
        <f>'Price Data'!D216/'Price Data'!D215-1</f>
        <v>-8.1837279082164205E-4</v>
      </c>
      <c r="E215" s="7">
        <f>'Price Data'!E216/'Price Data'!E215-1</f>
        <v>-1.8224414897107799E-3</v>
      </c>
    </row>
    <row r="216" spans="1:5" ht="15" customHeight="1" x14ac:dyDescent="0.2">
      <c r="A216" s="4" t="s">
        <v>218</v>
      </c>
      <c r="B216" s="7">
        <f>'Price Data'!B217/'Price Data'!B216-1</f>
        <v>-2.8835867692817985E-3</v>
      </c>
      <c r="C216" s="7">
        <f>'Price Data'!C217/'Price Data'!C216-1</f>
        <v>-2.2000423068270214E-3</v>
      </c>
      <c r="D216" s="7">
        <f>'Price Data'!D217/'Price Data'!D216-1</f>
        <v>1.7291466783642129E-3</v>
      </c>
      <c r="E216" s="7">
        <f>'Price Data'!E217/'Price Data'!E216-1</f>
        <v>2.7819877369250623E-3</v>
      </c>
    </row>
    <row r="217" spans="1:5" ht="15" customHeight="1" x14ac:dyDescent="0.2">
      <c r="A217" s="4" t="s">
        <v>219</v>
      </c>
      <c r="B217" s="7">
        <f>'Price Data'!B218/'Price Data'!B217-1</f>
        <v>-9.8320761999010076E-3</v>
      </c>
      <c r="C217" s="7">
        <f>'Price Data'!C218/'Price Data'!C217-1</f>
        <v>-1.2126146668058113E-2</v>
      </c>
      <c r="D217" s="7">
        <f>'Price Data'!D218/'Price Data'!D217-1</f>
        <v>-4.6331490697182343E-3</v>
      </c>
      <c r="E217" s="7">
        <f>'Price Data'!E218/'Price Data'!E217-1</f>
        <v>-6.7630101478306504E-3</v>
      </c>
    </row>
    <row r="218" spans="1:5" ht="15" customHeight="1" x14ac:dyDescent="0.2">
      <c r="A218" s="4" t="s">
        <v>220</v>
      </c>
      <c r="B218" s="7">
        <f>'Price Data'!B219/'Price Data'!B218-1</f>
        <v>1.2099850622111497E-3</v>
      </c>
      <c r="C218" s="7">
        <f>'Price Data'!C219/'Price Data'!C218-1</f>
        <v>3.5956496968387874E-3</v>
      </c>
      <c r="D218" s="7">
        <f>'Price Data'!D219/'Price Data'!D218-1</f>
        <v>1.6429540701623502E-3</v>
      </c>
      <c r="E218" s="7">
        <f>'Price Data'!E219/'Price Data'!E218-1</f>
        <v>-1.8331009516593388E-3</v>
      </c>
    </row>
    <row r="219" spans="1:5" ht="15" customHeight="1" x14ac:dyDescent="0.2">
      <c r="A219" s="4" t="s">
        <v>221</v>
      </c>
      <c r="B219" s="7">
        <f>'Price Data'!B220/'Price Data'!B219-1</f>
        <v>7.4175761976171817E-3</v>
      </c>
      <c r="C219" s="7">
        <f>'Price Data'!C220/'Price Data'!C219-1</f>
        <v>5.436105458768381E-3</v>
      </c>
      <c r="D219" s="7">
        <f>'Price Data'!D220/'Price Data'!D219-1</f>
        <v>-7.289110607934246E-4</v>
      </c>
      <c r="E219" s="7">
        <f>'Price Data'!E220/'Price Data'!E219-1</f>
        <v>-1.749757192025525E-4</v>
      </c>
    </row>
    <row r="220" spans="1:5" ht="15" customHeight="1" x14ac:dyDescent="0.2">
      <c r="A220" s="4" t="s">
        <v>222</v>
      </c>
      <c r="B220" s="7">
        <f>'Price Data'!B221/'Price Data'!B220-1</f>
        <v>0</v>
      </c>
      <c r="C220" s="7">
        <f>'Price Data'!C221/'Price Data'!C220-1</f>
        <v>-1.8429884462597412E-3</v>
      </c>
      <c r="D220" s="7">
        <f>'Price Data'!D221/'Price Data'!D220-1</f>
        <v>7.0209494016739704E-3</v>
      </c>
      <c r="E220" s="7">
        <f>'Price Data'!E221/'Price Data'!E220-1</f>
        <v>-3.6741220145769526E-3</v>
      </c>
    </row>
    <row r="221" spans="1:5" ht="15" customHeight="1" x14ac:dyDescent="0.2">
      <c r="A221" s="4" t="s">
        <v>223</v>
      </c>
      <c r="B221" s="7">
        <f>'Price Data'!B222/'Price Data'!B221-1</f>
        <v>4.3019106862551837E-3</v>
      </c>
      <c r="C221" s="7">
        <f>'Price Data'!C222/'Price Data'!C221-1</f>
        <v>-2.2162412952235755E-3</v>
      </c>
      <c r="D221" s="7">
        <f>'Price Data'!D222/'Price Data'!D221-1</f>
        <v>-6.6096544002983704E-3</v>
      </c>
      <c r="E221" s="7">
        <f>'Price Data'!E222/'Price Data'!E221-1</f>
        <v>-3.5106921145622305E-4</v>
      </c>
    </row>
    <row r="222" spans="1:5" ht="15" customHeight="1" x14ac:dyDescent="0.2">
      <c r="A222" s="4" t="s">
        <v>224</v>
      </c>
      <c r="B222" s="7">
        <f>'Price Data'!B223/'Price Data'!B222-1</f>
        <v>-4.1188427108382886E-3</v>
      </c>
      <c r="C222" s="7">
        <f>'Price Data'!C223/'Price Data'!C222-1</f>
        <v>-1.2335514535847247E-3</v>
      </c>
      <c r="D222" s="7">
        <f>'Price Data'!D223/'Price Data'!D222-1</f>
        <v>3.0988753040015471E-3</v>
      </c>
      <c r="E222" s="7">
        <f>'Price Data'!E223/'Price Data'!E222-1</f>
        <v>2.3711936866874783E-3</v>
      </c>
    </row>
    <row r="223" spans="1:5" ht="15" customHeight="1" x14ac:dyDescent="0.2">
      <c r="A223" s="4" t="s">
        <v>225</v>
      </c>
      <c r="B223" s="7">
        <f>'Price Data'!B224/'Price Data'!B223-1</f>
        <v>1.5715687623432117E-3</v>
      </c>
      <c r="C223" s="7">
        <f>'Price Data'!C224/'Price Data'!C223-1</f>
        <v>9.8817030950359985E-4</v>
      </c>
      <c r="D223" s="7">
        <f>'Price Data'!D224/'Price Data'!D223-1</f>
        <v>1.8177275950215233E-4</v>
      </c>
      <c r="E223" s="7">
        <f>'Price Data'!E224/'Price Data'!E223-1</f>
        <v>8.7641073769462174E-4</v>
      </c>
    </row>
    <row r="224" spans="1:5" ht="15" customHeight="1" x14ac:dyDescent="0.2">
      <c r="A224" s="4" t="s">
        <v>226</v>
      </c>
      <c r="B224" s="7">
        <f>'Price Data'!B225/'Price Data'!B224-1</f>
        <v>-2.8491780939767786E-3</v>
      </c>
      <c r="C224" s="7">
        <f>'Price Data'!C225/'Price Data'!C224-1</f>
        <v>-8.5154230312086687E-3</v>
      </c>
      <c r="D224" s="7">
        <f>'Price Data'!D225/'Price Data'!D224-1</f>
        <v>-5.9054140322269966E-3</v>
      </c>
      <c r="E224" s="7">
        <f>'Price Data'!E225/'Price Data'!E224-1</f>
        <v>1.9258859670943096E-3</v>
      </c>
    </row>
    <row r="225" spans="1:5" ht="15" customHeight="1" x14ac:dyDescent="0.2">
      <c r="A225" s="4" t="s">
        <v>227</v>
      </c>
      <c r="B225" s="7">
        <f>'Price Data'!B226/'Price Data'!B225-1</f>
        <v>-4.8036608277784998E-3</v>
      </c>
      <c r="C225" s="7">
        <f>'Price Data'!C226/'Price Data'!C225-1</f>
        <v>-5.8502063490558642E-3</v>
      </c>
      <c r="D225" s="7">
        <f>'Price Data'!D226/'Price Data'!D225-1</f>
        <v>-4.9350306896324136E-3</v>
      </c>
      <c r="E225" s="7">
        <f>'Price Data'!E226/'Price Data'!E225-1</f>
        <v>-4.8057320723570163E-3</v>
      </c>
    </row>
    <row r="226" spans="1:5" ht="15" customHeight="1" x14ac:dyDescent="0.2">
      <c r="A226" s="4" t="s">
        <v>228</v>
      </c>
      <c r="B226" s="7">
        <f>'Price Data'!B227/'Price Data'!B226-1</f>
        <v>3.3273385568532987E-4</v>
      </c>
      <c r="C226" s="7">
        <f>'Price Data'!C227/'Price Data'!C226-1</f>
        <v>-1.0014207293184141E-3</v>
      </c>
      <c r="D226" s="7">
        <f>'Price Data'!D227/'Price Data'!D226-1</f>
        <v>8.0820891667969796E-3</v>
      </c>
      <c r="E226" s="7">
        <f>'Price Data'!E227/'Price Data'!E226-1</f>
        <v>-3.9507581908335698E-3</v>
      </c>
    </row>
    <row r="227" spans="1:5" ht="15" customHeight="1" x14ac:dyDescent="0.2">
      <c r="A227" s="4" t="s">
        <v>229</v>
      </c>
      <c r="B227" s="7">
        <f>'Price Data'!B228/'Price Data'!B227-1</f>
        <v>3.3695318659590079E-3</v>
      </c>
      <c r="C227" s="7">
        <f>'Price Data'!C228/'Price Data'!C227-1</f>
        <v>-6.6424619261108431E-3</v>
      </c>
      <c r="D227" s="7">
        <f>'Price Data'!D228/'Price Data'!D227-1</f>
        <v>1.2117358578073834E-2</v>
      </c>
      <c r="E227" s="7">
        <f>'Price Data'!E228/'Price Data'!E227-1</f>
        <v>2.291432139600591E-3</v>
      </c>
    </row>
    <row r="228" spans="1:5" ht="15" customHeight="1" x14ac:dyDescent="0.2">
      <c r="A228" s="4" t="s">
        <v>230</v>
      </c>
      <c r="B228" s="7">
        <f>'Price Data'!B229/'Price Data'!B228-1</f>
        <v>-2.1640906115032998E-2</v>
      </c>
      <c r="C228" s="7">
        <f>'Price Data'!C229/'Price Data'!C228-1</f>
        <v>-2.68736016888802E-2</v>
      </c>
      <c r="D228" s="7">
        <f>'Price Data'!D229/'Price Data'!D228-1</f>
        <v>-2.7815148981307991E-2</v>
      </c>
      <c r="E228" s="7">
        <f>'Price Data'!E229/'Price Data'!E228-1</f>
        <v>7.1237494886831065E-3</v>
      </c>
    </row>
    <row r="229" spans="1:5" ht="15" customHeight="1" x14ac:dyDescent="0.2">
      <c r="A229" s="4" t="s">
        <v>231</v>
      </c>
      <c r="B229" s="7">
        <f>'Price Data'!B230/'Price Data'!B229-1</f>
        <v>9.4070843956473027E-3</v>
      </c>
      <c r="C229" s="7">
        <f>'Price Data'!C230/'Price Data'!C229-1</f>
        <v>5.0562213417972846E-3</v>
      </c>
      <c r="D229" s="7">
        <f>'Price Data'!D230/'Price Data'!D229-1</f>
        <v>7.4073916515187133E-3</v>
      </c>
      <c r="E229" s="7">
        <f>'Price Data'!E230/'Price Data'!E229-1</f>
        <v>5.2379159896021044E-4</v>
      </c>
    </row>
    <row r="230" spans="1:5" ht="15" customHeight="1" x14ac:dyDescent="0.2">
      <c r="A230" s="4" t="s">
        <v>232</v>
      </c>
      <c r="B230" s="7">
        <f>'Price Data'!B231/'Price Data'!B230-1</f>
        <v>-1.9982378280133828E-2</v>
      </c>
      <c r="C230" s="7">
        <f>'Price Data'!C231/'Price Data'!C230-1</f>
        <v>-8.771845947026069E-3</v>
      </c>
      <c r="D230" s="7">
        <f>'Price Data'!D231/'Price Data'!D230-1</f>
        <v>-1.8933897568311653E-2</v>
      </c>
      <c r="E230" s="7">
        <f>'Price Data'!E231/'Price Data'!E230-1</f>
        <v>1.6585552254968494E-3</v>
      </c>
    </row>
    <row r="231" spans="1:5" ht="15" customHeight="1" x14ac:dyDescent="0.2">
      <c r="A231" s="4" t="s">
        <v>233</v>
      </c>
      <c r="B231" s="7">
        <f>'Price Data'!B232/'Price Data'!B231-1</f>
        <v>-1.4092962618229343E-2</v>
      </c>
      <c r="C231" s="7">
        <f>'Price Data'!C232/'Price Data'!C231-1</f>
        <v>-5.7259307746528876E-3</v>
      </c>
      <c r="D231" s="7">
        <f>'Price Data'!D232/'Price Data'!D231-1</f>
        <v>-1.6488423866833579E-2</v>
      </c>
      <c r="E231" s="7">
        <f>'Price Data'!E232/'Price Data'!E231-1</f>
        <v>1.9175216230538084E-4</v>
      </c>
    </row>
    <row r="232" spans="1:5" ht="15" customHeight="1" x14ac:dyDescent="0.2">
      <c r="A232" s="4" t="s">
        <v>234</v>
      </c>
      <c r="B232" s="7">
        <f>'Price Data'!B233/'Price Data'!B232-1</f>
        <v>1.6249573786204063E-2</v>
      </c>
      <c r="C232" s="7">
        <f>'Price Data'!C233/'Price Data'!C232-1</f>
        <v>1.2434261667495949E-2</v>
      </c>
      <c r="D232" s="7">
        <f>'Price Data'!D233/'Price Data'!D232-1</f>
        <v>3.0005417192536576E-2</v>
      </c>
      <c r="E232" s="7">
        <f>'Price Data'!E233/'Price Data'!E232-1</f>
        <v>-1.7467403153248462E-4</v>
      </c>
    </row>
    <row r="233" spans="1:5" ht="15" customHeight="1" x14ac:dyDescent="0.2">
      <c r="A233" s="4" t="s">
        <v>235</v>
      </c>
      <c r="B233" s="7">
        <f>'Price Data'!B234/'Price Data'!B233-1</f>
        <v>-1.1586008062639763E-2</v>
      </c>
      <c r="C233" s="7">
        <f>'Price Data'!C234/'Price Data'!C233-1</f>
        <v>-4.1369928745965678E-3</v>
      </c>
      <c r="D233" s="7">
        <f>'Price Data'!D234/'Price Data'!D233-1</f>
        <v>-3.3291577229266345E-3</v>
      </c>
      <c r="E233" s="7">
        <f>'Price Data'!E234/'Price Data'!E233-1</f>
        <v>4.0137885661257755E-3</v>
      </c>
    </row>
    <row r="234" spans="1:5" ht="15" customHeight="1" x14ac:dyDescent="0.2">
      <c r="A234" s="4" t="s">
        <v>236</v>
      </c>
      <c r="B234" s="7">
        <f>'Price Data'!B235/'Price Data'!B234-1</f>
        <v>1.2846454407376751E-2</v>
      </c>
      <c r="C234" s="7">
        <f>'Price Data'!C235/'Price Data'!C234-1</f>
        <v>9.6067483404342902E-3</v>
      </c>
      <c r="D234" s="7">
        <f>'Price Data'!D235/'Price Data'!D234-1</f>
        <v>1.753748284607437E-2</v>
      </c>
      <c r="E234" s="7">
        <f>'Price Data'!E235/'Price Data'!E234-1</f>
        <v>-3.4760327591423223E-3</v>
      </c>
    </row>
    <row r="235" spans="1:5" ht="15" customHeight="1" x14ac:dyDescent="0.2">
      <c r="A235" s="4" t="s">
        <v>237</v>
      </c>
      <c r="B235" s="7">
        <f>'Price Data'!B236/'Price Data'!B235-1</f>
        <v>2.1395721204144902E-2</v>
      </c>
      <c r="C235" s="7">
        <f>'Price Data'!C236/'Price Data'!C235-1</f>
        <v>2.1087941505843366E-2</v>
      </c>
      <c r="D235" s="7">
        <f>'Price Data'!D236/'Price Data'!D235-1</f>
        <v>1.4407932394457257E-2</v>
      </c>
      <c r="E235" s="7">
        <f>'Price Data'!E236/'Price Data'!E235-1</f>
        <v>-1.570123956705638E-3</v>
      </c>
    </row>
    <row r="236" spans="1:5" ht="15" customHeight="1" x14ac:dyDescent="0.2">
      <c r="A236" s="4" t="s">
        <v>238</v>
      </c>
      <c r="B236" s="7">
        <f>'Price Data'!B237/'Price Data'!B236-1</f>
        <v>4.3063632217854586E-3</v>
      </c>
      <c r="C236" s="7">
        <f>'Price Data'!C237/'Price Data'!C236-1</f>
        <v>1.888821248458239E-3</v>
      </c>
      <c r="D236" s="7">
        <f>'Price Data'!D237/'Price Data'!D236-1</f>
        <v>7.191642885063132E-3</v>
      </c>
      <c r="E236" s="7">
        <f>'Price Data'!E237/'Price Data'!E236-1</f>
        <v>-2.6196700943622586E-3</v>
      </c>
    </row>
    <row r="237" spans="1:5" ht="15" customHeight="1" x14ac:dyDescent="0.2">
      <c r="A237" s="4" t="s">
        <v>239</v>
      </c>
      <c r="B237" s="7">
        <f>'Price Data'!B238/'Price Data'!B237-1</f>
        <v>-9.533673519567909E-3</v>
      </c>
      <c r="C237" s="7">
        <f>'Price Data'!C238/'Price Data'!C237-1</f>
        <v>-8.2955944513751767E-3</v>
      </c>
      <c r="D237" s="7">
        <f>'Price Data'!D238/'Price Data'!D237-1</f>
        <v>-1.4459047106968881E-2</v>
      </c>
      <c r="E237" s="7">
        <f>'Price Data'!E238/'Price Data'!E237-1</f>
        <v>8.7168080900257294E-5</v>
      </c>
    </row>
    <row r="238" spans="1:5" ht="15" customHeight="1" x14ac:dyDescent="0.2">
      <c r="A238" s="4" t="s">
        <v>240</v>
      </c>
      <c r="B238" s="7">
        <f>'Price Data'!B239/'Price Data'!B238-1</f>
        <v>6.8093900221766201E-3</v>
      </c>
      <c r="C238" s="7">
        <f>'Price Data'!C239/'Price Data'!C238-1</f>
        <v>2.1544635109671528E-3</v>
      </c>
      <c r="D238" s="7">
        <f>'Price Data'!D239/'Price Data'!D238-1</f>
        <v>3.0792831144634825E-3</v>
      </c>
      <c r="E238" s="7">
        <f>'Price Data'!E239/'Price Data'!E238-1</f>
        <v>2.6295874618820214E-4</v>
      </c>
    </row>
    <row r="239" spans="1:5" ht="15" customHeight="1" x14ac:dyDescent="0.2">
      <c r="A239" s="4" t="s">
        <v>241</v>
      </c>
      <c r="B239" s="7">
        <f>'Price Data'!B240/'Price Data'!B239-1</f>
        <v>-9.1010402580365968E-3</v>
      </c>
      <c r="C239" s="7">
        <f>'Price Data'!C240/'Price Data'!C239-1</f>
        <v>-9.367253252758112E-3</v>
      </c>
      <c r="D239" s="7">
        <f>'Price Data'!D240/'Price Data'!D239-1</f>
        <v>9.3896834357340975E-3</v>
      </c>
      <c r="E239" s="7">
        <f>'Price Data'!E240/'Price Data'!E239-1</f>
        <v>3.5015155796300768E-3</v>
      </c>
    </row>
    <row r="240" spans="1:5" ht="15" customHeight="1" x14ac:dyDescent="0.2">
      <c r="A240" s="4" t="s">
        <v>242</v>
      </c>
      <c r="B240" s="7">
        <f>'Price Data'!B241/'Price Data'!B240-1</f>
        <v>-7.4996617965377155E-3</v>
      </c>
      <c r="C240" s="7">
        <f>'Price Data'!C241/'Price Data'!C240-1</f>
        <v>-5.3251814177102119E-3</v>
      </c>
      <c r="D240" s="7">
        <f>'Price Data'!D241/'Price Data'!D240-1</f>
        <v>-1.2790806432708357E-2</v>
      </c>
      <c r="E240" s="7">
        <f>'Price Data'!E241/'Price Data'!E240-1</f>
        <v>-1.9189356022929482E-3</v>
      </c>
    </row>
    <row r="241" spans="1:5" ht="15" customHeight="1" x14ac:dyDescent="0.2">
      <c r="A241" s="4" t="s">
        <v>243</v>
      </c>
      <c r="B241" s="7">
        <f>'Price Data'!B242/'Price Data'!B241-1</f>
        <v>1.5409650199072367E-2</v>
      </c>
      <c r="C241" s="7">
        <f>'Price Data'!C242/'Price Data'!C241-1</f>
        <v>1.3580694801454962E-2</v>
      </c>
      <c r="D241" s="7">
        <f>'Price Data'!D242/'Price Data'!D241-1</f>
        <v>1.404367231336856E-2</v>
      </c>
      <c r="E241" s="7">
        <f>'Price Data'!E242/'Price Data'!E241-1</f>
        <v>-7.8688470645116304E-4</v>
      </c>
    </row>
    <row r="242" spans="1:5" ht="15" customHeight="1" x14ac:dyDescent="0.2">
      <c r="A242" s="4" t="s">
        <v>244</v>
      </c>
      <c r="B242" s="7">
        <f>'Price Data'!B243/'Price Data'!B242-1</f>
        <v>-1.1203992675728136E-2</v>
      </c>
      <c r="C242" s="7">
        <f>'Price Data'!C243/'Price Data'!C242-1</f>
        <v>1.2869584963870473E-4</v>
      </c>
      <c r="D242" s="7">
        <f>'Price Data'!D243/'Price Data'!D242-1</f>
        <v>-3.5755336617404598E-4</v>
      </c>
      <c r="E242" s="7">
        <f>'Price Data'!E243/'Price Data'!E242-1</f>
        <v>1.3747734051101634E-3</v>
      </c>
    </row>
    <row r="243" spans="1:5" ht="15" customHeight="1" x14ac:dyDescent="0.2">
      <c r="A243" s="4" t="s">
        <v>245</v>
      </c>
      <c r="B243" s="7">
        <f>'Price Data'!B244/'Price Data'!B243-1</f>
        <v>-4.5663858074190822E-3</v>
      </c>
      <c r="C243" s="7">
        <f>'Price Data'!C244/'Price Data'!C243-1</f>
        <v>-1.2624026255098841E-2</v>
      </c>
      <c r="D243" s="7">
        <f>'Price Data'!D244/'Price Data'!D243-1</f>
        <v>-1.2513505444678996E-3</v>
      </c>
      <c r="E243" s="7">
        <f>'Price Data'!E244/'Price Data'!E243-1</f>
        <v>1.2241178994152335E-3</v>
      </c>
    </row>
    <row r="244" spans="1:5" ht="15" customHeight="1" x14ac:dyDescent="0.2">
      <c r="A244" s="4" t="s">
        <v>246</v>
      </c>
      <c r="B244" s="7">
        <f>'Price Data'!B245/'Price Data'!B244-1</f>
        <v>-1.4058734941843731E-2</v>
      </c>
      <c r="C244" s="7">
        <f>'Price Data'!C245/'Price Data'!C244-1</f>
        <v>-2.2178070691084573E-3</v>
      </c>
      <c r="D244" s="7">
        <f>'Price Data'!D245/'Price Data'!D244-1</f>
        <v>-7.7858400979766706E-3</v>
      </c>
      <c r="E244" s="7">
        <f>'Price Data'!E245/'Price Data'!E244-1</f>
        <v>-1.4850099520996585E-3</v>
      </c>
    </row>
    <row r="245" spans="1:5" ht="15" customHeight="1" x14ac:dyDescent="0.2">
      <c r="A245" s="4" t="s">
        <v>247</v>
      </c>
      <c r="B245" s="7">
        <f>'Price Data'!B246/'Price Data'!B245-1</f>
        <v>1.9601033630957998E-2</v>
      </c>
      <c r="C245" s="7">
        <f>'Price Data'!C246/'Price Data'!C245-1</f>
        <v>1.1113912901456358E-2</v>
      </c>
      <c r="D245" s="7">
        <f>'Price Data'!D246/'Price Data'!D245-1</f>
        <v>1.1274659718060409E-2</v>
      </c>
      <c r="E245" s="7">
        <f>'Price Data'!E246/'Price Data'!E245-1</f>
        <v>-7.8709539068533285E-4</v>
      </c>
    </row>
    <row r="246" spans="1:5" ht="15" customHeight="1" x14ac:dyDescent="0.2">
      <c r="A246" s="4" t="s">
        <v>248</v>
      </c>
      <c r="B246" s="7">
        <f>'Price Data'!B247/'Price Data'!B246-1</f>
        <v>9.8868850132176611E-3</v>
      </c>
      <c r="C246" s="7">
        <f>'Price Data'!C247/'Price Data'!C246-1</f>
        <v>9.3108417432747892E-3</v>
      </c>
      <c r="D246" s="7">
        <f>'Price Data'!D247/'Price Data'!D246-1</f>
        <v>1.025679313496175E-2</v>
      </c>
      <c r="E246" s="7">
        <f>'Price Data'!E247/'Price Data'!E246-1</f>
        <v>8.754550133751593E-4</v>
      </c>
    </row>
    <row r="247" spans="1:5" ht="15" customHeight="1" x14ac:dyDescent="0.2">
      <c r="A247" s="4" t="s">
        <v>249</v>
      </c>
      <c r="B247" s="7">
        <f>'Price Data'!B248/'Price Data'!B247-1</f>
        <v>6.9032285192478504E-3</v>
      </c>
      <c r="C247" s="7">
        <f>'Price Data'!C248/'Price Data'!C247-1</f>
        <v>5.8935804026729599E-3</v>
      </c>
      <c r="D247" s="7">
        <f>'Price Data'!D248/'Price Data'!D247-1</f>
        <v>-1.0594700151324021E-3</v>
      </c>
      <c r="E247" s="7">
        <f>'Price Data'!E248/'Price Data'!E247-1</f>
        <v>-1.2243322339013929E-3</v>
      </c>
    </row>
    <row r="248" spans="1:5" ht="15" customHeight="1" x14ac:dyDescent="0.2">
      <c r="A248" s="4" t="s">
        <v>250</v>
      </c>
      <c r="B248" s="7">
        <f>'Price Data'!B249/'Price Data'!B248-1</f>
        <v>1.3131160495976069E-2</v>
      </c>
      <c r="C248" s="7">
        <f>'Price Data'!C249/'Price Data'!C248-1</f>
        <v>7.7697283815119089E-3</v>
      </c>
      <c r="D248" s="7">
        <f>'Price Data'!D249/'Price Data'!D248-1</f>
        <v>1.6976401709358102E-2</v>
      </c>
      <c r="E248" s="7">
        <f>'Price Data'!E249/'Price Data'!E248-1</f>
        <v>5.2537921831619094E-4</v>
      </c>
    </row>
    <row r="249" spans="1:5" ht="15" customHeight="1" x14ac:dyDescent="0.2">
      <c r="A249" s="4" t="s">
        <v>251</v>
      </c>
      <c r="B249" s="7">
        <f>'Price Data'!B250/'Price Data'!B249-1</f>
        <v>-2.0581961157961626E-3</v>
      </c>
      <c r="C249" s="7">
        <f>'Price Data'!C250/'Price Data'!C249-1</f>
        <v>3.7921174105215449E-4</v>
      </c>
      <c r="D249" s="7">
        <f>'Price Data'!D250/'Price Data'!D249-1</f>
        <v>3.6842096437226246E-3</v>
      </c>
      <c r="E249" s="7">
        <f>'Price Data'!E250/'Price Data'!E249-1</f>
        <v>-4.3730146567766415E-4</v>
      </c>
    </row>
    <row r="250" spans="1:5" ht="15" customHeight="1" x14ac:dyDescent="0.2">
      <c r="A250" s="4" t="s">
        <v>252</v>
      </c>
      <c r="B250" s="7">
        <f>'Price Data'!B251/'Price Data'!B250-1</f>
        <v>5.7764977472807288E-4</v>
      </c>
      <c r="C250" s="7">
        <f>'Price Data'!C251/'Price Data'!C250-1</f>
        <v>-3.7906799401810076E-4</v>
      </c>
      <c r="D250" s="7">
        <f>'Price Data'!D251/'Price Data'!D250-1</f>
        <v>6.7295513420282393E-3</v>
      </c>
      <c r="E250" s="7">
        <f>'Price Data'!E251/'Price Data'!E250-1</f>
        <v>-2.9774051637506682E-3</v>
      </c>
    </row>
    <row r="251" spans="1:5" ht="15" customHeight="1" x14ac:dyDescent="0.2">
      <c r="A251" s="4" t="s">
        <v>253</v>
      </c>
      <c r="B251" s="7">
        <f>'Price Data'!B252/'Price Data'!B251-1</f>
        <v>-1.6077069144445622E-3</v>
      </c>
      <c r="C251" s="7">
        <f>'Price Data'!C252/'Price Data'!C251-1</f>
        <v>-2.6216423174557635E-3</v>
      </c>
      <c r="D251" s="7">
        <f>'Price Data'!D252/'Price Data'!D251-1</f>
        <v>4.3406537131178702E-3</v>
      </c>
      <c r="E251" s="7">
        <f>'Price Data'!E252/'Price Data'!E251-1</f>
        <v>2.1955542849534382E-3</v>
      </c>
    </row>
    <row r="252" spans="1:5" ht="15" customHeight="1" x14ac:dyDescent="0.2">
      <c r="A252" s="4" t="s">
        <v>254</v>
      </c>
      <c r="B252" s="7">
        <f>'Price Data'!B253/'Price Data'!B252-1</f>
        <v>-3.1789766825635057E-3</v>
      </c>
      <c r="C252" s="7">
        <f>'Price Data'!C253/'Price Data'!C252-1</f>
        <v>-8.8889590918761474E-4</v>
      </c>
      <c r="D252" s="7">
        <f>'Price Data'!D253/'Price Data'!D252-1</f>
        <v>2.7659333886183024E-3</v>
      </c>
      <c r="E252" s="7">
        <f>'Price Data'!E253/'Price Data'!E252-1</f>
        <v>-3.503947381718886E-4</v>
      </c>
    </row>
    <row r="253" spans="1:5" ht="15" customHeight="1" x14ac:dyDescent="0.2">
      <c r="A253" s="4" t="s">
        <v>255</v>
      </c>
      <c r="B253" s="7">
        <f>'Price Data'!B254/'Price Data'!B253-1</f>
        <v>6.3369533240642539E-3</v>
      </c>
      <c r="C253" s="7">
        <f>'Price Data'!C254/'Price Data'!C253-1</f>
        <v>6.4819875452750697E-3</v>
      </c>
      <c r="D253" s="7">
        <f>'Price Data'!D254/'Price Data'!D253-1</f>
        <v>-7.8442681481828425E-3</v>
      </c>
      <c r="E253" s="7">
        <f>'Price Data'!E254/'Price Data'!E253-1</f>
        <v>-6.8371917478774469E-3</v>
      </c>
    </row>
    <row r="254" spans="1:5" ht="15" customHeight="1" x14ac:dyDescent="0.2">
      <c r="A254" s="4" t="s">
        <v>256</v>
      </c>
      <c r="B254" s="7">
        <f>'Price Data'!B255/'Price Data'!B254-1</f>
        <v>-1.8935108095154973E-3</v>
      </c>
      <c r="C254" s="7">
        <f>'Price Data'!C255/'Price Data'!C254-1</f>
        <v>5.6826119993154123E-3</v>
      </c>
      <c r="D254" s="7">
        <f>'Price Data'!D255/'Price Data'!D254-1</f>
        <v>-1.2162545323824991E-3</v>
      </c>
      <c r="E254" s="7">
        <f>'Price Data'!E255/'Price Data'!E254-1</f>
        <v>-8.8389232672736462E-5</v>
      </c>
    </row>
    <row r="255" spans="1:5" ht="15" customHeight="1" x14ac:dyDescent="0.2">
      <c r="A255" s="4" t="s">
        <v>257</v>
      </c>
      <c r="B255" s="7">
        <f>'Price Data'!B256/'Price Data'!B255-1</f>
        <v>-2.16896142677937E-2</v>
      </c>
      <c r="C255" s="7">
        <f>'Price Data'!C256/'Price Data'!C255-1</f>
        <v>-8.7896214930061056E-3</v>
      </c>
      <c r="D255" s="7">
        <f>'Price Data'!D256/'Price Data'!D255-1</f>
        <v>-2.8618608105552279E-2</v>
      </c>
      <c r="E255" s="7">
        <f>'Price Data'!E256/'Price Data'!E255-1</f>
        <v>-3.089277101641752E-3</v>
      </c>
    </row>
    <row r="256" spans="1:5" ht="15" customHeight="1" x14ac:dyDescent="0.2">
      <c r="A256" s="4" t="s">
        <v>258</v>
      </c>
      <c r="B256" s="7">
        <f>'Price Data'!B257/'Price Data'!B256-1</f>
        <v>-2.529223460527863E-4</v>
      </c>
      <c r="C256" s="7">
        <f>'Price Data'!C257/'Price Data'!C256-1</f>
        <v>-5.0669733564712161E-3</v>
      </c>
      <c r="D256" s="7">
        <f>'Price Data'!D257/'Price Data'!D256-1</f>
        <v>8.9557706719545216E-4</v>
      </c>
      <c r="E256" s="7">
        <f>'Price Data'!E257/'Price Data'!E256-1</f>
        <v>-1.0624023755337886E-3</v>
      </c>
    </row>
    <row r="257" spans="1:5" ht="15" customHeight="1" x14ac:dyDescent="0.2">
      <c r="A257" s="4" t="s">
        <v>259</v>
      </c>
      <c r="B257" s="7">
        <f>'Price Data'!B258/'Price Data'!B257-1</f>
        <v>-4.5533427267046012E-3</v>
      </c>
      <c r="C257" s="7">
        <f>'Price Data'!C258/'Price Data'!C257-1</f>
        <v>2.9282276393054474E-3</v>
      </c>
      <c r="D257" s="7">
        <f>'Price Data'!D258/'Price Data'!D257-1</f>
        <v>-6.6207376695300857E-3</v>
      </c>
      <c r="E257" s="7">
        <f>'Price Data'!E258/'Price Data'!E257-1</f>
        <v>-2.9252444602879679E-3</v>
      </c>
    </row>
    <row r="258" spans="1:5" ht="15" customHeight="1" x14ac:dyDescent="0.2">
      <c r="A258" s="4" t="s">
        <v>260</v>
      </c>
      <c r="B258" s="7">
        <f>'Price Data'!B259/'Price Data'!B258-1</f>
        <v>-1.7364523972532853E-3</v>
      </c>
      <c r="C258" s="7">
        <f>'Price Data'!C259/'Price Data'!C258-1</f>
        <v>-9.2673703001308061E-3</v>
      </c>
      <c r="D258" s="7">
        <f>'Price Data'!D259/'Price Data'!D258-1</f>
        <v>-5.7642886799712523E-3</v>
      </c>
      <c r="E258" s="7">
        <f>'Price Data'!E259/'Price Data'!E258-1</f>
        <v>-8.890742123447426E-4</v>
      </c>
    </row>
    <row r="259" spans="1:5" ht="15" customHeight="1" x14ac:dyDescent="0.2">
      <c r="A259" s="4" t="s">
        <v>261</v>
      </c>
      <c r="B259" s="7">
        <f>'Price Data'!B260/'Price Data'!B259-1</f>
        <v>9.9702925975693191E-3</v>
      </c>
      <c r="C259" s="7">
        <f>'Price Data'!C260/'Price Data'!C259-1</f>
        <v>1.0891758825082976E-2</v>
      </c>
      <c r="D259" s="7">
        <f>'Price Data'!D260/'Price Data'!D259-1</f>
        <v>1.5399531416853129E-3</v>
      </c>
      <c r="E259" s="7">
        <f>'Price Data'!E260/'Price Data'!E259-1</f>
        <v>1.8685988886262273E-3</v>
      </c>
    </row>
    <row r="260" spans="1:5" ht="15" customHeight="1" x14ac:dyDescent="0.2">
      <c r="A260" s="4" t="s">
        <v>262</v>
      </c>
      <c r="B260" s="7">
        <f>'Price Data'!B261/'Price Data'!B260-1</f>
        <v>1.5542300489923555E-3</v>
      </c>
      <c r="C260" s="7">
        <f>'Price Data'!C261/'Price Data'!C260-1</f>
        <v>9.7603918192152861E-3</v>
      </c>
      <c r="D260" s="7">
        <f>'Price Data'!D261/'Price Data'!D260-1</f>
        <v>1.176037876274183E-3</v>
      </c>
      <c r="E260" s="7">
        <f>'Price Data'!E261/'Price Data'!E260-1</f>
        <v>0</v>
      </c>
    </row>
    <row r="261" spans="1:5" ht="15" customHeight="1" x14ac:dyDescent="0.2">
      <c r="A261" s="4" t="s">
        <v>263</v>
      </c>
      <c r="B261" s="7">
        <f>'Price Data'!B262/'Price Data'!B261-1</f>
        <v>-1.4637945234006633E-2</v>
      </c>
      <c r="C261" s="7">
        <f>'Price Data'!C262/'Price Data'!C261-1</f>
        <v>-7.2809859500319041E-3</v>
      </c>
      <c r="D261" s="7">
        <f>'Price Data'!D262/'Price Data'!D261-1</f>
        <v>-1.9877789017458403E-3</v>
      </c>
      <c r="E261" s="7">
        <f>'Price Data'!E262/'Price Data'!E261-1</f>
        <v>1.7760174543646201E-3</v>
      </c>
    </row>
    <row r="262" spans="1:5" ht="15" customHeight="1" x14ac:dyDescent="0.2">
      <c r="A262" s="4" t="s">
        <v>264</v>
      </c>
      <c r="B262" s="7">
        <f>'Price Data'!B263/'Price Data'!B262-1</f>
        <v>3.8330304531042358E-4</v>
      </c>
      <c r="C262" s="7">
        <f>'Price Data'!C263/'Price Data'!C262-1</f>
        <v>-1.0114677692258933E-3</v>
      </c>
      <c r="D262" s="7">
        <f>'Price Data'!D263/'Price Data'!D262-1</f>
        <v>-9.052066191296837E-3</v>
      </c>
      <c r="E262" s="7">
        <f>'Price Data'!E263/'Price Data'!E262-1</f>
        <v>-5.585106864002265E-3</v>
      </c>
    </row>
    <row r="263" spans="1:5" ht="15" customHeight="1" x14ac:dyDescent="0.2">
      <c r="A263" s="4" t="s">
        <v>265</v>
      </c>
      <c r="B263" s="7">
        <f>'Price Data'!B264/'Price Data'!B263-1</f>
        <v>-1.9445435557750135E-2</v>
      </c>
      <c r="C263" s="7">
        <f>'Price Data'!C264/'Price Data'!C263-1</f>
        <v>-1.4683627060578019E-2</v>
      </c>
      <c r="D263" s="7">
        <f>'Price Data'!D264/'Price Data'!D263-1</f>
        <v>-1.0505200626480748E-2</v>
      </c>
      <c r="E263" s="7">
        <f>'Price Data'!E264/'Price Data'!E263-1</f>
        <v>-6.0623994664420477E-3</v>
      </c>
    </row>
    <row r="264" spans="1:5" ht="15" customHeight="1" x14ac:dyDescent="0.2">
      <c r="A264" s="4" t="s">
        <v>266</v>
      </c>
      <c r="B264" s="7">
        <f>'Price Data'!B265/'Price Data'!B264-1</f>
        <v>-1.0501061788603105E-2</v>
      </c>
      <c r="C264" s="7">
        <f>'Price Data'!C265/'Price Data'!C264-1</f>
        <v>-8.9940019730172516E-4</v>
      </c>
      <c r="D264" s="7">
        <f>'Price Data'!D265/'Price Data'!D264-1</f>
        <v>-1.3478495672813229E-2</v>
      </c>
      <c r="E264" s="7">
        <f>'Price Data'!E265/'Price Data'!E264-1</f>
        <v>2.1529971779756796E-3</v>
      </c>
    </row>
    <row r="265" spans="1:5" ht="15" customHeight="1" x14ac:dyDescent="0.2">
      <c r="A265" s="4" t="s">
        <v>267</v>
      </c>
      <c r="B265" s="7">
        <f>'Price Data'!B266/'Price Data'!B265-1</f>
        <v>-1.1665242198146242E-2</v>
      </c>
      <c r="C265" s="7">
        <f>'Price Data'!C266/'Price Data'!C265-1</f>
        <v>-4.8860488875211994E-3</v>
      </c>
      <c r="D265" s="7">
        <f>'Price Data'!D266/'Price Data'!D265-1</f>
        <v>-1.2820722517061678E-2</v>
      </c>
      <c r="E265" s="7">
        <f>'Price Data'!E266/'Price Data'!E265-1</f>
        <v>5.3675552758591927E-4</v>
      </c>
    </row>
    <row r="266" spans="1:5" ht="15" customHeight="1" x14ac:dyDescent="0.2">
      <c r="A266" s="4" t="s">
        <v>268</v>
      </c>
      <c r="B266" s="7">
        <f>'Price Data'!B267/'Price Data'!B266-1</f>
        <v>-1.9789486349810148E-2</v>
      </c>
      <c r="C266" s="7">
        <f>'Price Data'!C267/'Price Data'!C266-1</f>
        <v>-1.35677508038895E-2</v>
      </c>
      <c r="D266" s="7">
        <f>'Price Data'!D267/'Price Data'!D266-1</f>
        <v>-2.4645158985400206E-3</v>
      </c>
      <c r="E266" s="7">
        <f>'Price Data'!E267/'Price Data'!E266-1</f>
        <v>3.9363437302724069E-3</v>
      </c>
    </row>
    <row r="267" spans="1:5" ht="15" customHeight="1" x14ac:dyDescent="0.2">
      <c r="A267" s="4" t="s">
        <v>269</v>
      </c>
      <c r="B267" s="7">
        <f>'Price Data'!B268/'Price Data'!B267-1</f>
        <v>6.4279426852260624E-3</v>
      </c>
      <c r="C267" s="7">
        <f>'Price Data'!C268/'Price Data'!C267-1</f>
        <v>-9.9553776285943307E-3</v>
      </c>
      <c r="D267" s="7">
        <f>'Price Data'!D268/'Price Data'!D267-1</f>
        <v>1.9007712951362166E-3</v>
      </c>
      <c r="E267" s="7">
        <f>'Price Data'!E268/'Price Data'!E267-1</f>
        <v>-1.1585924938792846E-3</v>
      </c>
    </row>
    <row r="268" spans="1:5" ht="15" customHeight="1" x14ac:dyDescent="0.2">
      <c r="A268" s="4" t="s">
        <v>270</v>
      </c>
      <c r="B268" s="7">
        <f>'Price Data'!B269/'Price Data'!B268-1</f>
        <v>-1.3988487880015277E-2</v>
      </c>
      <c r="C268" s="7">
        <f>'Price Data'!C269/'Price Data'!C268-1</f>
        <v>-6.0860491550182028E-3</v>
      </c>
      <c r="D268" s="7">
        <f>'Price Data'!D269/'Price Data'!D268-1</f>
        <v>-3.983856999402291E-3</v>
      </c>
      <c r="E268" s="7">
        <f>'Price Data'!E269/'Price Data'!E268-1</f>
        <v>-9.8102812824052421E-4</v>
      </c>
    </row>
    <row r="269" spans="1:5" ht="15" customHeight="1" x14ac:dyDescent="0.2">
      <c r="A269" s="4" t="s">
        <v>271</v>
      </c>
      <c r="B269" s="7">
        <f>'Price Data'!B270/'Price Data'!B269-1</f>
        <v>-3.8773774559134333E-3</v>
      </c>
      <c r="C269" s="7">
        <f>'Price Data'!C270/'Price Data'!C269-1</f>
        <v>-3.8606859909686708E-3</v>
      </c>
      <c r="D269" s="7">
        <f>'Price Data'!D270/'Price Data'!D269-1</f>
        <v>-1.5617556847641545E-2</v>
      </c>
      <c r="E269" s="7">
        <f>'Price Data'!E270/'Price Data'!E269-1</f>
        <v>-5.6255011736691118E-3</v>
      </c>
    </row>
    <row r="270" spans="1:5" ht="15" customHeight="1" x14ac:dyDescent="0.2">
      <c r="A270" s="4" t="s">
        <v>272</v>
      </c>
      <c r="B270" s="7">
        <f>'Price Data'!B271/'Price Data'!B270-1</f>
        <v>-7.4183552103006534E-3</v>
      </c>
      <c r="C270" s="7">
        <f>'Price Data'!C271/'Price Data'!C270-1</f>
        <v>-4.6771880961506973E-3</v>
      </c>
      <c r="D270" s="7">
        <f>'Price Data'!D271/'Price Data'!D270-1</f>
        <v>-1.6542469496566348E-2</v>
      </c>
      <c r="E270" s="7">
        <f>'Price Data'!E271/'Price Data'!E270-1</f>
        <v>3.3224367031643443E-3</v>
      </c>
    </row>
    <row r="271" spans="1:5" ht="15" customHeight="1" x14ac:dyDescent="0.2">
      <c r="A271" s="4" t="s">
        <v>273</v>
      </c>
      <c r="B271" s="7">
        <f>'Price Data'!B272/'Price Data'!B271-1</f>
        <v>2.4636593260769724E-2</v>
      </c>
      <c r="C271" s="7">
        <f>'Price Data'!C272/'Price Data'!C271-1</f>
        <v>3.3564806374888345E-3</v>
      </c>
      <c r="D271" s="7">
        <f>'Price Data'!D272/'Price Data'!D271-1</f>
        <v>3.2362724419769284E-2</v>
      </c>
      <c r="E271" s="7">
        <f>'Price Data'!E272/'Price Data'!E271-1</f>
        <v>7.1601805994547796E-4</v>
      </c>
    </row>
    <row r="272" spans="1:5" ht="15" customHeight="1" x14ac:dyDescent="0.2">
      <c r="A272" s="4" t="s">
        <v>274</v>
      </c>
      <c r="B272" s="7">
        <f>'Price Data'!B273/'Price Data'!B272-1</f>
        <v>2.1252683752401635E-2</v>
      </c>
      <c r="C272" s="7">
        <f>'Price Data'!C273/'Price Data'!C272-1</f>
        <v>1.4585923917019183E-2</v>
      </c>
      <c r="D272" s="7">
        <f>'Price Data'!D273/'Price Data'!D272-1</f>
        <v>1.2291434638242782E-2</v>
      </c>
      <c r="E272" s="7">
        <f>'Price Data'!E273/'Price Data'!E272-1</f>
        <v>-8.9487801336440853E-5</v>
      </c>
    </row>
    <row r="273" spans="1:5" ht="15" customHeight="1" x14ac:dyDescent="0.2">
      <c r="A273" s="4" t="s">
        <v>275</v>
      </c>
      <c r="B273" s="7">
        <f>'Price Data'!B274/'Price Data'!B273-1</f>
        <v>7.6273501403893995E-3</v>
      </c>
      <c r="C273" s="7">
        <f>'Price Data'!C274/'Price Data'!C273-1</f>
        <v>9.4962327824235082E-3</v>
      </c>
      <c r="D273" s="7">
        <f>'Price Data'!D274/'Price Data'!D273-1</f>
        <v>-3.5766355496545943E-3</v>
      </c>
      <c r="E273" s="7">
        <f>'Price Data'!E274/'Price Data'!E273-1</f>
        <v>-3.4933515244695013E-4</v>
      </c>
    </row>
    <row r="274" spans="1:5" ht="15" customHeight="1" x14ac:dyDescent="0.2">
      <c r="A274" s="4" t="s">
        <v>276</v>
      </c>
      <c r="B274" s="7">
        <f>'Price Data'!B275/'Price Data'!B274-1</f>
        <v>6.6075045818492217E-3</v>
      </c>
      <c r="C274" s="7">
        <f>'Price Data'!C275/'Price Data'!C274-1</f>
        <v>7.4469643560191034E-3</v>
      </c>
      <c r="D274" s="7">
        <f>'Price Data'!D275/'Price Data'!D274-1</f>
        <v>1.2752731942042628E-2</v>
      </c>
      <c r="E274" s="7">
        <f>'Price Data'!E275/'Price Data'!E274-1</f>
        <v>1.0756742766537819E-3</v>
      </c>
    </row>
    <row r="275" spans="1:5" ht="15" customHeight="1" x14ac:dyDescent="0.2">
      <c r="A275" s="4" t="s">
        <v>277</v>
      </c>
      <c r="B275" s="7">
        <f>'Price Data'!B276/'Price Data'!B275-1</f>
        <v>-2.3777682516385679E-2</v>
      </c>
      <c r="C275" s="7">
        <f>'Price Data'!C276/'Price Data'!C275-1</f>
        <v>-1.5821483409197645E-2</v>
      </c>
      <c r="D275" s="7">
        <f>'Price Data'!D276/'Price Data'!D275-1</f>
        <v>-1.063333328238647E-2</v>
      </c>
      <c r="E275" s="7">
        <f>'Price Data'!E276/'Price Data'!E275-1</f>
        <v>-4.0281161827723233E-3</v>
      </c>
    </row>
    <row r="276" spans="1:5" ht="15" customHeight="1" x14ac:dyDescent="0.2">
      <c r="A276" s="4" t="s">
        <v>278</v>
      </c>
      <c r="B276" s="7">
        <f>'Price Data'!B277/'Price Data'!B276-1</f>
        <v>6.6347566912059452E-3</v>
      </c>
      <c r="C276" s="7">
        <f>'Price Data'!C277/'Price Data'!C276-1</f>
        <v>2.371608660793223E-3</v>
      </c>
      <c r="D276" s="7">
        <f>'Price Data'!D277/'Price Data'!D276-1</f>
        <v>-9.8991631588366547E-3</v>
      </c>
      <c r="E276" s="7">
        <f>'Price Data'!E277/'Price Data'!E276-1</f>
        <v>-6.2913713548132799E-3</v>
      </c>
    </row>
    <row r="277" spans="1:5" ht="15" customHeight="1" x14ac:dyDescent="0.2">
      <c r="A277" s="4" t="s">
        <v>279</v>
      </c>
      <c r="B277" s="7">
        <f>'Price Data'!B278/'Price Data'!B277-1</f>
        <v>-2.5214077310926619E-3</v>
      </c>
      <c r="C277" s="7">
        <f>'Price Data'!C278/'Price Data'!C277-1</f>
        <v>1.7090318319112896E-3</v>
      </c>
      <c r="D277" s="7">
        <f>'Price Data'!D278/'Price Data'!D277-1</f>
        <v>-1.4282556592365436E-3</v>
      </c>
      <c r="E277" s="7">
        <f>'Price Data'!E278/'Price Data'!E277-1</f>
        <v>9.048123761996596E-4</v>
      </c>
    </row>
    <row r="278" spans="1:5" ht="15" customHeight="1" x14ac:dyDescent="0.2">
      <c r="A278" s="4" t="s">
        <v>280</v>
      </c>
      <c r="B278" s="7">
        <f>'Price Data'!B279/'Price Data'!B278-1</f>
        <v>9.1796628019629178E-3</v>
      </c>
      <c r="C278" s="7">
        <f>'Price Data'!C279/'Price Data'!C278-1</f>
        <v>5.1180031970281537E-3</v>
      </c>
      <c r="D278" s="7">
        <f>'Price Data'!D279/'Price Data'!D278-1</f>
        <v>-4.6725803958055367E-3</v>
      </c>
      <c r="E278" s="7">
        <f>'Price Data'!E279/'Price Data'!E278-1</f>
        <v>-3.0727006807615975E-3</v>
      </c>
    </row>
    <row r="279" spans="1:5" ht="15" customHeight="1" x14ac:dyDescent="0.2">
      <c r="A279" s="4" t="s">
        <v>281</v>
      </c>
      <c r="B279" s="7">
        <f>'Price Data'!B280/'Price Data'!B279-1</f>
        <v>1.625876286524286E-2</v>
      </c>
      <c r="C279" s="7">
        <f>'Price Data'!C280/'Price Data'!C279-1</f>
        <v>1.6190135790854265E-2</v>
      </c>
      <c r="D279" s="7">
        <f>'Price Data'!D280/'Price Data'!D279-1</f>
        <v>2.2609778613475129E-2</v>
      </c>
      <c r="E279" s="7">
        <f>'Price Data'!E280/'Price Data'!E279-1</f>
        <v>6.3470634675888427E-4</v>
      </c>
    </row>
    <row r="280" spans="1:5" ht="15" customHeight="1" x14ac:dyDescent="0.2">
      <c r="A280" s="4" t="s">
        <v>282</v>
      </c>
      <c r="B280" s="7">
        <f>'Price Data'!B281/'Price Data'!B280-1</f>
        <v>-1.6950099749890257E-2</v>
      </c>
      <c r="C280" s="7">
        <f>'Price Data'!C281/'Price Data'!C280-1</f>
        <v>-1.2720068782802407E-2</v>
      </c>
      <c r="D280" s="7">
        <f>'Price Data'!D281/'Price Data'!D280-1</f>
        <v>-2.3608933500900653E-2</v>
      </c>
      <c r="E280" s="7">
        <f>'Price Data'!E281/'Price Data'!E280-1</f>
        <v>-9.2391243302748505E-3</v>
      </c>
    </row>
    <row r="281" spans="1:5" ht="15" customHeight="1" x14ac:dyDescent="0.2">
      <c r="A281" s="4" t="s">
        <v>283</v>
      </c>
      <c r="B281" s="7">
        <f>'Price Data'!B282/'Price Data'!B281-1</f>
        <v>-1.9397323671172639E-2</v>
      </c>
      <c r="C281" s="7">
        <f>'Price Data'!C282/'Price Data'!C281-1</f>
        <v>-1.5096279380064526E-2</v>
      </c>
      <c r="D281" s="7">
        <f>'Price Data'!D282/'Price Data'!D281-1</f>
        <v>-9.1153758269157947E-3</v>
      </c>
      <c r="E281" s="7">
        <f>'Price Data'!E282/'Price Data'!E281-1</f>
        <v>6.5825280188853696E-3</v>
      </c>
    </row>
    <row r="282" spans="1:5" ht="15" customHeight="1" x14ac:dyDescent="0.2">
      <c r="A282" s="4" t="s">
        <v>284</v>
      </c>
      <c r="B282" s="7">
        <f>'Price Data'!B283/'Price Data'!B282-1</f>
        <v>-3.6779177775833061E-3</v>
      </c>
      <c r="C282" s="7">
        <f>'Price Data'!C283/'Price Data'!C282-1</f>
        <v>-6.4744506613527708E-3</v>
      </c>
      <c r="D282" s="7">
        <f>'Price Data'!D283/'Price Data'!D282-1</f>
        <v>-9.1020000511283783E-3</v>
      </c>
      <c r="E282" s="7">
        <f>'Price Data'!E283/'Price Data'!E282-1</f>
        <v>-5.8127027824984578E-3</v>
      </c>
    </row>
    <row r="283" spans="1:5" ht="15" customHeight="1" x14ac:dyDescent="0.2">
      <c r="A283" s="4" t="s">
        <v>285</v>
      </c>
      <c r="B283" s="7">
        <f>'Price Data'!B284/'Price Data'!B283-1</f>
        <v>1.7783085962588263E-2</v>
      </c>
      <c r="C283" s="7">
        <f>'Price Data'!C284/'Price Data'!C283-1</f>
        <v>1.8353432575965556E-2</v>
      </c>
      <c r="D283" s="7">
        <f>'Price Data'!D284/'Price Data'!D283-1</f>
        <v>8.9903393439445534E-3</v>
      </c>
      <c r="E283" s="7">
        <f>'Price Data'!E284/'Price Data'!E283-1</f>
        <v>-1.6447729099132724E-3</v>
      </c>
    </row>
    <row r="284" spans="1:5" ht="15" customHeight="1" x14ac:dyDescent="0.2">
      <c r="A284" s="4" t="s">
        <v>286</v>
      </c>
      <c r="B284" s="7">
        <f>'Price Data'!B285/'Price Data'!B284-1</f>
        <v>9.2882614382272521E-4</v>
      </c>
      <c r="C284" s="7">
        <f>'Price Data'!C285/'Price Data'!C284-1</f>
        <v>3.7874632062000479E-3</v>
      </c>
      <c r="D284" s="7">
        <f>'Price Data'!D285/'Price Data'!D284-1</f>
        <v>4.6489093869117593E-3</v>
      </c>
      <c r="E284" s="7">
        <f>'Price Data'!E285/'Price Data'!E284-1</f>
        <v>1.1895333707643285E-3</v>
      </c>
    </row>
    <row r="285" spans="1:5" ht="15" customHeight="1" x14ac:dyDescent="0.2">
      <c r="A285" s="4" t="s">
        <v>287</v>
      </c>
      <c r="B285" s="7">
        <f>'Price Data'!B286/'Price Data'!B285-1</f>
        <v>-2.2715222176877825E-2</v>
      </c>
      <c r="C285" s="7">
        <f>'Price Data'!C286/'Price Data'!C285-1</f>
        <v>-1.6133258430627961E-2</v>
      </c>
      <c r="D285" s="7">
        <f>'Price Data'!D286/'Price Data'!D285-1</f>
        <v>-1.0604276024478665E-2</v>
      </c>
      <c r="E285" s="7">
        <f>'Price Data'!E286/'Price Data'!E285-1</f>
        <v>2.1023637161277087E-3</v>
      </c>
    </row>
    <row r="286" spans="1:5" ht="15" customHeight="1" x14ac:dyDescent="0.2">
      <c r="A286" s="4" t="s">
        <v>288</v>
      </c>
      <c r="B286" s="7">
        <f>'Price Data'!B287/'Price Data'!B286-1</f>
        <v>-8.0038375369212433E-3</v>
      </c>
      <c r="C286" s="7">
        <f>'Price Data'!C287/'Price Data'!C286-1</f>
        <v>-4.2315692045010733E-3</v>
      </c>
      <c r="D286" s="7">
        <f>'Price Data'!D287/'Price Data'!D286-1</f>
        <v>-6.0415596718440545E-3</v>
      </c>
      <c r="E286" s="7">
        <f>'Price Data'!E287/'Price Data'!E286-1</f>
        <v>2.0975491216213005E-3</v>
      </c>
    </row>
    <row r="287" spans="1:5" ht="15" customHeight="1" x14ac:dyDescent="0.2">
      <c r="A287" s="4" t="s">
        <v>289</v>
      </c>
      <c r="B287" s="7">
        <f>'Price Data'!B288/'Price Data'!B287-1</f>
        <v>-1.1487665673874603E-2</v>
      </c>
      <c r="C287" s="7">
        <f>'Price Data'!C288/'Price Data'!C287-1</f>
        <v>-1.1686877309657673E-2</v>
      </c>
      <c r="D287" s="7">
        <f>'Price Data'!D288/'Price Data'!D287-1</f>
        <v>-3.6270509248869098E-3</v>
      </c>
      <c r="E287" s="7">
        <f>'Price Data'!E288/'Price Data'!E287-1</f>
        <v>-1.0918058531691477E-3</v>
      </c>
    </row>
    <row r="288" spans="1:5" ht="15" customHeight="1" x14ac:dyDescent="0.2">
      <c r="A288" s="4" t="s">
        <v>290</v>
      </c>
      <c r="B288" s="7">
        <f>'Price Data'!B289/'Price Data'!B288-1</f>
        <v>-1.8399766752009716E-2</v>
      </c>
      <c r="C288" s="7">
        <f>'Price Data'!C289/'Price Data'!C288-1</f>
        <v>-8.1968042868795221E-3</v>
      </c>
      <c r="D288" s="7">
        <f>'Price Data'!D289/'Price Data'!D288-1</f>
        <v>-1.6528746491092372E-2</v>
      </c>
      <c r="E288" s="7">
        <f>'Price Data'!E289/'Price Data'!E288-1</f>
        <v>-4.4648085007793492E-3</v>
      </c>
    </row>
    <row r="289" spans="1:5" ht="15" customHeight="1" x14ac:dyDescent="0.2">
      <c r="A289" s="4" t="s">
        <v>291</v>
      </c>
      <c r="B289" s="7">
        <f>'Price Data'!B290/'Price Data'!B289-1</f>
        <v>1.7523187287171504E-2</v>
      </c>
      <c r="C289" s="7">
        <f>'Price Data'!C290/'Price Data'!C289-1</f>
        <v>-1.3412620892559679E-2</v>
      </c>
      <c r="D289" s="7">
        <f>'Price Data'!D290/'Price Data'!D289-1</f>
        <v>1.6806537488635032E-2</v>
      </c>
      <c r="E289" s="7">
        <f>'Price Data'!E290/'Price Data'!E289-1</f>
        <v>1.8306728910528758E-3</v>
      </c>
    </row>
    <row r="290" spans="1:5" ht="15" customHeight="1" x14ac:dyDescent="0.2">
      <c r="A290" s="4" t="s">
        <v>292</v>
      </c>
      <c r="B290" s="7">
        <f>'Price Data'!B291/'Price Data'!B290-1</f>
        <v>2.2254289703209418E-2</v>
      </c>
      <c r="C290" s="7">
        <f>'Price Data'!C291/'Price Data'!C290-1</f>
        <v>2.4993212321587022E-2</v>
      </c>
      <c r="D290" s="7">
        <f>'Price Data'!D291/'Price Data'!D290-1</f>
        <v>2.410472797777774E-2</v>
      </c>
      <c r="E290" s="7">
        <f>'Price Data'!E291/'Price Data'!E290-1</f>
        <v>1.0049411968993116E-3</v>
      </c>
    </row>
    <row r="291" spans="1:5" ht="15" customHeight="1" x14ac:dyDescent="0.2">
      <c r="A291" s="4" t="s">
        <v>293</v>
      </c>
      <c r="B291" s="7">
        <f>'Price Data'!B292/'Price Data'!B291-1</f>
        <v>-1.0841403809442873E-3</v>
      </c>
      <c r="C291" s="7">
        <f>'Price Data'!C292/'Price Data'!C291-1</f>
        <v>-1.902455008566184E-2</v>
      </c>
      <c r="D291" s="7">
        <f>'Price Data'!D292/'Price Data'!D291-1</f>
        <v>-1.4890740454564622E-2</v>
      </c>
      <c r="E291" s="7">
        <f>'Price Data'!E292/'Price Data'!E291-1</f>
        <v>7.2098167587102413E-3</v>
      </c>
    </row>
    <row r="292" spans="1:5" ht="15" customHeight="1" x14ac:dyDescent="0.2">
      <c r="A292" s="4" t="s">
        <v>294</v>
      </c>
      <c r="B292" s="7">
        <f>'Price Data'!B293/'Price Data'!B292-1</f>
        <v>-1.5598868594680404E-2</v>
      </c>
      <c r="C292" s="7">
        <f>'Price Data'!C293/'Price Data'!C292-1</f>
        <v>-2.1852011857121934E-2</v>
      </c>
      <c r="D292" s="7">
        <f>'Price Data'!D293/'Price Data'!D292-1</f>
        <v>-5.266324941482492E-3</v>
      </c>
      <c r="E292" s="7">
        <f>'Price Data'!E293/'Price Data'!E292-1</f>
        <v>5.635278466049165E-3</v>
      </c>
    </row>
    <row r="293" spans="1:5" ht="15" customHeight="1" x14ac:dyDescent="0.2">
      <c r="A293" s="4" t="s">
        <v>295</v>
      </c>
      <c r="B293" s="7">
        <f>'Price Data'!B294/'Price Data'!B293-1</f>
        <v>1.8969381071296976E-2</v>
      </c>
      <c r="C293" s="7">
        <f>'Price Data'!C294/'Price Data'!C293-1</f>
        <v>1.2566307159586287E-2</v>
      </c>
      <c r="D293" s="7">
        <f>'Price Data'!D294/'Price Data'!D293-1</f>
        <v>1.8725620726014025E-2</v>
      </c>
      <c r="E293" s="7">
        <f>'Price Data'!E294/'Price Data'!E293-1</f>
        <v>-1.2001429876093983E-2</v>
      </c>
    </row>
    <row r="294" spans="1:5" ht="15" customHeight="1" x14ac:dyDescent="0.2">
      <c r="A294" s="4" t="s">
        <v>296</v>
      </c>
      <c r="B294" s="7">
        <f>'Price Data'!B295/'Price Data'!B294-1</f>
        <v>-7.6177541090713952E-3</v>
      </c>
      <c r="C294" s="7">
        <f>'Price Data'!C295/'Price Data'!C294-1</f>
        <v>-1.971888762498919E-2</v>
      </c>
      <c r="D294" s="7">
        <f>'Price Data'!D295/'Price Data'!D294-1</f>
        <v>8.1800219842849131E-3</v>
      </c>
      <c r="E294" s="7">
        <f>'Price Data'!E295/'Price Data'!E294-1</f>
        <v>3.3792478493677169E-3</v>
      </c>
    </row>
    <row r="295" spans="1:5" ht="15" customHeight="1" x14ac:dyDescent="0.2">
      <c r="A295" s="4" t="s">
        <v>297</v>
      </c>
      <c r="B295" s="7">
        <f>'Price Data'!B296/'Price Data'!B295-1</f>
        <v>-9.9926932081507713E-3</v>
      </c>
      <c r="C295" s="7">
        <f>'Price Data'!C296/'Price Data'!C295-1</f>
        <v>-2.8977189691752447E-2</v>
      </c>
      <c r="D295" s="7">
        <f>'Price Data'!D296/'Price Data'!D295-1</f>
        <v>4.5820744866476026E-3</v>
      </c>
      <c r="E295" s="7">
        <f>'Price Data'!E296/'Price Data'!E295-1</f>
        <v>4.0054052683247132E-3</v>
      </c>
    </row>
    <row r="296" spans="1:5" ht="15" customHeight="1" x14ac:dyDescent="0.2">
      <c r="A296" s="4" t="s">
        <v>298</v>
      </c>
      <c r="B296" s="7">
        <f>'Price Data'!B297/'Price Data'!B296-1</f>
        <v>-3.0831278168392817E-2</v>
      </c>
      <c r="C296" s="7">
        <f>'Price Data'!C297/'Price Data'!C296-1</f>
        <v>-3.1725441677885269E-2</v>
      </c>
      <c r="D296" s="7">
        <f>'Price Data'!D297/'Price Data'!D296-1</f>
        <v>-1.9764427818651398E-2</v>
      </c>
      <c r="E296" s="7">
        <f>'Price Data'!E297/'Price Data'!E296-1</f>
        <v>-5.8025171584524804E-3</v>
      </c>
    </row>
    <row r="297" spans="1:5" ht="15" customHeight="1" x14ac:dyDescent="0.2">
      <c r="A297" s="4" t="s">
        <v>299</v>
      </c>
      <c r="B297" s="7">
        <f>'Price Data'!B298/'Price Data'!B297-1</f>
        <v>-5.6335769188351481E-3</v>
      </c>
      <c r="C297" s="7">
        <f>'Price Data'!C298/'Price Data'!C297-1</f>
        <v>8.6774236987807729E-3</v>
      </c>
      <c r="D297" s="7">
        <f>'Price Data'!D298/'Price Data'!D297-1</f>
        <v>-4.8468385772876266E-3</v>
      </c>
      <c r="E297" s="7">
        <f>'Price Data'!E298/'Price Data'!E297-1</f>
        <v>-3.5566100828777758E-3</v>
      </c>
    </row>
    <row r="298" spans="1:5" ht="15" customHeight="1" x14ac:dyDescent="0.2">
      <c r="A298" s="4" t="s">
        <v>300</v>
      </c>
      <c r="B298" s="7">
        <f>'Price Data'!B299/'Price Data'!B298-1</f>
        <v>2.7755270167049595E-2</v>
      </c>
      <c r="C298" s="7">
        <f>'Price Data'!C299/'Price Data'!C298-1</f>
        <v>4.182740713108779E-2</v>
      </c>
      <c r="D298" s="7">
        <f>'Price Data'!D299/'Price Data'!D298-1</f>
        <v>1.5390428336669704E-2</v>
      </c>
      <c r="E298" s="7">
        <f>'Price Data'!E299/'Price Data'!E298-1</f>
        <v>-2.1046570292114763E-3</v>
      </c>
    </row>
    <row r="299" spans="1:5" ht="15" customHeight="1" x14ac:dyDescent="0.2">
      <c r="A299" s="4" t="s">
        <v>301</v>
      </c>
      <c r="B299" s="7">
        <f>'Price Data'!B300/'Price Data'!B299-1</f>
        <v>-4.492983168521425E-3</v>
      </c>
      <c r="C299" s="7">
        <f>'Price Data'!C300/'Price Data'!C299-1</f>
        <v>-1.1958968035005846E-2</v>
      </c>
      <c r="D299" s="7">
        <f>'Price Data'!D300/'Price Data'!D299-1</f>
        <v>2.4944184951836146E-3</v>
      </c>
      <c r="E299" s="7">
        <f>'Price Data'!E300/'Price Data'!E299-1</f>
        <v>-5.5942711626431052E-3</v>
      </c>
    </row>
    <row r="300" spans="1:5" ht="15" customHeight="1" x14ac:dyDescent="0.2">
      <c r="A300" s="4" t="s">
        <v>302</v>
      </c>
      <c r="B300" s="7">
        <f>'Price Data'!B301/'Price Data'!B300-1</f>
        <v>-1.3587289944843373E-2</v>
      </c>
      <c r="C300" s="7">
        <f>'Price Data'!C301/'Price Data'!C300-1</f>
        <v>-1.0806956894481634E-2</v>
      </c>
      <c r="D300" s="7">
        <f>'Price Data'!D301/'Price Data'!D300-1</f>
        <v>-7.9424509866781179E-3</v>
      </c>
      <c r="E300" s="7">
        <f>'Price Data'!E301/'Price Data'!E300-1</f>
        <v>-1.8442786089178931E-4</v>
      </c>
    </row>
    <row r="301" spans="1:5" ht="15" customHeight="1" x14ac:dyDescent="0.2">
      <c r="A301" s="4" t="s">
        <v>303</v>
      </c>
      <c r="B301" s="7">
        <f>'Price Data'!B302/'Price Data'!B301-1</f>
        <v>-9.8590054397162952E-3</v>
      </c>
      <c r="C301" s="7">
        <f>'Price Data'!C302/'Price Data'!C301-1</f>
        <v>9.177121527077059E-3</v>
      </c>
      <c r="D301" s="7">
        <f>'Price Data'!D302/'Price Data'!D301-1</f>
        <v>-7.8133822215608051E-3</v>
      </c>
      <c r="E301" s="7">
        <f>'Price Data'!E302/'Price Data'!E301-1</f>
        <v>-9.6855132972046842E-3</v>
      </c>
    </row>
    <row r="302" spans="1:5" ht="15" customHeight="1" x14ac:dyDescent="0.2">
      <c r="A302" s="4" t="s">
        <v>304</v>
      </c>
      <c r="B302" s="7">
        <f>'Price Data'!B303/'Price Data'!B302-1</f>
        <v>2.0867170512431032E-2</v>
      </c>
      <c r="C302" s="7">
        <f>'Price Data'!C303/'Price Data'!C302-1</f>
        <v>9.5265430861664058E-3</v>
      </c>
      <c r="D302" s="7">
        <f>'Price Data'!D303/'Price Data'!D302-1</f>
        <v>6.7080124617959758E-3</v>
      </c>
      <c r="E302" s="7">
        <f>'Price Data'!E303/'Price Data'!E302-1</f>
        <v>2.2356034576427319E-3</v>
      </c>
    </row>
    <row r="303" spans="1:5" ht="15" customHeight="1" x14ac:dyDescent="0.2">
      <c r="A303" s="4" t="s">
        <v>305</v>
      </c>
      <c r="B303" s="7">
        <f>'Price Data'!B304/'Price Data'!B303-1</f>
        <v>2.501405104748522E-2</v>
      </c>
      <c r="C303" s="7">
        <f>'Price Data'!C304/'Price Data'!C303-1</f>
        <v>3.5887880995299382E-2</v>
      </c>
      <c r="D303" s="7">
        <f>'Price Data'!D304/'Price Data'!D303-1</f>
        <v>1.1878449954457082E-2</v>
      </c>
      <c r="E303" s="7">
        <f>'Price Data'!E304/'Price Data'!E303-1</f>
        <v>7.4307310376209301E-4</v>
      </c>
    </row>
    <row r="304" spans="1:5" ht="15" customHeight="1" x14ac:dyDescent="0.2">
      <c r="A304" s="4" t="s">
        <v>306</v>
      </c>
      <c r="B304" s="7">
        <f>'Price Data'!B305/'Price Data'!B304-1</f>
        <v>1.3385506220852772E-2</v>
      </c>
      <c r="C304" s="7">
        <f>'Price Data'!C305/'Price Data'!C304-1</f>
        <v>8.4195622577267759E-3</v>
      </c>
      <c r="D304" s="7">
        <f>'Price Data'!D305/'Price Data'!D304-1</f>
        <v>1.5460874923088896E-2</v>
      </c>
      <c r="E304" s="7">
        <f>'Price Data'!E305/'Price Data'!E304-1</f>
        <v>1.671658699073042E-3</v>
      </c>
    </row>
    <row r="305" spans="1:5" ht="15" customHeight="1" x14ac:dyDescent="0.2">
      <c r="A305" s="4" t="s">
        <v>307</v>
      </c>
      <c r="B305" s="7">
        <f>'Price Data'!B306/'Price Data'!B305-1</f>
        <v>1.1681060862309023E-2</v>
      </c>
      <c r="C305" s="7">
        <f>'Price Data'!C306/'Price Data'!C305-1</f>
        <v>9.7179282887631668E-3</v>
      </c>
      <c r="D305" s="7">
        <f>'Price Data'!D306/'Price Data'!D305-1</f>
        <v>0</v>
      </c>
      <c r="E305" s="7">
        <f>'Price Data'!E306/'Price Data'!E305-1</f>
        <v>2.2249125590423358E-3</v>
      </c>
    </row>
    <row r="306" spans="1:5" ht="15" customHeight="1" x14ac:dyDescent="0.2">
      <c r="A306" s="4" t="s">
        <v>308</v>
      </c>
      <c r="B306" s="7">
        <f>'Price Data'!B307/'Price Data'!B306-1</f>
        <v>-9.3249739711376289E-4</v>
      </c>
      <c r="C306" s="7">
        <f>'Price Data'!C307/'Price Data'!C306-1</f>
        <v>-6.2354943800282392E-3</v>
      </c>
      <c r="D306" s="7">
        <f>'Price Data'!D307/'Price Data'!D306-1</f>
        <v>-6.1090642898096181E-3</v>
      </c>
      <c r="E306" s="7">
        <f>'Price Data'!E307/'Price Data'!E306-1</f>
        <v>-9.8055025850863897E-3</v>
      </c>
    </row>
    <row r="307" spans="1:5" ht="15" customHeight="1" x14ac:dyDescent="0.2">
      <c r="A307" s="4" t="s">
        <v>309</v>
      </c>
      <c r="B307" s="7">
        <f>'Price Data'!B308/'Price Data'!B307-1</f>
        <v>1.226812051196835E-2</v>
      </c>
      <c r="C307" s="7">
        <f>'Price Data'!C308/'Price Data'!C307-1</f>
        <v>9.4122283330186907E-3</v>
      </c>
      <c r="D307" s="7">
        <f>'Price Data'!D308/'Price Data'!D307-1</f>
        <v>2.5531481179705828E-3</v>
      </c>
      <c r="E307" s="7">
        <f>'Price Data'!E308/'Price Data'!E307-1</f>
        <v>-2.7093857783606623E-3</v>
      </c>
    </row>
    <row r="308" spans="1:5" ht="15" customHeight="1" x14ac:dyDescent="0.2">
      <c r="A308" s="4" t="s">
        <v>310</v>
      </c>
      <c r="B308" s="7">
        <f>'Price Data'!B309/'Price Data'!B308-1</f>
        <v>-1.3619527595566505E-2</v>
      </c>
      <c r="C308" s="7">
        <f>'Price Data'!C309/'Price Data'!C308-1</f>
        <v>-1.2973090582455327E-2</v>
      </c>
      <c r="D308" s="7">
        <f>'Price Data'!D309/'Price Data'!D308-1</f>
        <v>-1.1219273283235465E-2</v>
      </c>
      <c r="E308" s="7">
        <f>'Price Data'!E309/'Price Data'!E308-1</f>
        <v>4.1221801845037209E-3</v>
      </c>
    </row>
    <row r="309" spans="1:5" ht="15" customHeight="1" x14ac:dyDescent="0.2">
      <c r="A309" s="4" t="s">
        <v>311</v>
      </c>
      <c r="B309" s="7">
        <f>'Price Data'!B310/'Price Data'!B309-1</f>
        <v>1.4245228068973326E-2</v>
      </c>
      <c r="C309" s="7">
        <f>'Price Data'!C310/'Price Data'!C309-1</f>
        <v>9.309937716269312E-3</v>
      </c>
      <c r="D309" s="7">
        <f>'Price Data'!D310/'Price Data'!D309-1</f>
        <v>6.330349998068252E-3</v>
      </c>
      <c r="E309" s="7">
        <f>'Price Data'!E310/'Price Data'!E309-1</f>
        <v>-2.2393139162645292E-3</v>
      </c>
    </row>
    <row r="310" spans="1:5" ht="15" customHeight="1" x14ac:dyDescent="0.2">
      <c r="A310" s="4" t="s">
        <v>312</v>
      </c>
      <c r="B310" s="7">
        <f>'Price Data'!B311/'Price Data'!B310-1</f>
        <v>4.2709100801896493E-3</v>
      </c>
      <c r="C310" s="7">
        <f>'Price Data'!C311/'Price Data'!C310-1</f>
        <v>5.428015929476171E-4</v>
      </c>
      <c r="D310" s="7">
        <f>'Price Data'!D311/'Price Data'!D310-1</f>
        <v>1.2485963495119545E-2</v>
      </c>
      <c r="E310" s="7">
        <f>'Price Data'!E311/'Price Data'!E310-1</f>
        <v>-7.9476865992437196E-3</v>
      </c>
    </row>
    <row r="311" spans="1:5" ht="15" customHeight="1" x14ac:dyDescent="0.2">
      <c r="A311" s="4" t="s">
        <v>313</v>
      </c>
      <c r="B311" s="7">
        <f>'Price Data'!B312/'Price Data'!B311-1</f>
        <v>6.4886863302071607E-3</v>
      </c>
      <c r="C311" s="7">
        <f>'Price Data'!C312/'Price Data'!C311-1</f>
        <v>-3.2539738527718187E-3</v>
      </c>
      <c r="D311" s="7">
        <f>'Price Data'!D312/'Price Data'!D311-1</f>
        <v>1.0636971397554484E-2</v>
      </c>
      <c r="E311" s="7">
        <f>'Price Data'!E312/'Price Data'!E311-1</f>
        <v>2.4505478575405082E-3</v>
      </c>
    </row>
    <row r="312" spans="1:5" ht="15" customHeight="1" x14ac:dyDescent="0.2">
      <c r="A312" s="4" t="s">
        <v>314</v>
      </c>
      <c r="B312" s="7">
        <f>'Price Data'!B313/'Price Data'!B312-1</f>
        <v>1.5158862515602056E-2</v>
      </c>
      <c r="C312" s="7">
        <f>'Price Data'!C313/'Price Data'!C312-1</f>
        <v>2.2170876422518804E-2</v>
      </c>
      <c r="D312" s="7">
        <f>'Price Data'!D313/'Price Data'!D312-1</f>
        <v>2.9340700940871711E-2</v>
      </c>
      <c r="E312" s="7">
        <f>'Price Data'!E313/'Price Data'!E312-1</f>
        <v>4.7011805755929892E-3</v>
      </c>
    </row>
    <row r="313" spans="1:5" ht="15" customHeight="1" x14ac:dyDescent="0.2">
      <c r="A313" s="4" t="s">
        <v>315</v>
      </c>
      <c r="B313" s="7">
        <f>'Price Data'!B314/'Price Data'!B313-1</f>
        <v>-8.1099333070153712E-3</v>
      </c>
      <c r="C313" s="7">
        <f>'Price Data'!C314/'Price Data'!C313-1</f>
        <v>-4.1252653912957626E-3</v>
      </c>
      <c r="D313" s="7">
        <f>'Price Data'!D314/'Price Data'!D313-1</f>
        <v>-7.2390069241603516E-3</v>
      </c>
      <c r="E313" s="7">
        <f>'Price Data'!E314/'Price Data'!E313-1</f>
        <v>2.7137009494437869E-3</v>
      </c>
    </row>
    <row r="314" spans="1:5" ht="15" customHeight="1" x14ac:dyDescent="0.2">
      <c r="A314" s="4" t="s">
        <v>316</v>
      </c>
      <c r="B314" s="7">
        <f>'Price Data'!B315/'Price Data'!B314-1</f>
        <v>-1.509771260970838E-2</v>
      </c>
      <c r="C314" s="7">
        <f>'Price Data'!C315/'Price Data'!C314-1</f>
        <v>-1.6568595457668533E-2</v>
      </c>
      <c r="D314" s="7">
        <f>'Price Data'!D315/'Price Data'!D314-1</f>
        <v>-1.221413783607439E-2</v>
      </c>
      <c r="E314" s="7">
        <f>'Price Data'!E315/'Price Data'!E314-1</f>
        <v>-4.6653637436000484E-4</v>
      </c>
    </row>
    <row r="315" spans="1:5" ht="15" customHeight="1" x14ac:dyDescent="0.2">
      <c r="A315" s="4" t="s">
        <v>317</v>
      </c>
      <c r="B315" s="7">
        <f>'Price Data'!B316/'Price Data'!B315-1</f>
        <v>3.9971346429539256E-3</v>
      </c>
      <c r="C315" s="7">
        <f>'Price Data'!C316/'Price Data'!C315-1</f>
        <v>9.3751424529155969E-3</v>
      </c>
      <c r="D315" s="7">
        <f>'Price Data'!D316/'Price Data'!D315-1</f>
        <v>1.9470339462726916E-2</v>
      </c>
      <c r="E315" s="7">
        <f>'Price Data'!E316/'Price Data'!E315-1</f>
        <v>-1.7769194375926167E-3</v>
      </c>
    </row>
    <row r="316" spans="1:5" ht="15" customHeight="1" x14ac:dyDescent="0.2">
      <c r="A316" s="4" t="s">
        <v>318</v>
      </c>
      <c r="B316" s="7">
        <f>'Price Data'!B317/'Price Data'!B316-1</f>
        <v>8.4871175224197071E-3</v>
      </c>
      <c r="C316" s="7">
        <f>'Price Data'!C317/'Price Data'!C316-1</f>
        <v>4.0380073833796715E-3</v>
      </c>
      <c r="D316" s="7">
        <f>'Price Data'!D317/'Price Data'!D316-1</f>
        <v>-4.8876296717029755E-3</v>
      </c>
      <c r="E316" s="7">
        <f>'Price Data'!E317/'Price Data'!E316-1</f>
        <v>8.4309247411562538E-4</v>
      </c>
    </row>
    <row r="317" spans="1:5" ht="15" customHeight="1" x14ac:dyDescent="0.2">
      <c r="A317" s="4" t="s">
        <v>319</v>
      </c>
      <c r="B317" s="7">
        <f>'Price Data'!B318/'Price Data'!B317-1</f>
        <v>-1.4619015941459867E-2</v>
      </c>
      <c r="C317" s="7">
        <f>'Price Data'!C318/'Price Data'!C317-1</f>
        <v>-1.3540713804121363E-2</v>
      </c>
      <c r="D317" s="7">
        <f>'Price Data'!D318/'Price Data'!D317-1</f>
        <v>-4.9120476890353038E-3</v>
      </c>
      <c r="E317" s="7">
        <f>'Price Data'!E318/'Price Data'!E317-1</f>
        <v>-1.0108256577851638E-2</v>
      </c>
    </row>
    <row r="318" spans="1:5" ht="15" customHeight="1" x14ac:dyDescent="0.2">
      <c r="A318" s="4" t="s">
        <v>320</v>
      </c>
      <c r="B318" s="7">
        <f>'Price Data'!B319/'Price Data'!B318-1</f>
        <v>-1.1490232759905128E-2</v>
      </c>
      <c r="C318" s="7">
        <f>'Price Data'!C319/'Price Data'!C318-1</f>
        <v>-1.1959714820262812E-2</v>
      </c>
      <c r="D318" s="7">
        <f>'Price Data'!D319/'Price Data'!D318-1</f>
        <v>1.1882958986387804E-2</v>
      </c>
      <c r="E318" s="7">
        <f>'Price Data'!E319/'Price Data'!E318-1</f>
        <v>-2.5530362083735492E-3</v>
      </c>
    </row>
    <row r="319" spans="1:5" ht="15" customHeight="1" x14ac:dyDescent="0.2">
      <c r="A319" s="4" t="s">
        <v>321</v>
      </c>
      <c r="B319" s="7">
        <f>'Price Data'!B320/'Price Data'!B319-1</f>
        <v>3.7854340401515252E-3</v>
      </c>
      <c r="C319" s="7">
        <f>'Price Data'!C320/'Price Data'!C319-1</f>
        <v>2.2009461682737097E-3</v>
      </c>
      <c r="D319" s="7">
        <f>'Price Data'!D320/'Price Data'!D319-1</f>
        <v>-9.9366644475230581E-3</v>
      </c>
      <c r="E319" s="7">
        <f>'Price Data'!E320/'Price Data'!E319-1</f>
        <v>-2.1804155070782594E-3</v>
      </c>
    </row>
    <row r="320" spans="1:5" ht="15" customHeight="1" x14ac:dyDescent="0.2">
      <c r="A320" s="4" t="s">
        <v>322</v>
      </c>
      <c r="B320" s="7">
        <f>'Price Data'!B321/'Price Data'!B320-1</f>
        <v>-3.1057445920578131E-3</v>
      </c>
      <c r="C320" s="7">
        <f>'Price Data'!C321/'Price Data'!C320-1</f>
        <v>4.1178614917258827E-4</v>
      </c>
      <c r="D320" s="7">
        <f>'Price Data'!D321/'Price Data'!D320-1</f>
        <v>1.6423188077752116E-3</v>
      </c>
      <c r="E320" s="7">
        <f>'Price Data'!E321/'Price Data'!E320-1</f>
        <v>-5.0350174168367623E-3</v>
      </c>
    </row>
    <row r="321" spans="1:5" ht="15" customHeight="1" x14ac:dyDescent="0.2">
      <c r="A321" s="4" t="s">
        <v>323</v>
      </c>
      <c r="B321" s="7">
        <f>'Price Data'!B322/'Price Data'!B321-1</f>
        <v>-1.5621533272648369E-2</v>
      </c>
      <c r="C321" s="7">
        <f>'Price Data'!C322/'Price Data'!C321-1</f>
        <v>-1.056376578880347E-2</v>
      </c>
      <c r="D321" s="7">
        <f>'Price Data'!D322/'Price Data'!D321-1</f>
        <v>-1.0748741930731498E-2</v>
      </c>
      <c r="E321" s="7">
        <f>'Price Data'!E322/'Price Data'!E321-1</f>
        <v>-4.296767815333502E-3</v>
      </c>
    </row>
    <row r="322" spans="1:5" ht="15" customHeight="1" x14ac:dyDescent="0.2">
      <c r="A322" s="4" t="s">
        <v>324</v>
      </c>
      <c r="B322" s="7">
        <f>'Price Data'!B323/'Price Data'!B322-1</f>
        <v>-3.0745131440745865E-3</v>
      </c>
      <c r="C322" s="7">
        <f>'Price Data'!C323/'Price Data'!C322-1</f>
        <v>-7.4875960310456513E-3</v>
      </c>
      <c r="D322" s="7">
        <f>'Price Data'!D323/'Price Data'!D322-1</f>
        <v>-1.4733646386153598E-3</v>
      </c>
      <c r="E322" s="7">
        <f>'Price Data'!E323/'Price Data'!E322-1</f>
        <v>3.1645604460512899E-3</v>
      </c>
    </row>
    <row r="323" spans="1:5" ht="15" customHeight="1" x14ac:dyDescent="0.2">
      <c r="A323" s="4" t="s">
        <v>325</v>
      </c>
      <c r="B323" s="7">
        <f>'Price Data'!B324/'Price Data'!B323-1</f>
        <v>1.3106776314265378E-2</v>
      </c>
      <c r="C323" s="7">
        <f>'Price Data'!C324/'Price Data'!C323-1</f>
        <v>1.0757278718471319E-2</v>
      </c>
      <c r="D323" s="7">
        <f>'Price Data'!D324/'Price Data'!D323-1</f>
        <v>7.1009201473348771E-3</v>
      </c>
      <c r="E323" s="7">
        <f>'Price Data'!E324/'Price Data'!E323-1</f>
        <v>2.0077117337253814E-3</v>
      </c>
    </row>
    <row r="324" spans="1:5" ht="15" customHeight="1" x14ac:dyDescent="0.2">
      <c r="A324" s="4" t="s">
        <v>326</v>
      </c>
      <c r="B324" s="7">
        <f>'Price Data'!B325/'Price Data'!B324-1</f>
        <v>-1.2176168885516869E-2</v>
      </c>
      <c r="C324" s="7">
        <f>'Price Data'!C325/'Price Data'!C324-1</f>
        <v>-4.561516237851504E-3</v>
      </c>
      <c r="D324" s="7">
        <f>'Price Data'!D325/'Price Data'!D324-1</f>
        <v>-4.303714418997906E-3</v>
      </c>
      <c r="E324" s="7">
        <f>'Price Data'!E325/'Price Data'!E324-1</f>
        <v>-8.1092024775578642E-3</v>
      </c>
    </row>
    <row r="325" spans="1:5" ht="15" customHeight="1" x14ac:dyDescent="0.2">
      <c r="A325" s="4" t="s">
        <v>327</v>
      </c>
      <c r="B325" s="7">
        <f>'Price Data'!B326/'Price Data'!B325-1</f>
        <v>-1.7218846061884951E-3</v>
      </c>
      <c r="C325" s="7">
        <f>'Price Data'!C326/'Price Data'!C325-1</f>
        <v>-5.8315172684981764E-3</v>
      </c>
      <c r="D325" s="7">
        <f>'Price Data'!D326/'Price Data'!D325-1</f>
        <v>-4.0465567591179141E-3</v>
      </c>
      <c r="E325" s="7">
        <f>'Price Data'!E326/'Price Data'!E325-1</f>
        <v>-3.0780968327229763E-3</v>
      </c>
    </row>
    <row r="326" spans="1:5" ht="15" customHeight="1" x14ac:dyDescent="0.2">
      <c r="A326" s="4" t="s">
        <v>328</v>
      </c>
      <c r="B326" s="7">
        <f>'Price Data'!B327/'Price Data'!B326-1</f>
        <v>1.7612939536288286E-2</v>
      </c>
      <c r="C326" s="7">
        <f>'Price Data'!C327/'Price Data'!C326-1</f>
        <v>4.7484048313182203E-3</v>
      </c>
      <c r="D326" s="7">
        <f>'Price Data'!D327/'Price Data'!D326-1</f>
        <v>2.1791432550982481E-2</v>
      </c>
      <c r="E326" s="7">
        <f>'Price Data'!E327/'Price Data'!E326-1</f>
        <v>-6.0784104726567811E-3</v>
      </c>
    </row>
    <row r="327" spans="1:5" ht="15" customHeight="1" x14ac:dyDescent="0.2">
      <c r="A327" s="4" t="s">
        <v>329</v>
      </c>
      <c r="B327" s="7">
        <f>'Price Data'!B328/'Price Data'!B327-1</f>
        <v>-1.2933914205126573E-3</v>
      </c>
      <c r="C327" s="7">
        <f>'Price Data'!C328/'Price Data'!C327-1</f>
        <v>6.6723503492922553E-3</v>
      </c>
      <c r="D327" s="7">
        <f>'Price Data'!D328/'Price Data'!D327-1</f>
        <v>1.6627499903252962E-2</v>
      </c>
      <c r="E327" s="7">
        <f>'Price Data'!E328/'Price Data'!E327-1</f>
        <v>5.7275945603030287E-3</v>
      </c>
    </row>
    <row r="328" spans="1:5" ht="15" customHeight="1" x14ac:dyDescent="0.2">
      <c r="A328" s="4" t="s">
        <v>330</v>
      </c>
      <c r="B328" s="7">
        <f>'Price Data'!B329/'Price Data'!B328-1</f>
        <v>-1.6348096487592501E-2</v>
      </c>
      <c r="C328" s="7">
        <f>'Price Data'!C329/'Price Data'!C328-1</f>
        <v>-1.0770280050868553E-2</v>
      </c>
      <c r="D328" s="7">
        <f>'Price Data'!D329/'Price Data'!D328-1</f>
        <v>-6.9334228678135101E-3</v>
      </c>
      <c r="E328" s="7">
        <f>'Price Data'!E329/'Price Data'!E328-1</f>
        <v>-5.5016601894208872E-3</v>
      </c>
    </row>
    <row r="329" spans="1:5" ht="15" customHeight="1" x14ac:dyDescent="0.2">
      <c r="A329" s="4" t="s">
        <v>331</v>
      </c>
      <c r="B329" s="7">
        <f>'Price Data'!B330/'Price Data'!B329-1</f>
        <v>-2.7245689638991544E-2</v>
      </c>
      <c r="C329" s="7">
        <f>'Price Data'!C330/'Price Data'!C329-1</f>
        <v>-1.6331740859138688E-2</v>
      </c>
      <c r="D329" s="7">
        <f>'Price Data'!D330/'Price Data'!D329-1</f>
        <v>-1.7543842588090053E-2</v>
      </c>
      <c r="E329" s="7">
        <f>'Price Data'!E330/'Price Data'!E329-1</f>
        <v>-9.7038375412006328E-4</v>
      </c>
    </row>
    <row r="330" spans="1:5" ht="15" customHeight="1" x14ac:dyDescent="0.2">
      <c r="A330" s="4" t="s">
        <v>332</v>
      </c>
      <c r="B330" s="7">
        <f>'Price Data'!B331/'Price Data'!B330-1</f>
        <v>5.4617548171178587E-3</v>
      </c>
      <c r="C330" s="7">
        <f>'Price Data'!C331/'Price Data'!C330-1</f>
        <v>-4.8248568510204093E-3</v>
      </c>
      <c r="D330" s="7">
        <f>'Price Data'!D331/'Price Data'!D330-1</f>
        <v>-2.5507468541922096E-3</v>
      </c>
      <c r="E330" s="7">
        <f>'Price Data'!E331/'Price Data'!E330-1</f>
        <v>6.7031124222278748E-3</v>
      </c>
    </row>
    <row r="331" spans="1:5" ht="15" customHeight="1" x14ac:dyDescent="0.2">
      <c r="A331" s="4" t="s">
        <v>333</v>
      </c>
      <c r="B331" s="7">
        <f>'Price Data'!B332/'Price Data'!B331-1</f>
        <v>-2.8506394155174086E-2</v>
      </c>
      <c r="C331" s="7">
        <f>'Price Data'!C332/'Price Data'!C331-1</f>
        <v>-2.7948192911194103E-2</v>
      </c>
      <c r="D331" s="7">
        <f>'Price Data'!D332/'Price Data'!D331-1</f>
        <v>-1.6441517266553407E-2</v>
      </c>
      <c r="E331" s="7">
        <f>'Price Data'!E332/'Price Data'!E331-1</f>
        <v>3.0876843730711645E-3</v>
      </c>
    </row>
    <row r="332" spans="1:5" ht="15" customHeight="1" x14ac:dyDescent="0.2">
      <c r="A332" s="4" t="s">
        <v>334</v>
      </c>
      <c r="B332" s="7">
        <f>'Price Data'!B333/'Price Data'!B332-1</f>
        <v>1.9593760574587726E-3</v>
      </c>
      <c r="C332" s="7">
        <f>'Price Data'!C333/'Price Data'!C332-1</f>
        <v>4.5477208389068657E-3</v>
      </c>
      <c r="D332" s="7">
        <f>'Price Data'!D333/'Price Data'!D332-1</f>
        <v>-6.5936686285710255E-3</v>
      </c>
      <c r="E332" s="7">
        <f>'Price Data'!E333/'Price Data'!E332-1</f>
        <v>-4.0404085028180603E-3</v>
      </c>
    </row>
    <row r="333" spans="1:5" ht="15" customHeight="1" x14ac:dyDescent="0.2">
      <c r="A333" s="4" t="s">
        <v>335</v>
      </c>
      <c r="B333" s="7">
        <f>'Price Data'!B334/'Price Data'!B333-1</f>
        <v>2.4372879602920783E-2</v>
      </c>
      <c r="C333" s="7">
        <f>'Price Data'!C334/'Price Data'!C333-1</f>
        <v>1.416451884608394E-2</v>
      </c>
      <c r="D333" s="7">
        <f>'Price Data'!D334/'Price Data'!D333-1</f>
        <v>1.8416400633840979E-2</v>
      </c>
      <c r="E333" s="7">
        <f>'Price Data'!E334/'Price Data'!E333-1</f>
        <v>-3.8633343552496591E-4</v>
      </c>
    </row>
    <row r="334" spans="1:5" ht="15" customHeight="1" x14ac:dyDescent="0.2">
      <c r="A334" s="4" t="s">
        <v>336</v>
      </c>
      <c r="B334" s="7">
        <f>'Price Data'!B335/'Price Data'!B334-1</f>
        <v>-3.6737053809534848E-2</v>
      </c>
      <c r="C334" s="7">
        <f>'Price Data'!C335/'Price Data'!C334-1</f>
        <v>-1.1662997567970623E-2</v>
      </c>
      <c r="D334" s="7">
        <f>'Price Data'!D335/'Price Data'!D334-1</f>
        <v>-4.5896766495074015E-2</v>
      </c>
      <c r="E334" s="7">
        <f>'Price Data'!E335/'Price Data'!E334-1</f>
        <v>-5.991122587736597E-3</v>
      </c>
    </row>
    <row r="335" spans="1:5" ht="15" customHeight="1" x14ac:dyDescent="0.2">
      <c r="A335" s="4" t="s">
        <v>337</v>
      </c>
      <c r="B335" s="7">
        <f>'Price Data'!B336/'Price Data'!B335-1</f>
        <v>7.5406865857921002E-3</v>
      </c>
      <c r="C335" s="7">
        <f>'Price Data'!C336/'Price Data'!C335-1</f>
        <v>-2.4766183477645809E-3</v>
      </c>
      <c r="D335" s="7">
        <f>'Price Data'!D336/'Price Data'!D335-1</f>
        <v>-2.41487760067427E-2</v>
      </c>
      <c r="E335" s="7">
        <f>'Price Data'!E336/'Price Data'!E335-1</f>
        <v>-5.4434562027863009E-3</v>
      </c>
    </row>
    <row r="336" spans="1:5" ht="15" customHeight="1" x14ac:dyDescent="0.2">
      <c r="A336" s="4" t="s">
        <v>338</v>
      </c>
      <c r="B336" s="7">
        <f>'Price Data'!B337/'Price Data'!B336-1</f>
        <v>4.7493736040908896E-3</v>
      </c>
      <c r="C336" s="7">
        <f>'Price Data'!C337/'Price Data'!C336-1</f>
        <v>7.4483656128667697E-3</v>
      </c>
      <c r="D336" s="7">
        <f>'Price Data'!D337/'Price Data'!D336-1</f>
        <v>1.2422591440889752E-2</v>
      </c>
      <c r="E336" s="7">
        <f>'Price Data'!E337/'Price Data'!E336-1</f>
        <v>2.2517259765328923E-3</v>
      </c>
    </row>
    <row r="337" spans="1:5" ht="15" customHeight="1" x14ac:dyDescent="0.2">
      <c r="A337" s="4" t="s">
        <v>339</v>
      </c>
      <c r="B337" s="7">
        <f>'Price Data'!B338/'Price Data'!B337-1</f>
        <v>2.9317791690962158E-2</v>
      </c>
      <c r="C337" s="7">
        <f>'Price Data'!C338/'Price Data'!C337-1</f>
        <v>1.7541310892620565E-2</v>
      </c>
      <c r="D337" s="7">
        <f>'Price Data'!D338/'Price Data'!D337-1</f>
        <v>1.1490864052459804E-2</v>
      </c>
      <c r="E337" s="7">
        <f>'Price Data'!E338/'Price Data'!E337-1</f>
        <v>6.4479500734520023E-3</v>
      </c>
    </row>
    <row r="338" spans="1:5" ht="15" customHeight="1" x14ac:dyDescent="0.2">
      <c r="A338" s="4" t="s">
        <v>340</v>
      </c>
      <c r="B338" s="7">
        <f>'Price Data'!B339/'Price Data'!B338-1</f>
        <v>-3.6878967354333492E-2</v>
      </c>
      <c r="C338" s="7">
        <f>'Price Data'!C339/'Price Data'!C338-1</f>
        <v>-3.2198120815822628E-2</v>
      </c>
      <c r="D338" s="7">
        <f>'Price Data'!D339/'Price Data'!D338-1</f>
        <v>-2.6667979945190434E-2</v>
      </c>
      <c r="E338" s="7">
        <f>'Price Data'!E339/'Price Data'!E338-1</f>
        <v>-9.9008680930531279E-3</v>
      </c>
    </row>
    <row r="339" spans="1:5" ht="15" customHeight="1" x14ac:dyDescent="0.2">
      <c r="A339" s="4" t="s">
        <v>341</v>
      </c>
      <c r="B339" s="7">
        <f>'Price Data'!B340/'Price Data'!B339-1</f>
        <v>-8.04344625631781E-3</v>
      </c>
      <c r="C339" s="7">
        <f>'Price Data'!C340/'Price Data'!C339-1</f>
        <v>-9.7160607634060314E-3</v>
      </c>
      <c r="D339" s="7">
        <f>'Price Data'!D340/'Price Data'!D339-1</f>
        <v>-1.1869224410990253E-2</v>
      </c>
      <c r="E339" s="7">
        <f>'Price Data'!E340/'Price Data'!E339-1</f>
        <v>-4.2155914394841343E-3</v>
      </c>
    </row>
    <row r="340" spans="1:5" ht="15" customHeight="1" x14ac:dyDescent="0.2">
      <c r="A340" s="4" t="s">
        <v>342</v>
      </c>
      <c r="B340" s="7">
        <f>'Price Data'!B341/'Price Data'!B340-1</f>
        <v>-3.5445695800541022E-2</v>
      </c>
      <c r="C340" s="7">
        <f>'Price Data'!C341/'Price Data'!C340-1</f>
        <v>-3.0176878331200085E-2</v>
      </c>
      <c r="D340" s="7">
        <f>'Price Data'!D341/'Price Data'!D340-1</f>
        <v>-4.4044306040807446E-2</v>
      </c>
      <c r="E340" s="7">
        <f>'Price Data'!E341/'Price Data'!E340-1</f>
        <v>4.9229392791780846E-3</v>
      </c>
    </row>
    <row r="341" spans="1:5" ht="15" customHeight="1" x14ac:dyDescent="0.2">
      <c r="A341" s="4" t="s">
        <v>343</v>
      </c>
      <c r="B341" s="7">
        <f>'Price Data'!B342/'Price Data'!B341-1</f>
        <v>2.0137543591725038E-3</v>
      </c>
      <c r="C341" s="7">
        <f>'Price Data'!C342/'Price Data'!C341-1</f>
        <v>7.5108562503685139E-3</v>
      </c>
      <c r="D341" s="7">
        <f>'Price Data'!D342/'Price Data'!D341-1</f>
        <v>-1.8219898345509966E-2</v>
      </c>
      <c r="E341" s="7">
        <f>'Price Data'!E342/'Price Data'!E341-1</f>
        <v>3.0366844681086747E-3</v>
      </c>
    </row>
    <row r="342" spans="1:5" ht="15" customHeight="1" x14ac:dyDescent="0.2">
      <c r="A342" s="4" t="s">
        <v>344</v>
      </c>
      <c r="B342" s="7">
        <f>'Price Data'!B343/'Price Data'!B342-1</f>
        <v>-1.8086062989663088E-2</v>
      </c>
      <c r="C342" s="7">
        <f>'Price Data'!C343/'Price Data'!C342-1</f>
        <v>-5.9335052133401289E-3</v>
      </c>
      <c r="D342" s="7">
        <f>'Price Data'!D343/'Price Data'!D342-1</f>
        <v>-2.1329874048587882E-3</v>
      </c>
      <c r="E342" s="7">
        <f>'Price Data'!E343/'Price Data'!E342-1</f>
        <v>3.7116234589689157E-3</v>
      </c>
    </row>
    <row r="343" spans="1:5" ht="15" customHeight="1" x14ac:dyDescent="0.2">
      <c r="A343" s="4" t="s">
        <v>345</v>
      </c>
      <c r="B343" s="7">
        <f>'Price Data'!B344/'Price Data'!B343-1</f>
        <v>1.0745655986272862E-3</v>
      </c>
      <c r="C343" s="7">
        <f>'Price Data'!C344/'Price Data'!C343-1</f>
        <v>-2.4487300087140396E-3</v>
      </c>
      <c r="D343" s="7">
        <f>'Price Data'!D344/'Price Data'!D343-1</f>
        <v>7.8025440570850257E-3</v>
      </c>
      <c r="E343" s="7">
        <f>'Price Data'!E344/'Price Data'!E343-1</f>
        <v>1.8492064969561905E-3</v>
      </c>
    </row>
    <row r="344" spans="1:5" ht="15" customHeight="1" x14ac:dyDescent="0.2">
      <c r="A344" s="4" t="s">
        <v>346</v>
      </c>
      <c r="B344" s="7">
        <f>'Price Data'!B345/'Price Data'!B344-1</f>
        <v>2.678121476558859E-2</v>
      </c>
      <c r="C344" s="7">
        <f>'Price Data'!C345/'Price Data'!C344-1</f>
        <v>2.7769148441408653E-2</v>
      </c>
      <c r="D344" s="7">
        <f>'Price Data'!D345/'Price Data'!D344-1</f>
        <v>2.6407855478341569E-2</v>
      </c>
      <c r="E344" s="7">
        <f>'Price Data'!E345/'Price Data'!E344-1</f>
        <v>-4.2737970317628937E-3</v>
      </c>
    </row>
    <row r="345" spans="1:5" ht="15" customHeight="1" x14ac:dyDescent="0.2">
      <c r="A345" s="4" t="s">
        <v>347</v>
      </c>
      <c r="B345" s="7">
        <f>'Price Data'!B346/'Price Data'!B345-1</f>
        <v>-4.9278648548788384E-3</v>
      </c>
      <c r="C345" s="7">
        <f>'Price Data'!C346/'Price Data'!C345-1</f>
        <v>8.9580337596406601E-4</v>
      </c>
      <c r="D345" s="7">
        <f>'Price Data'!D346/'Price Data'!D345-1</f>
        <v>-6.3029364808073751E-3</v>
      </c>
      <c r="E345" s="7">
        <f>'Price Data'!E346/'Price Data'!E345-1</f>
        <v>2.2437226290992207E-3</v>
      </c>
    </row>
    <row r="346" spans="1:5" ht="15" customHeight="1" x14ac:dyDescent="0.2">
      <c r="A346" s="4" t="s">
        <v>348</v>
      </c>
      <c r="B346" s="7">
        <f>'Price Data'!B347/'Price Data'!B346-1</f>
        <v>2.1359629125426771E-2</v>
      </c>
      <c r="C346" s="7">
        <f>'Price Data'!C347/'Price Data'!C346-1</f>
        <v>1.8642829744181633E-2</v>
      </c>
      <c r="D346" s="7">
        <f>'Price Data'!D347/'Price Data'!D346-1</f>
        <v>1.3621711062995479E-2</v>
      </c>
      <c r="E346" s="7">
        <f>'Price Data'!E347/'Price Data'!E346-1</f>
        <v>-5.4510490611575646E-3</v>
      </c>
    </row>
    <row r="347" spans="1:5" ht="15" customHeight="1" x14ac:dyDescent="0.2">
      <c r="A347" s="4" t="s">
        <v>349</v>
      </c>
      <c r="B347" s="7">
        <f>'Price Data'!B348/'Price Data'!B347-1</f>
        <v>-3.913228180481243E-2</v>
      </c>
      <c r="C347" s="7">
        <f>'Price Data'!C348/'Price Data'!C347-1</f>
        <v>-2.3865341374422755E-2</v>
      </c>
      <c r="D347" s="7">
        <f>'Price Data'!D348/'Price Data'!D347-1</f>
        <v>-2.9031805058114868E-2</v>
      </c>
      <c r="E347" s="7">
        <f>'Price Data'!E348/'Price Data'!E347-1</f>
        <v>4.0129208597341481E-3</v>
      </c>
    </row>
    <row r="348" spans="1:5" ht="15" customHeight="1" x14ac:dyDescent="0.2">
      <c r="A348" s="4" t="s">
        <v>350</v>
      </c>
      <c r="B348" s="7">
        <f>'Price Data'!B349/'Price Data'!B348-1</f>
        <v>-4.4343784274428755E-3</v>
      </c>
      <c r="C348" s="7">
        <f>'Price Data'!C349/'Price Data'!C348-1</f>
        <v>9.5995208911459073E-3</v>
      </c>
      <c r="D348" s="7">
        <f>'Price Data'!D349/'Price Data'!D348-1</f>
        <v>-4.4374514011070731E-3</v>
      </c>
      <c r="E348" s="7">
        <f>'Price Data'!E349/'Price Data'!E348-1</f>
        <v>2.5341426090692565E-3</v>
      </c>
    </row>
    <row r="349" spans="1:5" ht="15" customHeight="1" x14ac:dyDescent="0.2">
      <c r="A349" s="4" t="s">
        <v>351</v>
      </c>
      <c r="B349" s="7">
        <f>'Price Data'!B350/'Price Data'!B349-1</f>
        <v>0</v>
      </c>
      <c r="C349" s="7">
        <f>'Price Data'!C350/'Price Data'!C349-1</f>
        <v>6.833938140306417E-3</v>
      </c>
      <c r="D349" s="7">
        <f>'Price Data'!D350/'Price Data'!D349-1</f>
        <v>6.3674304553440475E-3</v>
      </c>
      <c r="E349" s="7">
        <f>'Price Data'!E350/'Price Data'!E349-1</f>
        <v>3.0145127587710707E-3</v>
      </c>
    </row>
    <row r="350" spans="1:5" ht="15" customHeight="1" x14ac:dyDescent="0.2">
      <c r="A350" s="4" t="s">
        <v>352</v>
      </c>
      <c r="B350" s="7">
        <f>'Price Data'!B351/'Price Data'!B350-1</f>
        <v>1.7100107644232088E-2</v>
      </c>
      <c r="C350" s="7">
        <f>'Price Data'!C351/'Price Data'!C350-1</f>
        <v>1.6969139586505921E-2</v>
      </c>
      <c r="D350" s="7">
        <f>'Price Data'!D351/'Price Data'!D350-1</f>
        <v>1.1599873210821121E-2</v>
      </c>
      <c r="E350" s="7">
        <f>'Price Data'!E351/'Price Data'!E350-1</f>
        <v>-3.2963499160933996E-3</v>
      </c>
    </row>
    <row r="351" spans="1:5" ht="15" customHeight="1" x14ac:dyDescent="0.2">
      <c r="A351" s="4" t="s">
        <v>353</v>
      </c>
      <c r="B351" s="7">
        <f>'Price Data'!B352/'Price Data'!B351-1</f>
        <v>-1.0017194733516699E-2</v>
      </c>
      <c r="C351" s="7">
        <f>'Price Data'!C352/'Price Data'!C351-1</f>
        <v>-1.5960299184748505E-3</v>
      </c>
      <c r="D351" s="7">
        <f>'Price Data'!D352/'Price Data'!D351-1</f>
        <v>8.4437111406285847E-3</v>
      </c>
      <c r="E351" s="7">
        <f>'Price Data'!E352/'Price Data'!E351-1</f>
        <v>7.6836822411219252E-3</v>
      </c>
    </row>
    <row r="352" spans="1:5" ht="15" customHeight="1" x14ac:dyDescent="0.2">
      <c r="A352" s="4" t="s">
        <v>354</v>
      </c>
      <c r="B352" s="7">
        <f>'Price Data'!B353/'Price Data'!B352-1</f>
        <v>1.1135527102763776E-2</v>
      </c>
      <c r="C352" s="7">
        <f>'Price Data'!C353/'Price Data'!C352-1</f>
        <v>2.9076687854501237E-4</v>
      </c>
      <c r="D352" s="7">
        <f>'Price Data'!D353/'Price Data'!D352-1</f>
        <v>8.4763338363416096E-3</v>
      </c>
      <c r="E352" s="7">
        <f>'Price Data'!E353/'Price Data'!E352-1</f>
        <v>4.1499989704560925E-3</v>
      </c>
    </row>
    <row r="353" spans="1:5" ht="15" customHeight="1" x14ac:dyDescent="0.2">
      <c r="A353" s="4" t="s">
        <v>355</v>
      </c>
      <c r="B353" s="7">
        <f>'Price Data'!B354/'Price Data'!B353-1</f>
        <v>2.0466637609736216E-2</v>
      </c>
      <c r="C353" s="7">
        <f>'Price Data'!C354/'Price Data'!C353-1</f>
        <v>1.104172971784334E-2</v>
      </c>
      <c r="D353" s="7">
        <f>'Price Data'!D354/'Price Data'!D353-1</f>
        <v>1.2301851198464053E-3</v>
      </c>
      <c r="E353" s="7">
        <f>'Price Data'!E354/'Price Data'!E353-1</f>
        <v>-7.6922112251731622E-4</v>
      </c>
    </row>
    <row r="354" spans="1:5" ht="15" customHeight="1" x14ac:dyDescent="0.2">
      <c r="A354" s="4" t="s">
        <v>356</v>
      </c>
      <c r="B354" s="7">
        <f>'Price Data'!B355/'Price Data'!B354-1</f>
        <v>2.5328853817254027E-2</v>
      </c>
      <c r="C354" s="7">
        <f>'Price Data'!C355/'Price Data'!C354-1</f>
        <v>1.2070669008185098E-2</v>
      </c>
      <c r="D354" s="7">
        <f>'Price Data'!D355/'Price Data'!D354-1</f>
        <v>2.6821993406167755E-2</v>
      </c>
      <c r="E354" s="7">
        <f>'Price Data'!E355/'Price Data'!E354-1</f>
        <v>1.6354504187843233E-3</v>
      </c>
    </row>
    <row r="355" spans="1:5" ht="15" customHeight="1" x14ac:dyDescent="0.2">
      <c r="A355" s="4" t="s">
        <v>357</v>
      </c>
      <c r="B355" s="7">
        <f>'Price Data'!B356/'Price Data'!B355-1</f>
        <v>-8.2182083917843318E-3</v>
      </c>
      <c r="C355" s="7">
        <f>'Price Data'!C356/'Price Data'!C355-1</f>
        <v>-5.9632284679761449E-3</v>
      </c>
      <c r="D355" s="7">
        <f>'Price Data'!D356/'Price Data'!D355-1</f>
        <v>-1.2263219575584849E-2</v>
      </c>
      <c r="E355" s="7">
        <f>'Price Data'!E356/'Price Data'!E355-1</f>
        <v>-6.3384309665722727E-3</v>
      </c>
    </row>
    <row r="356" spans="1:5" ht="15" customHeight="1" x14ac:dyDescent="0.2">
      <c r="A356" s="4" t="s">
        <v>358</v>
      </c>
      <c r="B356" s="7">
        <f>'Price Data'!B357/'Price Data'!B356-1</f>
        <v>-6.5905470019673729E-3</v>
      </c>
      <c r="C356" s="7">
        <f>'Price Data'!C357/'Price Data'!C356-1</f>
        <v>-1.0570152611719008E-2</v>
      </c>
      <c r="D356" s="7">
        <f>'Price Data'!D357/'Price Data'!D356-1</f>
        <v>-8.2768907791112012E-3</v>
      </c>
      <c r="E356" s="7">
        <f>'Price Data'!E357/'Price Data'!E356-1</f>
        <v>-4.1048359667404943E-3</v>
      </c>
    </row>
    <row r="357" spans="1:5" ht="15" customHeight="1" x14ac:dyDescent="0.2">
      <c r="A357" s="4" t="s">
        <v>359</v>
      </c>
      <c r="B357" s="7">
        <f>'Price Data'!B358/'Price Data'!B357-1</f>
        <v>2.0390280130064387E-2</v>
      </c>
      <c r="C357" s="7">
        <f>'Price Data'!C358/'Price Data'!C357-1</f>
        <v>2.0788287017986073E-2</v>
      </c>
      <c r="D357" s="7">
        <f>'Price Data'!D358/'Price Data'!D357-1</f>
        <v>1.3740453794638841E-2</v>
      </c>
      <c r="E357" s="7">
        <f>'Price Data'!E358/'Price Data'!E357-1</f>
        <v>1.2636980470899228E-3</v>
      </c>
    </row>
    <row r="358" spans="1:5" ht="15" customHeight="1" x14ac:dyDescent="0.2">
      <c r="A358" s="4" t="s">
        <v>360</v>
      </c>
      <c r="B358" s="7">
        <f>'Price Data'!B359/'Price Data'!B358-1</f>
        <v>-1.5966998824041401E-2</v>
      </c>
      <c r="C358" s="7">
        <f>'Price Data'!C359/'Price Data'!C358-1</f>
        <v>-1.4283718848673299E-2</v>
      </c>
      <c r="D358" s="7">
        <f>'Price Data'!D359/'Price Data'!D358-1</f>
        <v>-1.3353411628503231E-2</v>
      </c>
      <c r="E358" s="7">
        <f>'Price Data'!E359/'Price Data'!E358-1</f>
        <v>-1.6507909057147385E-3</v>
      </c>
    </row>
    <row r="359" spans="1:5" ht="15" customHeight="1" x14ac:dyDescent="0.2">
      <c r="A359" s="4" t="s">
        <v>361</v>
      </c>
      <c r="B359" s="7">
        <f>'Price Data'!B360/'Price Data'!B359-1</f>
        <v>2.9632664713976631E-3</v>
      </c>
      <c r="C359" s="7">
        <f>'Price Data'!C360/'Price Data'!C359-1</f>
        <v>4.0173114710577718E-3</v>
      </c>
      <c r="D359" s="7">
        <f>'Price Data'!D360/'Price Data'!D359-1</f>
        <v>-3.1545875017527925E-3</v>
      </c>
      <c r="E359" s="7">
        <f>'Price Data'!E360/'Price Data'!E359-1</f>
        <v>-6.127183629188071E-3</v>
      </c>
    </row>
    <row r="360" spans="1:5" ht="15" customHeight="1" x14ac:dyDescent="0.2">
      <c r="A360" s="4" t="s">
        <v>362</v>
      </c>
      <c r="B360" s="7">
        <f>'Price Data'!B361/'Price Data'!B360-1</f>
        <v>1.0850112866643169E-2</v>
      </c>
      <c r="C360" s="7">
        <f>'Price Data'!C361/'Price Data'!C360-1</f>
        <v>3.0007558219455888E-3</v>
      </c>
      <c r="D360" s="7">
        <f>'Price Data'!D361/'Price Data'!D360-1</f>
        <v>1.3781131137985847E-2</v>
      </c>
      <c r="E360" s="7">
        <f>'Price Data'!E361/'Price Data'!E360-1</f>
        <v>3.8167261855046597E-3</v>
      </c>
    </row>
    <row r="361" spans="1:5" ht="15" customHeight="1" x14ac:dyDescent="0.2">
      <c r="A361" s="4" t="s">
        <v>363</v>
      </c>
      <c r="B361" s="7">
        <f>'Price Data'!B362/'Price Data'!B361-1</f>
        <v>-1.1212733946798337E-2</v>
      </c>
      <c r="C361" s="7">
        <f>'Price Data'!C362/'Price Data'!C361-1</f>
        <v>-1.3962026930996685E-2</v>
      </c>
      <c r="D361" s="7">
        <f>'Price Data'!D362/'Price Data'!D361-1</f>
        <v>-2.3059188325396107E-2</v>
      </c>
      <c r="E361" s="7">
        <f>'Price Data'!E362/'Price Data'!E361-1</f>
        <v>-4.0944018354120981E-3</v>
      </c>
    </row>
    <row r="362" spans="1:5" ht="15" customHeight="1" x14ac:dyDescent="0.2">
      <c r="A362" s="4" t="s">
        <v>364</v>
      </c>
      <c r="B362" s="7">
        <f>'Price Data'!B363/'Price Data'!B362-1</f>
        <v>-2.3939949338362299E-2</v>
      </c>
      <c r="C362" s="7">
        <f>'Price Data'!C363/'Price Data'!C362-1</f>
        <v>-2.1000718475775781E-2</v>
      </c>
      <c r="D362" s="7">
        <f>'Price Data'!D363/'Price Data'!D362-1</f>
        <v>-2.3706488885886334E-2</v>
      </c>
      <c r="E362" s="7">
        <f>'Price Data'!E363/'Price Data'!E362-1</f>
        <v>-1.0769940023241942E-3</v>
      </c>
    </row>
    <row r="363" spans="1:5" ht="15" customHeight="1" x14ac:dyDescent="0.2">
      <c r="A363" s="4" t="s">
        <v>365</v>
      </c>
      <c r="B363" s="7">
        <f>'Price Data'!B364/'Price Data'!B363-1</f>
        <v>-2.9690674033120867E-2</v>
      </c>
      <c r="C363" s="7">
        <f>'Price Data'!C364/'Price Data'!C363-1</f>
        <v>-2.413627083303227E-2</v>
      </c>
      <c r="D363" s="7">
        <f>'Price Data'!D364/'Price Data'!D363-1</f>
        <v>-2.2170668110886083E-2</v>
      </c>
      <c r="E363" s="7">
        <f>'Price Data'!E364/'Price Data'!E363-1</f>
        <v>-7.741193779830513E-3</v>
      </c>
    </row>
    <row r="364" spans="1:5" ht="15" customHeight="1" x14ac:dyDescent="0.2">
      <c r="A364" s="4" t="s">
        <v>366</v>
      </c>
      <c r="B364" s="7">
        <f>'Price Data'!B365/'Price Data'!B364-1</f>
        <v>-4.0833024008576135E-2</v>
      </c>
      <c r="C364" s="7">
        <f>'Price Data'!C365/'Price Data'!C364-1</f>
        <v>-3.3080922430976045E-2</v>
      </c>
      <c r="D364" s="7">
        <f>'Price Data'!D365/'Price Data'!D364-1</f>
        <v>-4.9989037127432856E-2</v>
      </c>
      <c r="E364" s="7">
        <f>'Price Data'!E365/'Price Data'!E364-1</f>
        <v>-1.6393483938187625E-2</v>
      </c>
    </row>
    <row r="365" spans="1:5" ht="15" customHeight="1" x14ac:dyDescent="0.2">
      <c r="A365" s="4" t="s">
        <v>367</v>
      </c>
      <c r="B365" s="7">
        <f>'Price Data'!B366/'Price Data'!B365-1</f>
        <v>-2.8273914767407149E-3</v>
      </c>
      <c r="C365" s="7">
        <f>'Price Data'!C366/'Price Data'!C365-1</f>
        <v>-9.4324234245866112E-3</v>
      </c>
      <c r="D365" s="7">
        <f>'Price Data'!D366/'Price Data'!D365-1</f>
        <v>-7.6143714585930056E-3</v>
      </c>
      <c r="E365" s="7">
        <f>'Price Data'!E366/'Price Data'!E365-1</f>
        <v>-5.9235300577797911E-3</v>
      </c>
    </row>
    <row r="366" spans="1:5" ht="15" customHeight="1" x14ac:dyDescent="0.2">
      <c r="A366" s="4" t="s">
        <v>368</v>
      </c>
      <c r="B366" s="7">
        <f>'Price Data'!B367/'Price Data'!B366-1</f>
        <v>1.4551691273959388E-2</v>
      </c>
      <c r="C366" s="7">
        <f>'Price Data'!C367/'Price Data'!C366-1</f>
        <v>1.8721712216324127E-2</v>
      </c>
      <c r="D366" s="7">
        <f>'Price Data'!D367/'Price Data'!D366-1</f>
        <v>2.3705712888928421E-2</v>
      </c>
      <c r="E366" s="7">
        <f>'Price Data'!E367/'Price Data'!E366-1</f>
        <v>1.1109830260877418E-2</v>
      </c>
    </row>
    <row r="367" spans="1:5" ht="15" customHeight="1" x14ac:dyDescent="0.2">
      <c r="A367" s="4" t="s">
        <v>369</v>
      </c>
      <c r="B367" s="7">
        <f>'Price Data'!B368/'Price Data'!B367-1</f>
        <v>-3.4908271044492123E-2</v>
      </c>
      <c r="C367" s="7">
        <f>'Price Data'!C368/'Price Data'!C367-1</f>
        <v>-2.2021599329038688E-2</v>
      </c>
      <c r="D367" s="7">
        <f>'Price Data'!D368/'Price Data'!D367-1</f>
        <v>-2.628917576796308E-2</v>
      </c>
      <c r="E367" s="7">
        <f>'Price Data'!E368/'Price Data'!E367-1</f>
        <v>2.3974601022531683E-3</v>
      </c>
    </row>
    <row r="368" spans="1:5" ht="15" customHeight="1" x14ac:dyDescent="0.2">
      <c r="A368" s="4" t="s">
        <v>370</v>
      </c>
      <c r="B368" s="7">
        <f>'Price Data'!B369/'Price Data'!B368-1</f>
        <v>3.7701026388861081E-3</v>
      </c>
      <c r="C368" s="7">
        <f>'Price Data'!C369/'Price Data'!C368-1</f>
        <v>-4.0497653469908634E-3</v>
      </c>
      <c r="D368" s="7">
        <f>'Price Data'!D369/'Price Data'!D368-1</f>
        <v>7.5826417138609159E-3</v>
      </c>
      <c r="E368" s="7">
        <f>'Price Data'!E369/'Price Data'!E368-1</f>
        <v>-9.9706405413901855E-5</v>
      </c>
    </row>
    <row r="369" spans="1:5" ht="15" customHeight="1" x14ac:dyDescent="0.2">
      <c r="A369" s="4" t="s">
        <v>371</v>
      </c>
      <c r="B369" s="7">
        <f>'Price Data'!B370/'Price Data'!B369-1</f>
        <v>2.4222850756274505E-2</v>
      </c>
      <c r="C369" s="7">
        <f>'Price Data'!C370/'Price Data'!C369-1</f>
        <v>1.5126798026677601E-2</v>
      </c>
      <c r="D369" s="7">
        <f>'Price Data'!D370/'Price Data'!D369-1</f>
        <v>1.3911123292930982E-2</v>
      </c>
      <c r="E369" s="7">
        <f>'Price Data'!E370/'Price Data'!E369-1</f>
        <v>-3.9863736777604464E-3</v>
      </c>
    </row>
    <row r="370" spans="1:5" ht="15" customHeight="1" x14ac:dyDescent="0.2">
      <c r="A370" s="4" t="s">
        <v>372</v>
      </c>
      <c r="B370" s="7">
        <f>'Price Data'!B371/'Price Data'!B370-1</f>
        <v>-1.5926000000587859E-4</v>
      </c>
      <c r="C370" s="7">
        <f>'Price Data'!C371/'Price Data'!C370-1</f>
        <v>-6.7296456918299885E-3</v>
      </c>
      <c r="D370" s="7">
        <f>'Price Data'!D371/'Price Data'!D370-1</f>
        <v>1.2708072930348369E-2</v>
      </c>
      <c r="E370" s="7">
        <f>'Price Data'!E371/'Price Data'!E370-1</f>
        <v>8.5053221881443708E-3</v>
      </c>
    </row>
    <row r="371" spans="1:5" ht="15" customHeight="1" x14ac:dyDescent="0.2">
      <c r="A371" s="4" t="s">
        <v>373</v>
      </c>
      <c r="B371" s="7">
        <f>'Price Data'!B372/'Price Data'!B371-1</f>
        <v>9.0669469767516997E-3</v>
      </c>
      <c r="C371" s="7">
        <f>'Price Data'!C372/'Price Data'!C371-1</f>
        <v>-1.1293219878995009E-3</v>
      </c>
      <c r="D371" s="7">
        <f>'Price Data'!D372/'Price Data'!D371-1</f>
        <v>1.899855280337337E-2</v>
      </c>
      <c r="E371" s="7">
        <f>'Price Data'!E372/'Price Data'!E371-1</f>
        <v>4.1665055075388313E-3</v>
      </c>
    </row>
    <row r="372" spans="1:5" ht="15" customHeight="1" x14ac:dyDescent="0.2">
      <c r="A372" s="4" t="s">
        <v>374</v>
      </c>
      <c r="B372" s="7">
        <f>'Price Data'!B373/'Price Data'!B372-1</f>
        <v>3.2314418756655083E-2</v>
      </c>
      <c r="C372" s="7">
        <f>'Price Data'!C373/'Price Data'!C372-1</f>
        <v>2.9877303351968587E-2</v>
      </c>
      <c r="D372" s="7">
        <f>'Price Data'!D373/'Price Data'!D372-1</f>
        <v>2.1276480283150878E-2</v>
      </c>
      <c r="E372" s="7">
        <f>'Price Data'!E373/'Price Data'!E372-1</f>
        <v>-1.5805301775353442E-3</v>
      </c>
    </row>
    <row r="373" spans="1:5" ht="15" customHeight="1" x14ac:dyDescent="0.2">
      <c r="A373" s="4" t="s">
        <v>375</v>
      </c>
      <c r="B373" s="7">
        <f>'Price Data'!B374/'Price Data'!B373-1</f>
        <v>-3.0738868314433843E-3</v>
      </c>
      <c r="C373" s="7">
        <f>'Price Data'!C374/'Price Data'!C373-1</f>
        <v>-4.2339567524648514E-3</v>
      </c>
      <c r="D373" s="7">
        <f>'Price Data'!D374/'Price Data'!D373-1</f>
        <v>-1.5031794385068631E-3</v>
      </c>
      <c r="E373" s="7">
        <f>'Price Data'!E374/'Price Data'!E373-1</f>
        <v>-4.4534428468595566E-3</v>
      </c>
    </row>
    <row r="374" spans="1:5" ht="15" customHeight="1" x14ac:dyDescent="0.2">
      <c r="A374" s="4" t="s">
        <v>376</v>
      </c>
      <c r="B374" s="7">
        <f>'Price Data'!B375/'Price Data'!B374-1</f>
        <v>-2.0607501413557605E-2</v>
      </c>
      <c r="C374" s="7">
        <f>'Price Data'!C375/'Price Data'!C374-1</f>
        <v>-6.7716339892215371E-3</v>
      </c>
      <c r="D374" s="7">
        <f>'Price Data'!D375/'Price Data'!D374-1</f>
        <v>-1.2153261562850459E-2</v>
      </c>
      <c r="E374" s="7">
        <f>'Price Data'!E375/'Price Data'!E374-1</f>
        <v>3.9800953245960891E-4</v>
      </c>
    </row>
    <row r="375" spans="1:5" ht="15" customHeight="1" x14ac:dyDescent="0.2">
      <c r="A375" s="4" t="s">
        <v>377</v>
      </c>
      <c r="B375" s="7">
        <f>'Price Data'!B376/'Price Data'!B375-1</f>
        <v>-1.6791076538900107E-3</v>
      </c>
      <c r="C375" s="7">
        <f>'Price Data'!C376/'Price Data'!C375-1</f>
        <v>-3.8052798997478821E-3</v>
      </c>
      <c r="D375" s="7">
        <f>'Price Data'!D376/'Price Data'!D375-1</f>
        <v>-6.2056530926594133E-3</v>
      </c>
      <c r="E375" s="7">
        <f>'Price Data'!E376/'Price Data'!E375-1</f>
        <v>5.7631585781470207E-3</v>
      </c>
    </row>
    <row r="376" spans="1:5" ht="15" customHeight="1" x14ac:dyDescent="0.2">
      <c r="A376" s="4" t="s">
        <v>378</v>
      </c>
      <c r="B376" s="7">
        <f>'Price Data'!B377/'Price Data'!B376-1</f>
        <v>-8.6198156238271872E-3</v>
      </c>
      <c r="C376" s="7">
        <f>'Price Data'!C377/'Price Data'!C376-1</f>
        <v>-5.4113880517607793E-3</v>
      </c>
      <c r="D376" s="7">
        <f>'Price Data'!D377/'Price Data'!D376-1</f>
        <v>-1.8625683198797427E-3</v>
      </c>
      <c r="E376" s="7">
        <f>'Price Data'!E377/'Price Data'!E376-1</f>
        <v>4.5440291446612324E-3</v>
      </c>
    </row>
    <row r="377" spans="1:5" ht="15" customHeight="1" x14ac:dyDescent="0.2">
      <c r="A377" s="4" t="s">
        <v>379</v>
      </c>
      <c r="B377" s="7">
        <f>'Price Data'!B378/'Price Data'!B377-1</f>
        <v>1.0550413569707873E-2</v>
      </c>
      <c r="C377" s="7">
        <f>'Price Data'!C378/'Price Data'!C377-1</f>
        <v>2.4003482438721413E-3</v>
      </c>
      <c r="D377" s="7">
        <f>'Price Data'!D378/'Price Data'!D377-1</f>
        <v>1.8000244290017342E-2</v>
      </c>
      <c r="E377" s="7">
        <f>'Price Data'!E378/'Price Data'!E377-1</f>
        <v>8.3354580256858046E-3</v>
      </c>
    </row>
    <row r="378" spans="1:5" ht="15" customHeight="1" x14ac:dyDescent="0.2">
      <c r="A378" s="4" t="s">
        <v>380</v>
      </c>
      <c r="B378" s="7">
        <f>'Price Data'!B379/'Price Data'!B378-1</f>
        <v>3.5675420240128819E-3</v>
      </c>
      <c r="C378" s="7">
        <f>'Price Data'!C379/'Price Data'!C378-1</f>
        <v>-2.1392077980074808E-2</v>
      </c>
      <c r="D378" s="7">
        <f>'Price Data'!D379/'Price Data'!D378-1</f>
        <v>-2.8031152709016016E-3</v>
      </c>
      <c r="E378" s="7">
        <f>'Price Data'!E379/'Price Data'!E378-1</f>
        <v>1.8566762970877448E-3</v>
      </c>
    </row>
    <row r="379" spans="1:5" ht="15" customHeight="1" x14ac:dyDescent="0.2">
      <c r="A379" s="4" t="s">
        <v>381</v>
      </c>
      <c r="B379" s="7">
        <f>'Price Data'!B380/'Price Data'!B379-1</f>
        <v>1.9863705897988915E-3</v>
      </c>
      <c r="C379" s="7">
        <f>'Price Data'!C380/'Price Data'!C379-1</f>
        <v>8.1564854020355071E-4</v>
      </c>
      <c r="D379" s="7">
        <f>'Price Data'!D380/'Price Data'!D379-1</f>
        <v>-1.8381040516488589E-3</v>
      </c>
      <c r="E379" s="7">
        <f>'Price Data'!E380/'Price Data'!E379-1</f>
        <v>-6.729715394884872E-3</v>
      </c>
    </row>
    <row r="380" spans="1:5" ht="15" customHeight="1" x14ac:dyDescent="0.2">
      <c r="A380" s="4" t="s">
        <v>382</v>
      </c>
      <c r="B380" s="7">
        <f>'Price Data'!B381/'Price Data'!B380-1</f>
        <v>1.6486641381294298E-2</v>
      </c>
      <c r="C380" s="7">
        <f>'Price Data'!C381/'Price Data'!C380-1</f>
        <v>1.51588523424393E-2</v>
      </c>
      <c r="D380" s="7">
        <f>'Price Data'!D381/'Price Data'!D380-1</f>
        <v>2.7079056754637509E-3</v>
      </c>
      <c r="E380" s="7">
        <f>'Price Data'!E381/'Price Data'!E380-1</f>
        <v>-2.2581495990260381E-3</v>
      </c>
    </row>
    <row r="381" spans="1:5" ht="15" customHeight="1" x14ac:dyDescent="0.2">
      <c r="A381" s="4" t="s">
        <v>383</v>
      </c>
      <c r="B381" s="7">
        <f>'Price Data'!B382/'Price Data'!B381-1</f>
        <v>-1.0262185330123241E-3</v>
      </c>
      <c r="C381" s="7">
        <f>'Price Data'!C382/'Price Data'!C381-1</f>
        <v>1.1239947279042539E-3</v>
      </c>
      <c r="D381" s="7">
        <f>'Price Data'!D382/'Price Data'!D381-1</f>
        <v>-5.2934066488343756E-3</v>
      </c>
      <c r="E381" s="7">
        <f>'Price Data'!E382/'Price Data'!E381-1</f>
        <v>-3.7396831297146216E-3</v>
      </c>
    </row>
    <row r="382" spans="1:5" ht="15" customHeight="1" x14ac:dyDescent="0.2">
      <c r="A382" s="4" t="s">
        <v>384</v>
      </c>
      <c r="B382" s="7">
        <f>'Price Data'!B383/'Price Data'!B382-1</f>
        <v>-1.2639701130481407E-2</v>
      </c>
      <c r="C382" s="7">
        <f>'Price Data'!C383/'Price Data'!C382-1</f>
        <v>-1.6198939231950926E-2</v>
      </c>
      <c r="D382" s="7">
        <f>'Price Data'!D383/'Price Data'!D382-1</f>
        <v>-2.1718345235813841E-3</v>
      </c>
      <c r="E382" s="7">
        <f>'Price Data'!E383/'Price Data'!E382-1</f>
        <v>4.6424311893762393E-3</v>
      </c>
    </row>
    <row r="383" spans="1:5" ht="15" customHeight="1" x14ac:dyDescent="0.2">
      <c r="A383" s="4" t="s">
        <v>385</v>
      </c>
      <c r="B383" s="7">
        <f>'Price Data'!B384/'Price Data'!B383-1</f>
        <v>-8.6382188516201941E-3</v>
      </c>
      <c r="C383" s="7">
        <f>'Price Data'!C384/'Price Data'!C383-1</f>
        <v>-1.6298143269133369E-4</v>
      </c>
      <c r="D383" s="7">
        <f>'Price Data'!D384/'Price Data'!D383-1</f>
        <v>-3.9179872273260585E-3</v>
      </c>
      <c r="E383" s="7">
        <f>'Price Data'!E384/'Price Data'!E383-1</f>
        <v>1.3766546695577198E-3</v>
      </c>
    </row>
    <row r="384" spans="1:5" ht="15" customHeight="1" x14ac:dyDescent="0.2">
      <c r="A384" s="4" t="s">
        <v>386</v>
      </c>
      <c r="B384" s="7">
        <f>'Price Data'!B385/'Price Data'!B384-1</f>
        <v>-4.3565744696257847E-3</v>
      </c>
      <c r="C384" s="7">
        <f>'Price Data'!C385/'Price Data'!C384-1</f>
        <v>-4.8909387045936725E-4</v>
      </c>
      <c r="D384" s="7">
        <f>'Price Data'!D385/'Price Data'!D384-1</f>
        <v>-4.8077816288655262E-3</v>
      </c>
      <c r="E384" s="7">
        <f>'Price Data'!E385/'Price Data'!E384-1</f>
        <v>3.632997947387695E-3</v>
      </c>
    </row>
    <row r="385" spans="1:5" ht="15" customHeight="1" x14ac:dyDescent="0.2">
      <c r="A385" s="4" t="s">
        <v>387</v>
      </c>
      <c r="B385" s="7">
        <f>'Price Data'!B386/'Price Data'!B385-1</f>
        <v>-4.4285711003163586E-3</v>
      </c>
      <c r="C385" s="7">
        <f>'Price Data'!C386/'Price Data'!C385-1</f>
        <v>-1.4029392567630361E-2</v>
      </c>
      <c r="D385" s="7">
        <f>'Price Data'!D386/'Price Data'!D385-1</f>
        <v>-9.0031839275765968E-3</v>
      </c>
      <c r="E385" s="7">
        <f>'Price Data'!E386/'Price Data'!E385-1</f>
        <v>-3.5221341258999672E-3</v>
      </c>
    </row>
    <row r="386" spans="1:5" ht="15" customHeight="1" x14ac:dyDescent="0.2">
      <c r="A386" s="4" t="s">
        <v>388</v>
      </c>
      <c r="B386" s="7">
        <f>'Price Data'!B387/'Price Data'!B386-1</f>
        <v>1.9434577777164064E-2</v>
      </c>
      <c r="C386" s="7">
        <f>'Price Data'!C387/'Price Data'!C386-1</f>
        <v>1.5883596767213959E-2</v>
      </c>
      <c r="D386" s="7">
        <f>'Price Data'!D387/'Price Data'!D386-1</f>
        <v>1.6951156134871193E-2</v>
      </c>
      <c r="E386" s="7">
        <f>'Price Data'!E387/'Price Data'!E386-1</f>
        <v>3.927679029055664E-3</v>
      </c>
    </row>
    <row r="387" spans="1:5" ht="15" customHeight="1" x14ac:dyDescent="0.2">
      <c r="A387" s="4" t="s">
        <v>389</v>
      </c>
      <c r="B387" s="7">
        <f>'Price Data'!B388/'Price Data'!B387-1</f>
        <v>-6.9088669186594398E-3</v>
      </c>
      <c r="C387" s="7">
        <f>'Price Data'!C388/'Price Data'!C387-1</f>
        <v>4.0716702173939634E-3</v>
      </c>
      <c r="D387" s="7">
        <f>'Price Data'!D388/'Price Data'!D387-1</f>
        <v>-7.0817162267876599E-3</v>
      </c>
      <c r="E387" s="7">
        <f>'Price Data'!E388/'Price Data'!E387-1</f>
        <v>-3.2274732973193165E-3</v>
      </c>
    </row>
    <row r="388" spans="1:5" ht="15" customHeight="1" x14ac:dyDescent="0.2">
      <c r="A388" s="4" t="s">
        <v>390</v>
      </c>
      <c r="B388" s="7">
        <f>'Price Data'!B389/'Price Data'!B388-1</f>
        <v>2.7931918429107139E-2</v>
      </c>
      <c r="C388" s="7">
        <f>'Price Data'!C389/'Price Data'!C388-1</f>
        <v>2.7250562475103601E-2</v>
      </c>
      <c r="D388" s="7">
        <f>'Price Data'!D389/'Price Data'!D388-1</f>
        <v>2.5894415357766043E-2</v>
      </c>
      <c r="E388" s="7">
        <f>'Price Data'!E389/'Price Data'!E388-1</f>
        <v>-1.3734242916665362E-3</v>
      </c>
    </row>
    <row r="389" spans="1:5" ht="15" customHeight="1" x14ac:dyDescent="0.2">
      <c r="A389" s="4" t="s">
        <v>391</v>
      </c>
      <c r="B389" s="7">
        <f>'Price Data'!B390/'Price Data'!B389-1</f>
        <v>8.0906010637202819E-3</v>
      </c>
      <c r="C389" s="7">
        <f>'Price Data'!C390/'Price Data'!C389-1</f>
        <v>-6.6319509782487573E-3</v>
      </c>
      <c r="D389" s="7">
        <f>'Price Data'!D390/'Price Data'!D389-1</f>
        <v>-2.352937327714244E-3</v>
      </c>
      <c r="E389" s="7">
        <f>'Price Data'!E390/'Price Data'!E389-1</f>
        <v>-6.8800179922967608E-4</v>
      </c>
    </row>
    <row r="390" spans="1:5" ht="15" customHeight="1" x14ac:dyDescent="0.2">
      <c r="A390" s="4" t="s">
        <v>392</v>
      </c>
      <c r="B390" s="7">
        <f>'Price Data'!B391/'Price Data'!B390-1</f>
        <v>9.8936285413533387E-3</v>
      </c>
      <c r="C390" s="7">
        <f>'Price Data'!C391/'Price Data'!C390-1</f>
        <v>1.033220315708272E-2</v>
      </c>
      <c r="D390" s="7">
        <f>'Price Data'!D391/'Price Data'!D390-1</f>
        <v>7.9329601072013478E-3</v>
      </c>
      <c r="E390" s="7">
        <f>'Price Data'!E391/'Price Data'!E390-1</f>
        <v>8.3573080609060657E-3</v>
      </c>
    </row>
    <row r="391" spans="1:5" ht="15" customHeight="1" x14ac:dyDescent="0.2">
      <c r="A391" s="4" t="s">
        <v>393</v>
      </c>
      <c r="B391" s="7">
        <f>'Price Data'!B392/'Price Data'!B391-1</f>
        <v>-1.0846310067258558E-2</v>
      </c>
      <c r="C391" s="7">
        <f>'Price Data'!C392/'Price Data'!C391-1</f>
        <v>-2.517228625467105E-3</v>
      </c>
      <c r="D391" s="7">
        <f>'Price Data'!D392/'Price Data'!D391-1</f>
        <v>5.2119624532791509E-3</v>
      </c>
      <c r="E391" s="7">
        <f>'Price Data'!E392/'Price Data'!E391-1</f>
        <v>7.8002887638188856E-3</v>
      </c>
    </row>
    <row r="392" spans="1:5" ht="15" customHeight="1" x14ac:dyDescent="0.2">
      <c r="A392" s="4" t="s">
        <v>394</v>
      </c>
      <c r="B392" s="7">
        <f>'Price Data'!B393/'Price Data'!B392-1</f>
        <v>1.3644663531935386E-3</v>
      </c>
      <c r="C392" s="7">
        <f>'Price Data'!C393/'Price Data'!C392-1</f>
        <v>7.7286993219765066E-3</v>
      </c>
      <c r="D392" s="7">
        <f>'Price Data'!D393/'Price Data'!D392-1</f>
        <v>1.6927750783297668E-3</v>
      </c>
      <c r="E392" s="7">
        <f>'Price Data'!E393/'Price Data'!E392-1</f>
        <v>-3.6764512171014729E-3</v>
      </c>
    </row>
    <row r="393" spans="1:5" ht="15" customHeight="1" x14ac:dyDescent="0.2">
      <c r="A393" s="4" t="s">
        <v>395</v>
      </c>
      <c r="B393" s="7">
        <f>'Price Data'!B394/'Price Data'!B393-1</f>
        <v>-1.23632485114199E-2</v>
      </c>
      <c r="C393" s="7">
        <f>'Price Data'!C394/'Price Data'!C393-1</f>
        <v>-1.3930158925195668E-2</v>
      </c>
      <c r="D393" s="7">
        <f>'Price Data'!D394/'Price Data'!D393-1</f>
        <v>1.0564459739592635E-3</v>
      </c>
      <c r="E393" s="7">
        <f>'Price Data'!E394/'Price Data'!E393-1</f>
        <v>-1.9447630984226194E-4</v>
      </c>
    </row>
    <row r="394" spans="1:5" ht="15" customHeight="1" x14ac:dyDescent="0.2">
      <c r="A394" s="4" t="s">
        <v>396</v>
      </c>
      <c r="B394" s="7">
        <f>'Price Data'!B395/'Price Data'!B394-1</f>
        <v>2.6262034432387171E-2</v>
      </c>
      <c r="C394" s="7">
        <f>'Price Data'!C395/'Price Data'!C394-1</f>
        <v>2.3650616586971651E-2</v>
      </c>
      <c r="D394" s="7">
        <f>'Price Data'!D395/'Price Data'!D394-1</f>
        <v>6.0146371771392371E-3</v>
      </c>
      <c r="E394" s="7">
        <f>'Price Data'!E395/'Price Data'!E394-1</f>
        <v>3.4964769479839397E-3</v>
      </c>
    </row>
    <row r="395" spans="1:5" ht="15" customHeight="1" x14ac:dyDescent="0.2">
      <c r="A395" s="4" t="s">
        <v>397</v>
      </c>
      <c r="B395" s="7">
        <f>'Price Data'!B396/'Price Data'!B395-1</f>
        <v>1.304384724459462E-2</v>
      </c>
      <c r="C395" s="7">
        <f>'Price Data'!C396/'Price Data'!C395-1</f>
        <v>5.1172093573992328E-3</v>
      </c>
      <c r="D395" s="7">
        <f>'Price Data'!D396/'Price Data'!D395-1</f>
        <v>3.2410020708669496E-2</v>
      </c>
      <c r="E395" s="7">
        <f>'Price Data'!E396/'Price Data'!E395-1</f>
        <v>7.1624247810653241E-3</v>
      </c>
    </row>
    <row r="396" spans="1:5" ht="15" customHeight="1" x14ac:dyDescent="0.2">
      <c r="A396" s="4" t="s">
        <v>398</v>
      </c>
      <c r="B396" s="7">
        <f>'Price Data'!B397/'Price Data'!B396-1</f>
        <v>1.3613039603459942E-2</v>
      </c>
      <c r="C396" s="7">
        <f>'Price Data'!C397/'Price Data'!C396-1</f>
        <v>1.3884594583284171E-2</v>
      </c>
      <c r="D396" s="7">
        <f>'Price Data'!D397/'Price Data'!D396-1</f>
        <v>5.3845371324396929E-3</v>
      </c>
      <c r="E396" s="7">
        <f>'Price Data'!E397/'Price Data'!E396-1</f>
        <v>9.589131867016043E-5</v>
      </c>
    </row>
    <row r="397" spans="1:5" ht="15" customHeight="1" x14ac:dyDescent="0.2">
      <c r="A397" s="4" t="s">
        <v>399</v>
      </c>
      <c r="B397" s="7">
        <f>'Price Data'!B398/'Price Data'!B397-1</f>
        <v>-2.327148162651449E-3</v>
      </c>
      <c r="C397" s="7">
        <f>'Price Data'!C398/'Price Data'!C397-1</f>
        <v>1.3692692171078935E-3</v>
      </c>
      <c r="D397" s="7">
        <f>'Price Data'!D398/'Price Data'!D397-1</f>
        <v>-8.0839129840702961E-3</v>
      </c>
      <c r="E397" s="7">
        <f>'Price Data'!E398/'Price Data'!E397-1</f>
        <v>3.46602063271928E-3</v>
      </c>
    </row>
    <row r="398" spans="1:5" ht="15" customHeight="1" x14ac:dyDescent="0.2">
      <c r="A398" s="4" t="s">
        <v>400</v>
      </c>
      <c r="B398" s="7">
        <f>'Price Data'!B399/'Price Data'!B398-1</f>
        <v>-5.3944065548751086E-3</v>
      </c>
      <c r="C398" s="7">
        <f>'Price Data'!C399/'Price Data'!C398-1</f>
        <v>-1.5954917055007511E-2</v>
      </c>
      <c r="D398" s="7">
        <f>'Price Data'!D399/'Price Data'!D398-1</f>
        <v>-1.2836005374051829E-2</v>
      </c>
      <c r="E398" s="7">
        <f>'Price Data'!E399/'Price Data'!E398-1</f>
        <v>-1.0265670312574415E-2</v>
      </c>
    </row>
    <row r="399" spans="1:5" ht="15" customHeight="1" x14ac:dyDescent="0.2">
      <c r="A399" s="4" t="s">
        <v>401</v>
      </c>
      <c r="B399" s="7">
        <f>'Price Data'!B400/'Price Data'!B399-1</f>
        <v>1.6075779858745864E-2</v>
      </c>
      <c r="C399" s="7">
        <f>'Price Data'!C400/'Price Data'!C399-1</f>
        <v>5.8677457472948724E-3</v>
      </c>
      <c r="D399" s="7">
        <f>'Price Data'!D400/'Price Data'!D399-1</f>
        <v>3.1989910588690051E-3</v>
      </c>
      <c r="E399" s="7">
        <f>'Price Data'!E400/'Price Data'!E399-1</f>
        <v>4.458949164001913E-3</v>
      </c>
    </row>
    <row r="400" spans="1:5" ht="15" customHeight="1" x14ac:dyDescent="0.2">
      <c r="A400" s="4" t="s">
        <v>402</v>
      </c>
      <c r="B400" s="7">
        <f>'Price Data'!B401/'Price Data'!B400-1</f>
        <v>-9.620929628360031E-4</v>
      </c>
      <c r="C400" s="7">
        <f>'Price Data'!C401/'Price Data'!C400-1</f>
        <v>5.0660815410785709E-3</v>
      </c>
      <c r="D400" s="7">
        <f>'Price Data'!D401/'Price Data'!D400-1</f>
        <v>-1.5431241851265876E-3</v>
      </c>
      <c r="E400" s="7">
        <f>'Price Data'!E401/'Price Data'!E400-1</f>
        <v>2.4124813462913508E-3</v>
      </c>
    </row>
    <row r="401" spans="1:5" ht="15" customHeight="1" x14ac:dyDescent="0.2">
      <c r="A401" s="4" t="s">
        <v>403</v>
      </c>
      <c r="B401" s="7">
        <f>'Price Data'!B402/'Price Data'!B401-1</f>
        <v>-3.369868865711334E-4</v>
      </c>
      <c r="C401" s="7">
        <f>'Price Data'!C402/'Price Data'!C401-1</f>
        <v>-7.0260407141982117E-3</v>
      </c>
      <c r="D401" s="7">
        <f>'Price Data'!D402/'Price Data'!D401-1</f>
        <v>2.7818051479526762E-3</v>
      </c>
      <c r="E401" s="7">
        <f>'Price Data'!E402/'Price Data'!E401-1</f>
        <v>-1.1167567531068179E-2</v>
      </c>
    </row>
    <row r="402" spans="1:5" ht="15" customHeight="1" x14ac:dyDescent="0.2">
      <c r="A402" s="4" t="s">
        <v>404</v>
      </c>
      <c r="B402" s="7">
        <f>'Price Data'!B403/'Price Data'!B402-1</f>
        <v>9.1492040791107954E-4</v>
      </c>
      <c r="C402" s="7">
        <f>'Price Data'!C403/'Price Data'!C402-1</f>
        <v>2.3073688151573624E-3</v>
      </c>
      <c r="D402" s="7">
        <f>'Price Data'!D403/'Price Data'!D402-1</f>
        <v>8.9386053209770111E-3</v>
      </c>
      <c r="E402" s="7">
        <f>'Price Data'!E403/'Price Data'!E402-1</f>
        <v>4.5760478706617924E-3</v>
      </c>
    </row>
    <row r="403" spans="1:5" ht="15" customHeight="1" x14ac:dyDescent="0.2">
      <c r="A403" s="4" t="s">
        <v>405</v>
      </c>
      <c r="B403" s="7">
        <f>'Price Data'!B404/'Price Data'!B403-1</f>
        <v>-6.302062742464476E-3</v>
      </c>
      <c r="C403" s="7">
        <f>'Price Data'!C404/'Price Data'!C403-1</f>
        <v>-5.3715104565876803E-3</v>
      </c>
      <c r="D403" s="7">
        <f>'Price Data'!D404/'Price Data'!D403-1</f>
        <v>5.4989311425677201E-3</v>
      </c>
      <c r="E403" s="7">
        <f>'Price Data'!E404/'Price Data'!E403-1</f>
        <v>-2.2292124199989605E-3</v>
      </c>
    </row>
    <row r="404" spans="1:5" ht="15" customHeight="1" x14ac:dyDescent="0.2">
      <c r="A404" s="4" t="s">
        <v>406</v>
      </c>
      <c r="B404" s="7">
        <f>'Price Data'!B405/'Price Data'!B404-1</f>
        <v>2.2802207871277513E-2</v>
      </c>
      <c r="C404" s="7">
        <f>'Price Data'!C405/'Price Data'!C404-1</f>
        <v>2.2527344431333862E-2</v>
      </c>
      <c r="D404" s="7">
        <f>'Price Data'!D405/'Price Data'!D404-1</f>
        <v>1.5191586798023016E-2</v>
      </c>
      <c r="E404" s="7">
        <f>'Price Data'!E405/'Price Data'!E404-1</f>
        <v>2.5252613420674308E-3</v>
      </c>
    </row>
    <row r="405" spans="1:5" ht="15" customHeight="1" x14ac:dyDescent="0.2">
      <c r="A405" s="4" t="s">
        <v>407</v>
      </c>
      <c r="B405" s="7">
        <f>'Price Data'!B406/'Price Data'!B405-1</f>
        <v>4.7295235888977771E-5</v>
      </c>
      <c r="C405" s="7">
        <f>'Price Data'!C406/'Price Data'!C405-1</f>
        <v>-3.0164896260009844E-4</v>
      </c>
      <c r="D405" s="7">
        <f>'Price Data'!D406/'Price Data'!D405-1</f>
        <v>-2.3943312202465705E-3</v>
      </c>
      <c r="E405" s="7">
        <f>'Price Data'!E406/'Price Data'!E405-1</f>
        <v>-5.3286458374480761E-3</v>
      </c>
    </row>
    <row r="406" spans="1:5" ht="15" customHeight="1" x14ac:dyDescent="0.2">
      <c r="A406" s="4" t="s">
        <v>408</v>
      </c>
      <c r="B406" s="7">
        <f>'Price Data'!B407/'Price Data'!B406-1</f>
        <v>1.7323066499457918E-2</v>
      </c>
      <c r="C406" s="7">
        <f>'Price Data'!C407/'Price Data'!C406-1</f>
        <v>7.6982181041274078E-3</v>
      </c>
      <c r="D406" s="7">
        <f>'Price Data'!D407/'Price Data'!D406-1</f>
        <v>1.7199987800789351E-2</v>
      </c>
      <c r="E406" s="7">
        <f>'Price Data'!E407/'Price Data'!E406-1</f>
        <v>4.4812643015093023E-3</v>
      </c>
    </row>
    <row r="407" spans="1:5" ht="15" customHeight="1" x14ac:dyDescent="0.2">
      <c r="A407" s="4" t="s">
        <v>409</v>
      </c>
      <c r="B407" s="7">
        <f>'Price Data'!B408/'Price Data'!B407-1</f>
        <v>3.9081201977879676E-3</v>
      </c>
      <c r="C407" s="7">
        <f>'Price Data'!C408/'Price Data'!C407-1</f>
        <v>-5.99171415902644E-3</v>
      </c>
      <c r="D407" s="7">
        <f>'Price Data'!D408/'Price Data'!D407-1</f>
        <v>4.0307220727184845E-3</v>
      </c>
      <c r="E407" s="7">
        <f>'Price Data'!E408/'Price Data'!E407-1</f>
        <v>1.2601234108180481E-3</v>
      </c>
    </row>
    <row r="408" spans="1:5" ht="15" customHeight="1" x14ac:dyDescent="0.2">
      <c r="A408" s="4" t="s">
        <v>410</v>
      </c>
      <c r="B408" s="7">
        <f>'Price Data'!B409/'Price Data'!B408-1</f>
        <v>2.1316799964932187E-3</v>
      </c>
      <c r="C408" s="7">
        <f>'Price Data'!C409/'Price Data'!C408-1</f>
        <v>-3.0149810787172271E-4</v>
      </c>
      <c r="D408" s="7">
        <f>'Price Data'!D409/'Price Data'!D408-1</f>
        <v>-2.6436208629621039E-3</v>
      </c>
      <c r="E408" s="7">
        <f>'Price Data'!E409/'Price Data'!E408-1</f>
        <v>-1.4527268963433482E-3</v>
      </c>
    </row>
    <row r="409" spans="1:5" ht="15" customHeight="1" x14ac:dyDescent="0.2">
      <c r="A409" s="4" t="s">
        <v>411</v>
      </c>
      <c r="B409" s="7">
        <f>'Price Data'!B410/'Price Data'!B409-1</f>
        <v>-8.9714110735178432E-3</v>
      </c>
      <c r="C409" s="7">
        <f>'Price Data'!C410/'Price Data'!C409-1</f>
        <v>-7.9892350348137464E-3</v>
      </c>
      <c r="D409" s="7">
        <f>'Price Data'!D410/'Price Data'!D409-1</f>
        <v>-5.9886654757341784E-3</v>
      </c>
      <c r="E409" s="7">
        <f>'Price Data'!E410/'Price Data'!E409-1</f>
        <v>-5.9168100687987391E-3</v>
      </c>
    </row>
    <row r="410" spans="1:5" ht="15" customHeight="1" x14ac:dyDescent="0.2">
      <c r="A410" s="4" t="s">
        <v>412</v>
      </c>
      <c r="B410" s="7">
        <f>'Price Data'!B411/'Price Data'!B410-1</f>
        <v>2.6130437055469358E-3</v>
      </c>
      <c r="C410" s="7">
        <f>'Price Data'!C411/'Price Data'!C410-1</f>
        <v>-3.3428946932512194E-3</v>
      </c>
      <c r="D410" s="7">
        <f>'Price Data'!D411/'Price Data'!D410-1</f>
        <v>-6.6173130069729913E-3</v>
      </c>
      <c r="E410" s="7">
        <f>'Price Data'!E411/'Price Data'!E410-1</f>
        <v>2.1467911771906323E-3</v>
      </c>
    </row>
    <row r="411" spans="1:5" ht="15" customHeight="1" x14ac:dyDescent="0.2">
      <c r="A411" s="4" t="s">
        <v>413</v>
      </c>
      <c r="B411" s="7">
        <f>'Price Data'!B412/'Price Data'!B411-1</f>
        <v>-1.428838030063373E-2</v>
      </c>
      <c r="C411" s="7">
        <f>'Price Data'!C412/'Price Data'!C411-1</f>
        <v>-1.3721466096104695E-2</v>
      </c>
      <c r="D411" s="7">
        <f>'Price Data'!D412/'Price Data'!D411-1</f>
        <v>-1.0538962497393389E-2</v>
      </c>
      <c r="E411" s="7">
        <f>'Price Data'!E412/'Price Data'!E411-1</f>
        <v>-7.0100741167652414E-3</v>
      </c>
    </row>
    <row r="412" spans="1:5" ht="15" customHeight="1" x14ac:dyDescent="0.2">
      <c r="A412" s="4" t="s">
        <v>414</v>
      </c>
      <c r="B412" s="7">
        <f>'Price Data'!B413/'Price Data'!B412-1</f>
        <v>-2.138913609017723E-2</v>
      </c>
      <c r="C412" s="7">
        <f>'Price Data'!C413/'Price Data'!C412-1</f>
        <v>-1.7004184605959427E-2</v>
      </c>
      <c r="D412" s="7">
        <f>'Price Data'!D413/'Price Data'!D412-1</f>
        <v>-2.1804775541175547E-2</v>
      </c>
      <c r="E412" s="7">
        <f>'Price Data'!E413/'Price Data'!E412-1</f>
        <v>-4.3143726778681613E-3</v>
      </c>
    </row>
    <row r="413" spans="1:5" ht="15" customHeight="1" x14ac:dyDescent="0.2">
      <c r="A413" s="4" t="s">
        <v>415</v>
      </c>
      <c r="B413" s="7">
        <f>'Price Data'!B414/'Price Data'!B413-1</f>
        <v>-1.8817590790723981E-3</v>
      </c>
      <c r="C413" s="7">
        <f>'Price Data'!C414/'Price Data'!C413-1</f>
        <v>4.7171133638301832E-4</v>
      </c>
      <c r="D413" s="7">
        <f>'Price Data'!D414/'Price Data'!D413-1</f>
        <v>-1.2840231289214299E-2</v>
      </c>
      <c r="E413" s="7">
        <f>'Price Data'!E414/'Price Data'!E413-1</f>
        <v>-3.9367189692007809E-4</v>
      </c>
    </row>
    <row r="414" spans="1:5" ht="15" customHeight="1" x14ac:dyDescent="0.2">
      <c r="A414" s="4" t="s">
        <v>416</v>
      </c>
      <c r="B414" s="7">
        <f>'Price Data'!B415/'Price Data'!B414-1</f>
        <v>4.2056363189288959E-3</v>
      </c>
      <c r="C414" s="7">
        <f>'Price Data'!C415/'Price Data'!C414-1</f>
        <v>1.2575283310958252E-3</v>
      </c>
      <c r="D414" s="7">
        <f>'Price Data'!D415/'Price Data'!D414-1</f>
        <v>5.7233835562882085E-3</v>
      </c>
      <c r="E414" s="7">
        <f>'Price Data'!E415/'Price Data'!E414-1</f>
        <v>-2.6599727603041634E-3</v>
      </c>
    </row>
    <row r="415" spans="1:5" ht="15" customHeight="1" x14ac:dyDescent="0.2">
      <c r="A415" s="4" t="s">
        <v>417</v>
      </c>
      <c r="B415" s="7">
        <f>'Price Data'!B416/'Price Data'!B415-1</f>
        <v>1.4489190491683956E-2</v>
      </c>
      <c r="C415" s="7">
        <f>'Price Data'!C416/'Price Data'!C415-1</f>
        <v>1.0988981419355337E-2</v>
      </c>
      <c r="D415" s="7">
        <f>'Price Data'!D416/'Price Data'!D415-1</f>
        <v>1.4899044549970153E-2</v>
      </c>
      <c r="E415" s="7">
        <f>'Price Data'!E416/'Price Data'!E415-1</f>
        <v>5.5316594172909461E-3</v>
      </c>
    </row>
    <row r="416" spans="1:5" ht="15" customHeight="1" x14ac:dyDescent="0.2">
      <c r="A416" s="4" t="s">
        <v>418</v>
      </c>
      <c r="B416" s="7">
        <f>'Price Data'!B417/'Price Data'!B416-1</f>
        <v>-3.31198034526341E-2</v>
      </c>
      <c r="C416" s="7">
        <f>'Price Data'!C417/'Price Data'!C416-1</f>
        <v>-2.6242284049194486E-2</v>
      </c>
      <c r="D416" s="7">
        <f>'Price Data'!D417/'Price Data'!D416-1</f>
        <v>-2.5180848830435809E-2</v>
      </c>
      <c r="E416" s="7">
        <f>'Price Data'!E417/'Price Data'!E416-1</f>
        <v>-1.8664682473044092E-3</v>
      </c>
    </row>
    <row r="417" spans="1:5" ht="15" customHeight="1" x14ac:dyDescent="0.2">
      <c r="A417" s="4" t="s">
        <v>419</v>
      </c>
      <c r="B417" s="7">
        <f>'Price Data'!B418/'Price Data'!B417-1</f>
        <v>-7.3121467714785116E-3</v>
      </c>
      <c r="C417" s="7">
        <f>'Price Data'!C418/'Price Data'!C417-1</f>
        <v>-2.2324383057444885E-3</v>
      </c>
      <c r="D417" s="7">
        <f>'Price Data'!D418/'Price Data'!D417-1</f>
        <v>-8.9939273372943163E-3</v>
      </c>
      <c r="E417" s="7">
        <f>'Price Data'!E418/'Price Data'!E417-1</f>
        <v>-4.8223927720359994E-3</v>
      </c>
    </row>
    <row r="418" spans="1:5" ht="15" customHeight="1" x14ac:dyDescent="0.2">
      <c r="A418" s="4" t="s">
        <v>420</v>
      </c>
      <c r="B418" s="7">
        <f>'Price Data'!B419/'Price Data'!B418-1</f>
        <v>-1.1123147854430915E-2</v>
      </c>
      <c r="C418" s="7">
        <f>'Price Data'!C419/'Price Data'!C418-1</f>
        <v>-7.1919747166612202E-3</v>
      </c>
      <c r="D418" s="7">
        <f>'Price Data'!D419/'Price Data'!D418-1</f>
        <v>-1.3824426282938673E-2</v>
      </c>
      <c r="E418" s="7">
        <f>'Price Data'!E419/'Price Data'!E418-1</f>
        <v>1.285394181913535E-3</v>
      </c>
    </row>
    <row r="419" spans="1:5" ht="15" customHeight="1" x14ac:dyDescent="0.2">
      <c r="A419" s="4" t="s">
        <v>421</v>
      </c>
      <c r="B419" s="7">
        <f>'Price Data'!B420/'Price Data'!B419-1</f>
        <v>-7.3488765454936544E-3</v>
      </c>
      <c r="C419" s="7">
        <f>'Price Data'!C420/'Price Data'!C419-1</f>
        <v>-6.7611310534190228E-3</v>
      </c>
      <c r="D419" s="7">
        <f>'Price Data'!D420/'Price Data'!D419-1</f>
        <v>-4.7084884489974055E-3</v>
      </c>
      <c r="E419" s="7">
        <f>'Price Data'!E420/'Price Data'!E419-1</f>
        <v>-5.3333478800078327E-3</v>
      </c>
    </row>
    <row r="420" spans="1:5" ht="15" customHeight="1" x14ac:dyDescent="0.2">
      <c r="A420" s="4" t="s">
        <v>422</v>
      </c>
      <c r="B420" s="7">
        <f>'Price Data'!B421/'Price Data'!B420-1</f>
        <v>6.0435953457838032E-4</v>
      </c>
      <c r="C420" s="7">
        <f>'Price Data'!C421/'Price Data'!C420-1</f>
        <v>-1.3452210316529212E-2</v>
      </c>
      <c r="D420" s="7">
        <f>'Price Data'!D421/'Price Data'!D420-1</f>
        <v>1.8278278446746121E-3</v>
      </c>
      <c r="E420" s="7">
        <f>'Price Data'!E421/'Price Data'!E420-1</f>
        <v>-4.3377826000512432E-3</v>
      </c>
    </row>
    <row r="421" spans="1:5" ht="15" customHeight="1" x14ac:dyDescent="0.2">
      <c r="A421" s="4" t="s">
        <v>423</v>
      </c>
      <c r="B421" s="7">
        <f>'Price Data'!B422/'Price Data'!B421-1</f>
        <v>-9.9152108386907356E-3</v>
      </c>
      <c r="C421" s="7">
        <f>'Price Data'!C422/'Price Data'!C421-1</f>
        <v>-6.5712841135630029E-3</v>
      </c>
      <c r="D421" s="7">
        <f>'Price Data'!D422/'Price Data'!D421-1</f>
        <v>-1.395147700223609E-2</v>
      </c>
      <c r="E421" s="7">
        <f>'Price Data'!E422/'Price Data'!E421-1</f>
        <v>2.8978092093741026E-3</v>
      </c>
    </row>
    <row r="422" spans="1:5" ht="15" customHeight="1" x14ac:dyDescent="0.2">
      <c r="A422" s="4" t="s">
        <v>424</v>
      </c>
      <c r="B422" s="7">
        <f>'Price Data'!B423/'Price Data'!B422-1</f>
        <v>-4.0670368065939266E-3</v>
      </c>
      <c r="C422" s="7">
        <f>'Price Data'!C423/'Price Data'!C422-1</f>
        <v>-2.4807444146572877E-3</v>
      </c>
      <c r="D422" s="7">
        <f>'Price Data'!D423/'Price Data'!D422-1</f>
        <v>9.0333820070847004E-3</v>
      </c>
      <c r="E422" s="7">
        <f>'Price Data'!E423/'Price Data'!E422-1</f>
        <v>-9.3658217640510966E-3</v>
      </c>
    </row>
    <row r="423" spans="1:5" ht="15" customHeight="1" x14ac:dyDescent="0.2">
      <c r="A423" s="4" t="s">
        <v>425</v>
      </c>
      <c r="B423" s="7">
        <f>'Price Data'!B424/'Price Data'!B423-1</f>
        <v>1.8477791837340662E-2</v>
      </c>
      <c r="C423" s="7">
        <f>'Price Data'!C424/'Price Data'!C423-1</f>
        <v>8.7865697703048973E-3</v>
      </c>
      <c r="D423" s="7">
        <f>'Price Data'!D424/'Price Data'!D423-1</f>
        <v>1.9523337545464647E-2</v>
      </c>
      <c r="E423" s="7">
        <f>'Price Data'!E424/'Price Data'!E423-1</f>
        <v>6.9400510431940621E-3</v>
      </c>
    </row>
    <row r="424" spans="1:5" ht="15" customHeight="1" x14ac:dyDescent="0.2">
      <c r="A424" s="4" t="s">
        <v>426</v>
      </c>
      <c r="B424" s="7">
        <f>'Price Data'!B425/'Price Data'!B424-1</f>
        <v>7.9186351340785333E-3</v>
      </c>
      <c r="C424" s="7">
        <f>'Price Data'!C425/'Price Data'!C424-1</f>
        <v>6.5731621325215706E-4</v>
      </c>
      <c r="D424" s="7">
        <f>'Price Data'!D425/'Price Data'!D424-1</f>
        <v>2.7508139129253095E-3</v>
      </c>
      <c r="E424" s="7">
        <f>'Price Data'!E425/'Price Data'!E424-1</f>
        <v>-3.1968561232961212E-3</v>
      </c>
    </row>
    <row r="425" spans="1:5" ht="15" customHeight="1" x14ac:dyDescent="0.2">
      <c r="A425" s="4" t="s">
        <v>427</v>
      </c>
      <c r="B425" s="7">
        <f>'Price Data'!B426/'Price Data'!B425-1</f>
        <v>1.6607810382486932E-2</v>
      </c>
      <c r="C425" s="7">
        <f>'Price Data'!C426/'Price Data'!C425-1</f>
        <v>2.5455784830164196E-2</v>
      </c>
      <c r="D425" s="7">
        <f>'Price Data'!D426/'Price Data'!D425-1</f>
        <v>1.086723556336544E-2</v>
      </c>
      <c r="E425" s="7">
        <f>'Price Data'!E426/'Price Data'!E425-1</f>
        <v>-1.0021392999914891E-4</v>
      </c>
    </row>
    <row r="426" spans="1:5" ht="15" customHeight="1" x14ac:dyDescent="0.2">
      <c r="A426" s="4" t="s">
        <v>428</v>
      </c>
      <c r="B426" s="7">
        <f>'Price Data'!B427/'Price Data'!B426-1</f>
        <v>1.0760564954925611E-2</v>
      </c>
      <c r="C426" s="7">
        <f>'Price Data'!C427/'Price Data'!C426-1</f>
        <v>1.3933429710562217E-2</v>
      </c>
      <c r="D426" s="7">
        <f>'Price Data'!D427/'Price Data'!D426-1</f>
        <v>9.706626502912874E-3</v>
      </c>
      <c r="E426" s="7">
        <f>'Price Data'!E427/'Price Data'!E426-1</f>
        <v>-1.5032719225479552E-3</v>
      </c>
    </row>
    <row r="427" spans="1:5" ht="15" customHeight="1" x14ac:dyDescent="0.2">
      <c r="A427" s="4" t="s">
        <v>429</v>
      </c>
      <c r="B427" s="7">
        <f>'Price Data'!B428/'Price Data'!B427-1</f>
        <v>-4.2971242936733156E-2</v>
      </c>
      <c r="C427" s="7">
        <f>'Price Data'!C428/'Price Data'!C427-1</f>
        <v>-3.4749667698686815E-2</v>
      </c>
      <c r="D427" s="7">
        <f>'Price Data'!D428/'Price Data'!D427-1</f>
        <v>-3.8246802691835002E-2</v>
      </c>
      <c r="E427" s="7">
        <f>'Price Data'!E428/'Price Data'!E427-1</f>
        <v>-5.6205533298331334E-3</v>
      </c>
    </row>
    <row r="428" spans="1:5" ht="15" customHeight="1" x14ac:dyDescent="0.2">
      <c r="A428" s="4" t="s">
        <v>430</v>
      </c>
      <c r="B428" s="7">
        <f>'Price Data'!B429/'Price Data'!B428-1</f>
        <v>3.893342017857071E-3</v>
      </c>
      <c r="C428" s="7">
        <f>'Price Data'!C429/'Price Data'!C428-1</f>
        <v>3.2728081553667909E-3</v>
      </c>
      <c r="D428" s="7">
        <f>'Price Data'!D429/'Price Data'!D428-1</f>
        <v>-1.1392948021995308E-2</v>
      </c>
      <c r="E428" s="7">
        <f>'Price Data'!E429/'Price Data'!E428-1</f>
        <v>1.3119838633763869E-3</v>
      </c>
    </row>
    <row r="429" spans="1:5" ht="15" customHeight="1" x14ac:dyDescent="0.2">
      <c r="A429" s="4" t="s">
        <v>431</v>
      </c>
      <c r="B429" s="7">
        <f>'Price Data'!B430/'Price Data'!B429-1</f>
        <v>-1.0678094880357092E-2</v>
      </c>
      <c r="C429" s="7">
        <f>'Price Data'!C430/'Price Data'!C429-1</f>
        <v>-8.807818828078684E-3</v>
      </c>
      <c r="D429" s="7">
        <f>'Price Data'!D430/'Price Data'!D429-1</f>
        <v>-1.848217705534827E-2</v>
      </c>
      <c r="E429" s="7">
        <f>'Price Data'!E430/'Price Data'!E429-1</f>
        <v>-3.0239458480316728E-3</v>
      </c>
    </row>
    <row r="430" spans="1:5" ht="15" customHeight="1" x14ac:dyDescent="0.2">
      <c r="A430" s="4" t="s">
        <v>432</v>
      </c>
      <c r="B430" s="7">
        <f>'Price Data'!B431/'Price Data'!B430-1</f>
        <v>-9.1126343898448869E-3</v>
      </c>
      <c r="C430" s="7">
        <f>'Price Data'!C431/'Price Data'!C430-1</f>
        <v>-6.0884968632008984E-3</v>
      </c>
      <c r="D430" s="7">
        <f>'Price Data'!D431/'Price Data'!D430-1</f>
        <v>1.1081160532411261E-4</v>
      </c>
      <c r="E430" s="7">
        <f>'Price Data'!E431/'Price Data'!E430-1</f>
        <v>-7.0789852687802579E-4</v>
      </c>
    </row>
    <row r="431" spans="1:5" ht="15" customHeight="1" x14ac:dyDescent="0.2">
      <c r="A431" s="4" t="s">
        <v>433</v>
      </c>
      <c r="B431" s="7">
        <f>'Price Data'!B432/'Price Data'!B431-1</f>
        <v>7.0901392433118104E-3</v>
      </c>
      <c r="C431" s="7">
        <f>'Price Data'!C432/'Price Data'!C431-1</f>
        <v>3.4768689633950522E-3</v>
      </c>
      <c r="D431" s="7">
        <f>'Price Data'!D432/'Price Data'!D431-1</f>
        <v>-1.4399926984051126E-3</v>
      </c>
      <c r="E431" s="7">
        <f>'Price Data'!E432/'Price Data'!E431-1</f>
        <v>-1.5177217742620153E-3</v>
      </c>
    </row>
    <row r="432" spans="1:5" ht="15" customHeight="1" x14ac:dyDescent="0.2">
      <c r="A432" s="4" t="s">
        <v>434</v>
      </c>
      <c r="B432" s="7">
        <f>'Price Data'!B433/'Price Data'!B432-1</f>
        <v>-1.1631970108680556E-2</v>
      </c>
      <c r="C432" s="7">
        <f>'Price Data'!C433/'Price Data'!C432-1</f>
        <v>-1.6993868847637761E-2</v>
      </c>
      <c r="D432" s="7">
        <f>'Price Data'!D433/'Price Data'!D432-1</f>
        <v>-2.4289966482765935E-2</v>
      </c>
      <c r="E432" s="7">
        <f>'Price Data'!E433/'Price Data'!E432-1</f>
        <v>-4.4588337662712085E-3</v>
      </c>
    </row>
    <row r="433" spans="1:5" ht="15" customHeight="1" x14ac:dyDescent="0.2">
      <c r="A433" s="4" t="s">
        <v>435</v>
      </c>
      <c r="B433" s="7">
        <f>'Price Data'!B434/'Price Data'!B433-1</f>
        <v>-1.7085739577977321E-2</v>
      </c>
      <c r="C433" s="7">
        <f>'Price Data'!C434/'Price Data'!C433-1</f>
        <v>-1.3091748469267084E-2</v>
      </c>
      <c r="D433" s="7">
        <f>'Price Data'!D434/'Price Data'!D433-1</f>
        <v>-1.580083129113663E-2</v>
      </c>
      <c r="E433" s="7">
        <f>'Price Data'!E434/'Price Data'!E433-1</f>
        <v>3.1557355587290559E-3</v>
      </c>
    </row>
    <row r="434" spans="1:5" ht="15" customHeight="1" x14ac:dyDescent="0.2">
      <c r="A434" s="4" t="s">
        <v>436</v>
      </c>
      <c r="B434" s="7">
        <f>'Price Data'!B435/'Price Data'!B434-1</f>
        <v>-1.1185570055976424E-2</v>
      </c>
      <c r="C434" s="7">
        <f>'Price Data'!C435/'Price Data'!C434-1</f>
        <v>-2.891099115412854E-3</v>
      </c>
      <c r="D434" s="7">
        <f>'Price Data'!D435/'Price Data'!D434-1</f>
        <v>-1.2704989662065014E-2</v>
      </c>
      <c r="E434" s="7">
        <f>'Price Data'!E435/'Price Data'!E434-1</f>
        <v>-1.0654856169429738E-2</v>
      </c>
    </row>
    <row r="435" spans="1:5" ht="15" customHeight="1" x14ac:dyDescent="0.2">
      <c r="A435" s="4" t="s">
        <v>437</v>
      </c>
      <c r="B435" s="7">
        <f>'Price Data'!B436/'Price Data'!B435-1</f>
        <v>-1.7248793552353758E-2</v>
      </c>
      <c r="C435" s="7">
        <f>'Price Data'!C436/'Price Data'!C435-1</f>
        <v>-3.1894957645390853E-2</v>
      </c>
      <c r="D435" s="7">
        <f>'Price Data'!D436/'Price Data'!D435-1</f>
        <v>-1.3291784840890108E-2</v>
      </c>
      <c r="E435" s="7">
        <f>'Price Data'!E436/'Price Data'!E435-1</f>
        <v>-3.0768504602040059E-3</v>
      </c>
    </row>
    <row r="436" spans="1:5" ht="15" customHeight="1" x14ac:dyDescent="0.2">
      <c r="A436" s="4" t="s">
        <v>438</v>
      </c>
      <c r="B436" s="7">
        <f>'Price Data'!B437/'Price Data'!B436-1</f>
        <v>-1.0962807722405543E-2</v>
      </c>
      <c r="C436" s="7">
        <f>'Price Data'!C437/'Price Data'!C436-1</f>
        <v>-1.4799131190399661E-2</v>
      </c>
      <c r="D436" s="7">
        <f>'Price Data'!D437/'Price Data'!D436-1</f>
        <v>-2.804415386269421E-2</v>
      </c>
      <c r="E436" s="7">
        <f>'Price Data'!E437/'Price Data'!E436-1</f>
        <v>-1.2859897880881821E-2</v>
      </c>
    </row>
    <row r="437" spans="1:5" ht="15" customHeight="1" x14ac:dyDescent="0.2">
      <c r="A437" s="4" t="s">
        <v>439</v>
      </c>
      <c r="B437" s="7">
        <f>'Price Data'!B438/'Price Data'!B437-1</f>
        <v>-1.4815378004278124E-3</v>
      </c>
      <c r="C437" s="7">
        <f>'Price Data'!C438/'Price Data'!C437-1</f>
        <v>-6.7953364391548643E-3</v>
      </c>
      <c r="D437" s="7">
        <f>'Price Data'!D438/'Price Data'!D437-1</f>
        <v>-1.3316841331756701E-2</v>
      </c>
      <c r="E437" s="7">
        <f>'Price Data'!E438/'Price Data'!E437-1</f>
        <v>-4.2732061684518374E-3</v>
      </c>
    </row>
    <row r="438" spans="1:5" ht="15" customHeight="1" x14ac:dyDescent="0.2">
      <c r="A438" s="4" t="s">
        <v>440</v>
      </c>
      <c r="B438" s="7">
        <f>'Price Data'!B439/'Price Data'!B438-1</f>
        <v>2.1047374347293424E-2</v>
      </c>
      <c r="C438" s="7">
        <f>'Price Data'!C439/'Price Data'!C438-1</f>
        <v>2.4126672863714838E-2</v>
      </c>
      <c r="D438" s="7">
        <f>'Price Data'!D439/'Price Data'!D438-1</f>
        <v>2.0744751193672917E-2</v>
      </c>
      <c r="E438" s="7">
        <f>'Price Data'!E439/'Price Data'!E438-1</f>
        <v>1.6119094741646967E-2</v>
      </c>
    </row>
    <row r="439" spans="1:5" ht="15" customHeight="1" x14ac:dyDescent="0.2">
      <c r="A439" s="4" t="s">
        <v>441</v>
      </c>
      <c r="B439" s="7">
        <f>'Price Data'!B440/'Price Data'!B439-1</f>
        <v>-2.0774859873491591E-2</v>
      </c>
      <c r="C439" s="7">
        <f>'Price Data'!C440/'Price Data'!C439-1</f>
        <v>-1.1779069520406971E-2</v>
      </c>
      <c r="D439" s="7">
        <f>'Price Data'!D440/'Price Data'!D439-1</f>
        <v>-2.9382844759729188E-2</v>
      </c>
      <c r="E439" s="7">
        <f>'Price Data'!E440/'Price Data'!E439-1</f>
        <v>-5.2533998710512231E-3</v>
      </c>
    </row>
    <row r="440" spans="1:5" ht="15" customHeight="1" x14ac:dyDescent="0.2">
      <c r="A440" s="4" t="s">
        <v>442</v>
      </c>
      <c r="B440" s="7">
        <f>'Price Data'!B441/'Price Data'!B440-1</f>
        <v>-1.3575987451763916E-2</v>
      </c>
      <c r="C440" s="7">
        <f>'Price Data'!C441/'Price Data'!C440-1</f>
        <v>-3.5581087111872245E-3</v>
      </c>
      <c r="D440" s="7">
        <f>'Price Data'!D441/'Price Data'!D440-1</f>
        <v>1.1225774612912298E-2</v>
      </c>
      <c r="E440" s="7">
        <f>'Price Data'!E441/'Price Data'!E440-1</f>
        <v>-2.3818646330794335E-3</v>
      </c>
    </row>
    <row r="441" spans="1:5" ht="15" customHeight="1" x14ac:dyDescent="0.2">
      <c r="A441" s="4" t="s">
        <v>443</v>
      </c>
      <c r="B441" s="7">
        <f>'Price Data'!B442/'Price Data'!B441-1</f>
        <v>2.5408283600760084E-2</v>
      </c>
      <c r="C441" s="7">
        <f>'Price Data'!C442/'Price Data'!C441-1</f>
        <v>1.9817853519427109E-2</v>
      </c>
      <c r="D441" s="7">
        <f>'Price Data'!D442/'Price Data'!D441-1</f>
        <v>1.7837316787971069E-2</v>
      </c>
      <c r="E441" s="7">
        <f>'Price Data'!E442/'Price Data'!E441-1</f>
        <v>8.124486151974919E-3</v>
      </c>
    </row>
    <row r="442" spans="1:5" ht="15" customHeight="1" x14ac:dyDescent="0.2">
      <c r="A442" s="4" t="s">
        <v>444</v>
      </c>
      <c r="B442" s="7">
        <f>'Price Data'!B443/'Price Data'!B442-1</f>
        <v>3.2114160077824749E-2</v>
      </c>
      <c r="C442" s="7">
        <f>'Price Data'!C443/'Price Data'!C442-1</f>
        <v>4.0090933629374215E-2</v>
      </c>
      <c r="D442" s="7">
        <f>'Price Data'!D443/'Price Data'!D442-1</f>
        <v>2.0220590641236269E-2</v>
      </c>
      <c r="E442" s="7">
        <f>'Price Data'!E443/'Price Data'!E442-1</f>
        <v>2.6829738048139706E-3</v>
      </c>
    </row>
    <row r="443" spans="1:5" ht="15" customHeight="1" x14ac:dyDescent="0.2">
      <c r="A443" s="4" t="s">
        <v>445</v>
      </c>
      <c r="B443" s="7">
        <f>'Price Data'!B444/'Price Data'!B443-1</f>
        <v>-1.8952187342241578E-3</v>
      </c>
      <c r="C443" s="7">
        <f>'Price Data'!C444/'Price Data'!C443-1</f>
        <v>-1.0604204824207875E-2</v>
      </c>
      <c r="D443" s="7">
        <f>'Price Data'!D444/'Price Data'!D443-1</f>
        <v>-1.9579600652906759E-2</v>
      </c>
      <c r="E443" s="7">
        <f>'Price Data'!E444/'Price Data'!E443-1</f>
        <v>-5.2487191754200246E-3</v>
      </c>
    </row>
    <row r="444" spans="1:5" ht="15" customHeight="1" x14ac:dyDescent="0.2">
      <c r="A444" s="4" t="s">
        <v>446</v>
      </c>
      <c r="B444" s="7">
        <f>'Price Data'!B445/'Price Data'!B444-1</f>
        <v>-9.5475879931610219E-3</v>
      </c>
      <c r="C444" s="7">
        <f>'Price Data'!C445/'Price Data'!C444-1</f>
        <v>-1.7522939424900796E-2</v>
      </c>
      <c r="D444" s="7">
        <f>'Price Data'!D445/'Price Data'!D444-1</f>
        <v>-2.7811983853399558E-2</v>
      </c>
      <c r="E444" s="7">
        <f>'Price Data'!E445/'Price Data'!E444-1</f>
        <v>-3.9313214543511554E-3</v>
      </c>
    </row>
    <row r="445" spans="1:5" ht="15" customHeight="1" x14ac:dyDescent="0.2">
      <c r="A445" s="4" t="s">
        <v>447</v>
      </c>
      <c r="B445" s="7">
        <f>'Price Data'!B446/'Price Data'!B445-1</f>
        <v>-2.85987071779783E-2</v>
      </c>
      <c r="C445" s="7">
        <f>'Price Data'!C446/'Price Data'!C445-1</f>
        <v>-1.5930706095783953E-2</v>
      </c>
      <c r="D445" s="7">
        <f>'Price Data'!D446/'Price Data'!D445-1</f>
        <v>-2.4070549068285985E-2</v>
      </c>
      <c r="E445" s="7">
        <f>'Price Data'!E446/'Price Data'!E445-1</f>
        <v>-5.2967853692081901E-3</v>
      </c>
    </row>
    <row r="446" spans="1:5" ht="15" customHeight="1" x14ac:dyDescent="0.2">
      <c r="A446" s="4" t="s">
        <v>448</v>
      </c>
      <c r="B446" s="7">
        <f>'Price Data'!B447/'Price Data'!B446-1</f>
        <v>-7.9495049966520348E-3</v>
      </c>
      <c r="C446" s="7">
        <f>'Price Data'!C447/'Price Data'!C446-1</f>
        <v>-5.6308803610769509E-3</v>
      </c>
      <c r="D446" s="7">
        <f>'Price Data'!D447/'Price Data'!D446-1</f>
        <v>-9.4266653886619922E-3</v>
      </c>
      <c r="E446" s="7">
        <f>'Price Data'!E447/'Price Data'!E446-1</f>
        <v>-4.4898160099763329E-3</v>
      </c>
    </row>
    <row r="447" spans="1:5" ht="15" customHeight="1" x14ac:dyDescent="0.2">
      <c r="A447" s="4" t="s">
        <v>449</v>
      </c>
      <c r="B447" s="7">
        <f>'Price Data'!B448/'Price Data'!B447-1</f>
        <v>-6.4106003468721307E-3</v>
      </c>
      <c r="C447" s="7">
        <f>'Price Data'!C448/'Price Data'!C447-1</f>
        <v>-1.0971482562482926E-2</v>
      </c>
      <c r="D447" s="7">
        <f>'Price Data'!D448/'Price Data'!D447-1</f>
        <v>1.0168533850636985E-2</v>
      </c>
      <c r="E447" s="7">
        <f>'Price Data'!E448/'Price Data'!E447-1</f>
        <v>6.2925182214801367E-4</v>
      </c>
    </row>
    <row r="448" spans="1:5" ht="15" customHeight="1" x14ac:dyDescent="0.2">
      <c r="A448" s="4" t="s">
        <v>450</v>
      </c>
      <c r="B448" s="7">
        <f>'Price Data'!B449/'Price Data'!B448-1</f>
        <v>-2.7254051496589105E-3</v>
      </c>
      <c r="C448" s="7">
        <f>'Price Data'!C449/'Price Data'!C448-1</f>
        <v>-3.2207325408838416E-3</v>
      </c>
      <c r="D448" s="7">
        <f>'Price Data'!D449/'Price Data'!D448-1</f>
        <v>-1.0453234601511596E-2</v>
      </c>
      <c r="E448" s="7">
        <f>'Price Data'!E449/'Price Data'!E448-1</f>
        <v>8.3841381111504631E-4</v>
      </c>
    </row>
    <row r="449" spans="1:5" ht="15" customHeight="1" x14ac:dyDescent="0.2">
      <c r="A449" s="4" t="s">
        <v>451</v>
      </c>
      <c r="B449" s="7">
        <f>'Price Data'!B450/'Price Data'!B449-1</f>
        <v>2.4818546395305674E-2</v>
      </c>
      <c r="C449" s="7">
        <f>'Price Data'!C450/'Price Data'!C449-1</f>
        <v>2.0642692634952997E-2</v>
      </c>
      <c r="D449" s="7">
        <f>'Price Data'!D450/'Price Data'!D449-1</f>
        <v>1.825789520722032E-2</v>
      </c>
      <c r="E449" s="7">
        <f>'Price Data'!E450/'Price Data'!E449-1</f>
        <v>-3.141737999843075E-3</v>
      </c>
    </row>
    <row r="450" spans="1:5" ht="15" customHeight="1" x14ac:dyDescent="0.2">
      <c r="A450" s="4" t="s">
        <v>452</v>
      </c>
      <c r="B450" s="7">
        <f>'Price Data'!B451/'Price Data'!B450-1</f>
        <v>-2.3564482091738559E-2</v>
      </c>
      <c r="C450" s="7">
        <f>'Price Data'!C451/'Price Data'!C450-1</f>
        <v>-1.4948925872369623E-2</v>
      </c>
      <c r="D450" s="7">
        <f>'Price Data'!D451/'Price Data'!D450-1</f>
        <v>-2.4846420381502199E-2</v>
      </c>
      <c r="E450" s="7">
        <f>'Price Data'!E451/'Price Data'!E450-1</f>
        <v>-5.4635696746617723E-3</v>
      </c>
    </row>
    <row r="451" spans="1:5" ht="15" customHeight="1" x14ac:dyDescent="0.2">
      <c r="A451" s="4" t="s">
        <v>453</v>
      </c>
      <c r="B451" s="7">
        <f>'Price Data'!B452/'Price Data'!B451-1</f>
        <v>2.669693096473269E-2</v>
      </c>
      <c r="C451" s="7">
        <f>'Price Data'!C452/'Price Data'!C451-1</f>
        <v>2.4638333908792331E-2</v>
      </c>
      <c r="D451" s="7">
        <f>'Price Data'!D452/'Price Data'!D451-1</f>
        <v>3.7693759565314622E-2</v>
      </c>
      <c r="E451" s="7">
        <f>'Price Data'!E452/'Price Data'!E451-1</f>
        <v>2.1127893245898033E-3</v>
      </c>
    </row>
    <row r="452" spans="1:5" ht="15" customHeight="1" x14ac:dyDescent="0.2">
      <c r="A452" s="4" t="s">
        <v>454</v>
      </c>
      <c r="B452" s="7">
        <f>'Price Data'!B453/'Price Data'!B452-1</f>
        <v>1.2214552035799464E-2</v>
      </c>
      <c r="C452" s="7">
        <f>'Price Data'!C453/'Price Data'!C452-1</f>
        <v>7.14417502213327E-3</v>
      </c>
      <c r="D452" s="7">
        <f>'Price Data'!D453/'Price Data'!D452-1</f>
        <v>1.0884523704790983E-2</v>
      </c>
      <c r="E452" s="7">
        <f>'Price Data'!E453/'Price Data'!E452-1</f>
        <v>1.6865574487427981E-3</v>
      </c>
    </row>
    <row r="453" spans="1:5" ht="15" customHeight="1" x14ac:dyDescent="0.2">
      <c r="A453" s="4" t="s">
        <v>455</v>
      </c>
      <c r="B453" s="7">
        <f>'Price Data'!B454/'Price Data'!B453-1</f>
        <v>-8.527354248644925E-3</v>
      </c>
      <c r="C453" s="7">
        <f>'Price Data'!C454/'Price Data'!C453-1</f>
        <v>-1.2283731906407858E-2</v>
      </c>
      <c r="D453" s="7">
        <f>'Price Data'!D454/'Price Data'!D453-1</f>
        <v>-2.4915718511527629E-2</v>
      </c>
      <c r="E453" s="7">
        <f>'Price Data'!E454/'Price Data'!E453-1</f>
        <v>-8.6298115064830094E-3</v>
      </c>
    </row>
    <row r="454" spans="1:5" ht="15" customHeight="1" x14ac:dyDescent="0.2">
      <c r="A454" s="4" t="s">
        <v>456</v>
      </c>
      <c r="B454" s="7">
        <f>'Price Data'!B455/'Price Data'!B454-1</f>
        <v>-8.6548638602934602E-3</v>
      </c>
      <c r="C454" s="7">
        <f>'Price Data'!C455/'Price Data'!C454-1</f>
        <v>-2.2771624505247834E-3</v>
      </c>
      <c r="D454" s="7">
        <f>'Price Data'!D455/'Price Data'!D454-1</f>
        <v>-4.3654658283457382E-3</v>
      </c>
      <c r="E454" s="7">
        <f>'Price Data'!E455/'Price Data'!E454-1</f>
        <v>-6.0506094445031966E-3</v>
      </c>
    </row>
    <row r="455" spans="1:5" ht="15" customHeight="1" x14ac:dyDescent="0.2">
      <c r="A455" s="4" t="s">
        <v>457</v>
      </c>
      <c r="B455" s="7">
        <f>'Price Data'!B456/'Price Data'!B455-1</f>
        <v>2.3026548327949925E-2</v>
      </c>
      <c r="C455" s="7">
        <f>'Price Data'!C456/'Price Data'!C455-1</f>
        <v>1.8082912597388479E-2</v>
      </c>
      <c r="D455" s="7">
        <f>'Price Data'!D456/'Price Data'!D455-1</f>
        <v>7.8669255803700544E-3</v>
      </c>
      <c r="E455" s="7">
        <f>'Price Data'!E456/'Price Data'!E455-1</f>
        <v>1.4949142333398058E-3</v>
      </c>
    </row>
    <row r="456" spans="1:5" ht="15" customHeight="1" x14ac:dyDescent="0.2">
      <c r="A456" s="4" t="s">
        <v>458</v>
      </c>
      <c r="B456" s="7">
        <f>'Price Data'!B457/'Price Data'!B456-1</f>
        <v>1.0773512919316497E-2</v>
      </c>
      <c r="C456" s="7">
        <f>'Price Data'!C457/'Price Data'!C456-1</f>
        <v>1.7239661892753944E-4</v>
      </c>
      <c r="D456" s="7">
        <f>'Price Data'!D457/'Price Data'!D456-1</f>
        <v>-1.278921360230445E-4</v>
      </c>
      <c r="E456" s="7">
        <f>'Price Data'!E457/'Price Data'!E456-1</f>
        <v>-1.386175651330146E-3</v>
      </c>
    </row>
    <row r="457" spans="1:5" ht="15" customHeight="1" x14ac:dyDescent="0.2">
      <c r="A457" s="4" t="s">
        <v>459</v>
      </c>
      <c r="B457" s="7">
        <f>'Price Data'!B458/'Price Data'!B457-1</f>
        <v>1.8099418939686807E-2</v>
      </c>
      <c r="C457" s="7">
        <f>'Price Data'!C458/'Price Data'!C457-1</f>
        <v>2.2068948091259699E-2</v>
      </c>
      <c r="D457" s="7">
        <f>'Price Data'!D458/'Price Data'!D457-1</f>
        <v>3.9288523521380458E-2</v>
      </c>
      <c r="E457" s="7">
        <f>'Price Data'!E458/'Price Data'!E457-1</f>
        <v>9.8249385102280318E-3</v>
      </c>
    </row>
    <row r="458" spans="1:5" ht="15" customHeight="1" x14ac:dyDescent="0.2">
      <c r="A458" s="4" t="s">
        <v>460</v>
      </c>
      <c r="B458" s="7">
        <f>'Price Data'!B459/'Price Data'!B458-1</f>
        <v>-6.1677642198357807E-3</v>
      </c>
      <c r="C458" s="7">
        <f>'Price Data'!C459/'Price Data'!C458-1</f>
        <v>9.4467270203537623E-3</v>
      </c>
      <c r="D458" s="7">
        <f>'Price Data'!D459/'Price Data'!D458-1</f>
        <v>-6.1580403688643592E-4</v>
      </c>
      <c r="E458" s="7">
        <f>'Price Data'!E459/'Price Data'!E458-1</f>
        <v>4.4416509610154531E-3</v>
      </c>
    </row>
    <row r="459" spans="1:5" ht="15" customHeight="1" x14ac:dyDescent="0.2">
      <c r="A459" s="4" t="s">
        <v>461</v>
      </c>
      <c r="B459" s="7">
        <f>'Price Data'!B460/'Price Data'!B459-1</f>
        <v>-4.6936160417399009E-3</v>
      </c>
      <c r="C459" s="7">
        <f>'Price Data'!C460/'Price Data'!C459-1</f>
        <v>-9.3583215116642693E-3</v>
      </c>
      <c r="D459" s="7">
        <f>'Price Data'!D460/'Price Data'!D459-1</f>
        <v>1.4786649072706659E-3</v>
      </c>
      <c r="E459" s="7">
        <f>'Price Data'!E460/'Price Data'!E459-1</f>
        <v>5.0540145158839422E-3</v>
      </c>
    </row>
    <row r="460" spans="1:5" ht="15" customHeight="1" x14ac:dyDescent="0.2">
      <c r="A460" s="4" t="s">
        <v>462</v>
      </c>
      <c r="B460" s="7">
        <f>'Price Data'!B461/'Price Data'!B460-1</f>
        <v>2.3264344016701743E-2</v>
      </c>
      <c r="C460" s="7">
        <f>'Price Data'!C461/'Price Data'!C460-1</f>
        <v>9.9528791322935906E-3</v>
      </c>
      <c r="D460" s="7">
        <f>'Price Data'!D461/'Price Data'!D460-1</f>
        <v>2.2022506162317823E-2</v>
      </c>
      <c r="E460" s="7">
        <f>'Price Data'!E461/'Price Data'!E460-1</f>
        <v>-2.5145743066028459E-3</v>
      </c>
    </row>
    <row r="461" spans="1:5" ht="15" customHeight="1" x14ac:dyDescent="0.2">
      <c r="A461" s="4" t="s">
        <v>463</v>
      </c>
      <c r="B461" s="7">
        <f>'Price Data'!B462/'Price Data'!B461-1</f>
        <v>-6.451834339650242E-3</v>
      </c>
      <c r="C461" s="7">
        <f>'Price Data'!C462/'Price Data'!C461-1</f>
        <v>-9.3537030314343461E-3</v>
      </c>
      <c r="D461" s="7">
        <f>'Price Data'!D462/'Price Data'!D461-1</f>
        <v>-1.083178463454515E-3</v>
      </c>
      <c r="E461" s="7">
        <f>'Price Data'!E462/'Price Data'!E461-1</f>
        <v>-3.3604537497302633E-3</v>
      </c>
    </row>
    <row r="462" spans="1:5" ht="15" customHeight="1" x14ac:dyDescent="0.2">
      <c r="A462" s="4" t="s">
        <v>464</v>
      </c>
      <c r="B462" s="7">
        <f>'Price Data'!B463/'Price Data'!B462-1</f>
        <v>-3.0924460694184974E-3</v>
      </c>
      <c r="C462" s="7">
        <f>'Price Data'!C463/'Price Data'!C462-1</f>
        <v>7.9244771269144643E-3</v>
      </c>
      <c r="D462" s="7">
        <f>'Price Data'!D463/'Price Data'!D462-1</f>
        <v>-3.6188002572512534E-4</v>
      </c>
      <c r="E462" s="7">
        <f>'Price Data'!E463/'Price Data'!E462-1</f>
        <v>1.8583313286737457E-3</v>
      </c>
    </row>
    <row r="463" spans="1:5" ht="15" customHeight="1" x14ac:dyDescent="0.2">
      <c r="A463" s="4" t="s">
        <v>465</v>
      </c>
      <c r="B463" s="7">
        <f>'Price Data'!B464/'Price Data'!B463-1</f>
        <v>-2.6314438005672458E-2</v>
      </c>
      <c r="C463" s="7">
        <f>'Price Data'!C464/'Price Data'!C463-1</f>
        <v>-1.4553418566317089E-2</v>
      </c>
      <c r="D463" s="7">
        <f>'Price Data'!D464/'Price Data'!D463-1</f>
        <v>-2.7486229310704879E-2</v>
      </c>
      <c r="E463" s="7">
        <f>'Price Data'!E464/'Price Data'!E463-1</f>
        <v>-1.6863920484134765E-3</v>
      </c>
    </row>
    <row r="464" spans="1:5" ht="15" customHeight="1" x14ac:dyDescent="0.2">
      <c r="A464" s="4" t="s">
        <v>466</v>
      </c>
      <c r="B464" s="7">
        <f>'Price Data'!B465/'Price Data'!B464-1</f>
        <v>-9.5571082043098832E-3</v>
      </c>
      <c r="C464" s="7">
        <f>'Price Data'!C465/'Price Data'!C464-1</f>
        <v>-8.4873977636997777E-3</v>
      </c>
      <c r="D464" s="7">
        <f>'Price Data'!D465/'Price Data'!D464-1</f>
        <v>-1.363528744871334E-3</v>
      </c>
      <c r="E464" s="7">
        <f>'Price Data'!E465/'Price Data'!E464-1</f>
        <v>-3.6959844890789295E-3</v>
      </c>
    </row>
    <row r="465" spans="1:5" ht="15" customHeight="1" x14ac:dyDescent="0.2">
      <c r="A465" s="4" t="s">
        <v>467</v>
      </c>
      <c r="B465" s="7">
        <f>'Price Data'!B466/'Price Data'!B465-1</f>
        <v>1.2865770499879137E-2</v>
      </c>
      <c r="C465" s="7">
        <f>'Price Data'!C466/'Price Data'!C465-1</f>
        <v>4.0061519675974377E-2</v>
      </c>
      <c r="D465" s="7">
        <f>'Price Data'!D466/'Price Data'!D465-1</f>
        <v>1.3654236372858453E-2</v>
      </c>
      <c r="E465" s="7">
        <f>'Price Data'!E466/'Price Data'!E465-1</f>
        <v>-1.0561147753107569E-4</v>
      </c>
    </row>
    <row r="466" spans="1:5" ht="15" customHeight="1" x14ac:dyDescent="0.2">
      <c r="A466" s="4" t="s">
        <v>468</v>
      </c>
      <c r="B466" s="7">
        <f>'Price Data'!B467/'Price Data'!B466-1</f>
        <v>9.1035968340273943E-3</v>
      </c>
      <c r="C466" s="7">
        <f>'Price Data'!C467/'Price Data'!C466-1</f>
        <v>3.1276385482508218E-3</v>
      </c>
      <c r="D466" s="7">
        <f>'Price Data'!D467/'Price Data'!D466-1</f>
        <v>0</v>
      </c>
      <c r="E466" s="7">
        <f>'Price Data'!E467/'Price Data'!E466-1</f>
        <v>-3.1801275817983088E-3</v>
      </c>
    </row>
    <row r="467" spans="1:5" ht="15" customHeight="1" x14ac:dyDescent="0.2">
      <c r="A467" s="4" t="s">
        <v>469</v>
      </c>
      <c r="B467" s="7">
        <f>'Price Data'!B468/'Price Data'!B467-1</f>
        <v>5.2448401415947643E-3</v>
      </c>
      <c r="C467" s="7">
        <f>'Price Data'!C468/'Price Data'!C467-1</f>
        <v>1.1322556442260989E-2</v>
      </c>
      <c r="D467" s="7">
        <f>'Price Data'!D468/'Price Data'!D467-1</f>
        <v>3.0617262852452587E-3</v>
      </c>
      <c r="E467" s="7">
        <f>'Price Data'!E468/'Price Data'!E467-1</f>
        <v>4.2531108033581067E-3</v>
      </c>
    </row>
    <row r="468" spans="1:5" ht="15" customHeight="1" x14ac:dyDescent="0.2">
      <c r="A468" s="4" t="s">
        <v>470</v>
      </c>
      <c r="B468" s="7">
        <f>'Price Data'!B469/'Price Data'!B468-1</f>
        <v>-2.1548556335795332E-2</v>
      </c>
      <c r="C468" s="7">
        <f>'Price Data'!C469/'Price Data'!C468-1</f>
        <v>-1.3954272610778085E-2</v>
      </c>
      <c r="D468" s="7">
        <f>'Price Data'!D469/'Price Data'!D468-1</f>
        <v>-1.0255442934214543E-2</v>
      </c>
      <c r="E468" s="7">
        <f>'Price Data'!E469/'Price Data'!E468-1</f>
        <v>1.1650463588295246E-3</v>
      </c>
    </row>
    <row r="469" spans="1:5" ht="15" customHeight="1" x14ac:dyDescent="0.2">
      <c r="A469" s="4" t="s">
        <v>471</v>
      </c>
      <c r="B469" s="7">
        <f>'Price Data'!B470/'Price Data'!B469-1</f>
        <v>5.6577695373832171E-2</v>
      </c>
      <c r="C469" s="7">
        <f>'Price Data'!C470/'Price Data'!C469-1</f>
        <v>5.6113328515318806E-2</v>
      </c>
      <c r="D469" s="7">
        <f>'Price Data'!D470/'Price Data'!D469-1</f>
        <v>7.3146729514923958E-2</v>
      </c>
      <c r="E469" s="7">
        <f>'Price Data'!E470/'Price Data'!E469-1</f>
        <v>2.146996269686241E-2</v>
      </c>
    </row>
    <row r="470" spans="1:5" ht="15" customHeight="1" x14ac:dyDescent="0.2">
      <c r="A470" s="4" t="s">
        <v>472</v>
      </c>
      <c r="B470" s="7">
        <f>'Price Data'!B471/'Price Data'!B470-1</f>
        <v>1.0194683597475329E-2</v>
      </c>
      <c r="C470" s="7">
        <f>'Price Data'!C471/'Price Data'!C470-1</f>
        <v>1.9943824200783E-2</v>
      </c>
      <c r="D470" s="7">
        <f>'Price Data'!D471/'Price Data'!D470-1</f>
        <v>-1.1478011934729082E-4</v>
      </c>
      <c r="E470" s="7">
        <f>'Price Data'!E471/'Price Data'!E470-1</f>
        <v>-7.2464565413743465E-4</v>
      </c>
    </row>
    <row r="471" spans="1:5" ht="15" customHeight="1" x14ac:dyDescent="0.2">
      <c r="A471" s="4" t="s">
        <v>473</v>
      </c>
      <c r="B471" s="7">
        <f>'Price Data'!B472/'Price Data'!B471-1</f>
        <v>-9.0427649769302398E-3</v>
      </c>
      <c r="C471" s="7">
        <f>'Price Data'!C472/'Price Data'!C471-1</f>
        <v>-1.0540802248131809E-2</v>
      </c>
      <c r="D471" s="7">
        <f>'Price Data'!D472/'Price Data'!D471-1</f>
        <v>-2.4370759835442346E-2</v>
      </c>
      <c r="E471" s="7">
        <f>'Price Data'!E472/'Price Data'!E471-1</f>
        <v>-2.7977075747124269E-3</v>
      </c>
    </row>
    <row r="472" spans="1:5" ht="15" customHeight="1" x14ac:dyDescent="0.2">
      <c r="A472" s="4" t="s">
        <v>474</v>
      </c>
      <c r="B472" s="7">
        <f>'Price Data'!B473/'Price Data'!B472-1</f>
        <v>1.0133566379052716E-2</v>
      </c>
      <c r="C472" s="7">
        <f>'Price Data'!C473/'Price Data'!C472-1</f>
        <v>6.6389232753703009E-3</v>
      </c>
      <c r="D472" s="7">
        <f>'Price Data'!D473/'Price Data'!D472-1</f>
        <v>1.0839997281847369E-2</v>
      </c>
      <c r="E472" s="7">
        <f>'Price Data'!E473/'Price Data'!E472-1</f>
        <v>7.3773135728876227E-3</v>
      </c>
    </row>
    <row r="473" spans="1:5" ht="15" customHeight="1" x14ac:dyDescent="0.2">
      <c r="A473" s="4" t="s">
        <v>475</v>
      </c>
      <c r="B473" s="7">
        <f>'Price Data'!B474/'Price Data'!B473-1</f>
        <v>-1.0181528377287141E-2</v>
      </c>
      <c r="C473" s="7">
        <f>'Price Data'!C474/'Price Data'!C473-1</f>
        <v>-2.3005793248341844E-3</v>
      </c>
      <c r="D473" s="7">
        <f>'Price Data'!D474/'Price Data'!D473-1</f>
        <v>-9.0917795842565541E-3</v>
      </c>
      <c r="E473" s="7">
        <f>'Price Data'!E474/'Price Data'!E473-1</f>
        <v>6.1889428449741768E-3</v>
      </c>
    </row>
    <row r="474" spans="1:5" ht="15" customHeight="1" x14ac:dyDescent="0.2">
      <c r="A474" s="4" t="s">
        <v>476</v>
      </c>
      <c r="B474" s="7">
        <f>'Price Data'!B475/'Price Data'!B474-1</f>
        <v>-4.1849851964470552E-3</v>
      </c>
      <c r="C474" s="7">
        <f>'Price Data'!C475/'Price Data'!C474-1</f>
        <v>-4.6125588871981371E-4</v>
      </c>
      <c r="D474" s="7">
        <f>'Price Data'!D475/'Price Data'!D474-1</f>
        <v>-6.8229270870209247E-3</v>
      </c>
      <c r="E474" s="7">
        <f>'Price Data'!E475/'Price Data'!E474-1</f>
        <v>-4.2030282661508211E-3</v>
      </c>
    </row>
    <row r="475" spans="1:5" ht="15" customHeight="1" x14ac:dyDescent="0.2">
      <c r="A475" s="4" t="s">
        <v>477</v>
      </c>
      <c r="B475" s="7">
        <f>'Price Data'!B476/'Price Data'!B475-1</f>
        <v>4.708909928251126E-3</v>
      </c>
      <c r="C475" s="7">
        <f>'Price Data'!C476/'Price Data'!C475-1</f>
        <v>1.9994342691085354E-3</v>
      </c>
      <c r="D475" s="7">
        <f>'Price Data'!D476/'Price Data'!D475-1</f>
        <v>1.2673235264322846E-2</v>
      </c>
      <c r="E475" s="7">
        <f>'Price Data'!E476/'Price Data'!E475-1</f>
        <v>-1.4409361440227419E-3</v>
      </c>
    </row>
    <row r="476" spans="1:5" ht="15" customHeight="1" x14ac:dyDescent="0.2">
      <c r="A476" s="4" t="s">
        <v>478</v>
      </c>
      <c r="B476" s="7">
        <f>'Price Data'!B477/'Price Data'!B476-1</f>
        <v>-4.2335074348692769E-3</v>
      </c>
      <c r="C476" s="7">
        <f>'Price Data'!C477/'Price Data'!C476-1</f>
        <v>-7.521098579747254E-3</v>
      </c>
      <c r="D476" s="7">
        <f>'Price Data'!D477/'Price Data'!D476-1</f>
        <v>5.263424704891051E-3</v>
      </c>
      <c r="E476" s="7">
        <f>'Price Data'!E477/'Price Data'!E476-1</f>
        <v>-6.1878154183081513E-4</v>
      </c>
    </row>
    <row r="477" spans="1:5" ht="15" customHeight="1" x14ac:dyDescent="0.2">
      <c r="A477" s="4" t="s">
        <v>479</v>
      </c>
      <c r="B477" s="7">
        <f>'Price Data'!B478/'Price Data'!B477-1</f>
        <v>1.3108654909475215E-2</v>
      </c>
      <c r="C477" s="7">
        <f>'Price Data'!C478/'Price Data'!C477-1</f>
        <v>1.391895253863118E-2</v>
      </c>
      <c r="D477" s="7">
        <f>'Price Data'!D478/'Price Data'!D477-1</f>
        <v>5.4682307165077049E-3</v>
      </c>
      <c r="E477" s="7">
        <f>'Price Data'!E478/'Price Data'!E477-1</f>
        <v>5.1577288525981313E-3</v>
      </c>
    </row>
    <row r="478" spans="1:5" ht="15" customHeight="1" x14ac:dyDescent="0.2">
      <c r="A478" s="4" t="s">
        <v>480</v>
      </c>
      <c r="B478" s="7">
        <f>'Price Data'!B479/'Price Data'!B478-1</f>
        <v>6.0946715769680804E-3</v>
      </c>
      <c r="C478" s="7">
        <f>'Price Data'!C479/'Price Data'!C478-1</f>
        <v>1.0982326064529202E-2</v>
      </c>
      <c r="D478" s="7">
        <f>'Price Data'!D479/'Price Data'!D478-1</f>
        <v>8.0977997527265089E-4</v>
      </c>
      <c r="E478" s="7">
        <f>'Price Data'!E479/'Price Data'!E478-1</f>
        <v>5.9524905617398538E-3</v>
      </c>
    </row>
    <row r="479" spans="1:5" ht="15" customHeight="1" x14ac:dyDescent="0.2">
      <c r="A479" s="4" t="s">
        <v>481</v>
      </c>
      <c r="B479" s="7">
        <f>'Price Data'!B480/'Price Data'!B479-1</f>
        <v>7.4491739342441576E-4</v>
      </c>
      <c r="C479" s="7">
        <f>'Price Data'!C480/'Price Data'!C479-1</f>
        <v>5.1298443150920026E-3</v>
      </c>
      <c r="D479" s="7">
        <f>'Price Data'!D480/'Price Data'!D479-1</f>
        <v>6.3591875946964471E-3</v>
      </c>
      <c r="E479" s="7">
        <f>'Price Data'!E480/'Price Data'!E479-1</f>
        <v>2.0375875816158739E-4</v>
      </c>
    </row>
    <row r="480" spans="1:5" ht="15" customHeight="1" x14ac:dyDescent="0.2">
      <c r="A480" s="4" t="s">
        <v>482</v>
      </c>
      <c r="B480" s="7">
        <f>'Price Data'!B481/'Price Data'!B480-1</f>
        <v>-1.6225005760380551E-2</v>
      </c>
      <c r="C480" s="7">
        <f>'Price Data'!C481/'Price Data'!C480-1</f>
        <v>-1.2909061718402448E-2</v>
      </c>
      <c r="D480" s="7">
        <f>'Price Data'!D481/'Price Data'!D480-1</f>
        <v>-2.6769107373983525E-2</v>
      </c>
      <c r="E480" s="7">
        <f>'Price Data'!E481/'Price Data'!E480-1</f>
        <v>-1.6316925402979354E-3</v>
      </c>
    </row>
    <row r="481" spans="1:5" ht="15" customHeight="1" x14ac:dyDescent="0.2">
      <c r="A481" s="4" t="s">
        <v>483</v>
      </c>
      <c r="B481" s="7">
        <f>'Price Data'!B482/'Price Data'!B481-1</f>
        <v>-1.5635430342378909E-3</v>
      </c>
      <c r="C481" s="7">
        <f>'Price Data'!C482/'Price Data'!C481-1</f>
        <v>2.8890948204498557E-3</v>
      </c>
      <c r="D481" s="7">
        <f>'Price Data'!D482/'Price Data'!D481-1</f>
        <v>1.6526944144890976E-2</v>
      </c>
      <c r="E481" s="7">
        <f>'Price Data'!E482/'Price Data'!E481-1</f>
        <v>-3.5758172842171865E-3</v>
      </c>
    </row>
    <row r="482" spans="1:5" ht="15" customHeight="1" x14ac:dyDescent="0.2">
      <c r="A482" s="4" t="s">
        <v>484</v>
      </c>
      <c r="B482" s="7">
        <f>'Price Data'!B483/'Price Data'!B482-1</f>
        <v>3.0814370810162472E-2</v>
      </c>
      <c r="C482" s="7">
        <f>'Price Data'!C483/'Price Data'!C482-1</f>
        <v>1.7740762878274641E-2</v>
      </c>
      <c r="D482" s="7">
        <f>'Price Data'!D483/'Price Data'!D482-1</f>
        <v>2.2877736864528542E-2</v>
      </c>
      <c r="E482" s="7">
        <f>'Price Data'!E483/'Price Data'!E482-1</f>
        <v>7.7924504306774445E-3</v>
      </c>
    </row>
    <row r="483" spans="1:5" ht="15" customHeight="1" x14ac:dyDescent="0.2">
      <c r="A483" s="4" t="s">
        <v>485</v>
      </c>
      <c r="B483" s="7">
        <f>'Price Data'!B484/'Price Data'!B483-1</f>
        <v>5.8802608740737838E-4</v>
      </c>
      <c r="C483" s="7">
        <f>'Price Data'!C484/'Price Data'!C483-1</f>
        <v>9.6840683238037517E-3</v>
      </c>
      <c r="D483" s="7">
        <f>'Price Data'!D484/'Price Data'!D483-1</f>
        <v>-2.1573150511579042E-3</v>
      </c>
      <c r="E483" s="7">
        <f>'Price Data'!E484/'Price Data'!E483-1</f>
        <v>8.3211470032087398E-3</v>
      </c>
    </row>
    <row r="484" spans="1:5" ht="15" customHeight="1" x14ac:dyDescent="0.2">
      <c r="A484" s="4" t="s">
        <v>486</v>
      </c>
      <c r="B484" s="7">
        <f>'Price Data'!B485/'Price Data'!B484-1</f>
        <v>-9.306056770026494E-4</v>
      </c>
      <c r="C484" s="7">
        <f>'Price Data'!C485/'Price Data'!C484-1</f>
        <v>-7.3765226012745266E-4</v>
      </c>
      <c r="D484" s="7">
        <f>'Price Data'!D485/'Price Data'!D484-1</f>
        <v>-2.9582152725647903E-3</v>
      </c>
      <c r="E484" s="7">
        <f>'Price Data'!E485/'Price Data'!E484-1</f>
        <v>4.1462764279200925E-3</v>
      </c>
    </row>
    <row r="485" spans="1:5" ht="15" customHeight="1" x14ac:dyDescent="0.2">
      <c r="A485" s="4" t="s">
        <v>487</v>
      </c>
      <c r="B485" s="7">
        <f>'Price Data'!B486/'Price Data'!B485-1</f>
        <v>-1.9657844403510039E-2</v>
      </c>
      <c r="C485" s="7">
        <f>'Price Data'!C486/'Price Data'!C485-1</f>
        <v>-1.3142446669932917E-2</v>
      </c>
      <c r="D485" s="7">
        <f>'Price Data'!D486/'Price Data'!D485-1</f>
        <v>-1.8258484310071821E-2</v>
      </c>
      <c r="E485" s="7">
        <f>'Price Data'!E486/'Price Data'!E485-1</f>
        <v>-7.8558812769250475E-3</v>
      </c>
    </row>
    <row r="486" spans="1:5" ht="15" customHeight="1" x14ac:dyDescent="0.2">
      <c r="A486" s="4" t="s">
        <v>488</v>
      </c>
      <c r="B486" s="7">
        <f>'Price Data'!B487/'Price Data'!B486-1</f>
        <v>-1.5001541653418604E-2</v>
      </c>
      <c r="C486" s="7">
        <f>'Price Data'!C487/'Price Data'!C486-1</f>
        <v>-4.4889356853253792E-3</v>
      </c>
      <c r="D486" s="7">
        <f>'Price Data'!D487/'Price Data'!D486-1</f>
        <v>-9.4154646720924218E-3</v>
      </c>
      <c r="E486" s="7">
        <f>'Price Data'!E487/'Price Data'!E486-1</f>
        <v>2.9441182121605625E-3</v>
      </c>
    </row>
    <row r="487" spans="1:5" ht="15" customHeight="1" x14ac:dyDescent="0.2">
      <c r="A487" s="4" t="s">
        <v>489</v>
      </c>
      <c r="B487" s="7">
        <f>'Price Data'!B488/'Price Data'!B487-1</f>
        <v>-1.624376119532478E-3</v>
      </c>
      <c r="C487" s="7">
        <f>'Price Data'!C488/'Price Data'!C487-1</f>
        <v>0</v>
      </c>
      <c r="D487" s="7">
        <f>'Price Data'!D488/'Price Data'!D487-1</f>
        <v>1.9949425668122078E-3</v>
      </c>
      <c r="E487" s="7">
        <f>'Price Data'!E488/'Price Data'!E487-1</f>
        <v>8.9067863725800223E-3</v>
      </c>
    </row>
    <row r="488" spans="1:5" ht="15" customHeight="1" x14ac:dyDescent="0.2">
      <c r="A488" s="4" t="s">
        <v>490</v>
      </c>
      <c r="B488" s="7">
        <f>'Price Data'!B489/'Price Data'!B488-1</f>
        <v>8.6443864942542525E-3</v>
      </c>
      <c r="C488" s="7">
        <f>'Price Data'!C489/'Price Data'!C488-1</f>
        <v>5.1105037585805757E-3</v>
      </c>
      <c r="D488" s="7">
        <f>'Price Data'!D489/'Price Data'!D488-1</f>
        <v>7.0264526440919628E-3</v>
      </c>
      <c r="E488" s="7">
        <f>'Price Data'!E489/'Price Data'!E488-1</f>
        <v>-3.0095569845974834E-3</v>
      </c>
    </row>
    <row r="489" spans="1:5" ht="15" customHeight="1" x14ac:dyDescent="0.2">
      <c r="A489" s="4" t="s">
        <v>491</v>
      </c>
      <c r="B489" s="7">
        <f>'Price Data'!B490/'Price Data'!B489-1</f>
        <v>-8.3687684181508182E-3</v>
      </c>
      <c r="C489" s="7">
        <f>'Price Data'!C490/'Price Data'!C489-1</f>
        <v>5.9826921025107893E-4</v>
      </c>
      <c r="D489" s="7">
        <f>'Price Data'!D490/'Price Data'!D489-1</f>
        <v>-1.8605365561376042E-3</v>
      </c>
      <c r="E489" s="7">
        <f>'Price Data'!E490/'Price Data'!E489-1</f>
        <v>-5.9368982238275914E-3</v>
      </c>
    </row>
    <row r="490" spans="1:5" ht="15" customHeight="1" x14ac:dyDescent="0.2">
      <c r="A490" s="4" t="s">
        <v>492</v>
      </c>
      <c r="B490" s="7">
        <f>'Price Data'!B491/'Price Data'!B490-1</f>
        <v>1.4387358083578494E-2</v>
      </c>
      <c r="C490" s="7">
        <f>'Price Data'!C491/'Price Data'!C490-1</f>
        <v>2.98904514186904E-3</v>
      </c>
      <c r="D490" s="7">
        <f>'Price Data'!D491/'Price Data'!D490-1</f>
        <v>7.6894337712707372E-3</v>
      </c>
      <c r="E490" s="7">
        <f>'Price Data'!E491/'Price Data'!E490-1</f>
        <v>2.0249745690592569E-4</v>
      </c>
    </row>
    <row r="491" spans="1:5" ht="15" customHeight="1" x14ac:dyDescent="0.2">
      <c r="A491" s="4" t="s">
        <v>493</v>
      </c>
      <c r="B491" s="7">
        <f>'Price Data'!B492/'Price Data'!B491-1</f>
        <v>7.4677004915382206E-3</v>
      </c>
      <c r="C491" s="7">
        <f>'Price Data'!C492/'Price Data'!C491-1</f>
        <v>1.4182598416464742E-2</v>
      </c>
      <c r="D491" s="7">
        <f>'Price Data'!D492/'Price Data'!D491-1</f>
        <v>1.8499454820934735E-2</v>
      </c>
      <c r="E491" s="7">
        <f>'Price Data'!E492/'Price Data'!E491-1</f>
        <v>6.6792162701119207E-3</v>
      </c>
    </row>
    <row r="492" spans="1:5" ht="15" customHeight="1" x14ac:dyDescent="0.2">
      <c r="A492" s="4" t="s">
        <v>494</v>
      </c>
      <c r="B492" s="7">
        <f>'Price Data'!B493/'Price Data'!B492-1</f>
        <v>-5.5716946174967363E-3</v>
      </c>
      <c r="C492" s="7">
        <f>'Price Data'!C493/'Price Data'!C492-1</f>
        <v>-8.85026679553369E-4</v>
      </c>
      <c r="D492" s="7">
        <f>'Price Data'!D493/'Price Data'!D492-1</f>
        <v>-6.8112903988440943E-3</v>
      </c>
      <c r="E492" s="7">
        <f>'Price Data'!E493/'Price Data'!E492-1</f>
        <v>2.2119829034574767E-3</v>
      </c>
    </row>
    <row r="493" spans="1:5" ht="15" customHeight="1" x14ac:dyDescent="0.2">
      <c r="A493" s="4" t="s">
        <v>495</v>
      </c>
      <c r="B493" s="7">
        <f>'Price Data'!B494/'Price Data'!B493-1</f>
        <v>-2.4912491433280004E-2</v>
      </c>
      <c r="C493" s="7">
        <f>'Price Data'!C494/'Price Data'!C493-1</f>
        <v>-2.554262754992731E-2</v>
      </c>
      <c r="D493" s="7">
        <f>'Price Data'!D494/'Price Data'!D493-1</f>
        <v>-1.3372880576603019E-2</v>
      </c>
      <c r="E493" s="7">
        <f>'Price Data'!E494/'Price Data'!E493-1</f>
        <v>1.4678846299689408E-3</v>
      </c>
    </row>
    <row r="494" spans="1:5" ht="15" customHeight="1" x14ac:dyDescent="0.2">
      <c r="A494" s="4" t="s">
        <v>496</v>
      </c>
      <c r="B494" s="7">
        <f>'Price Data'!B495/'Price Data'!B494-1</f>
        <v>-1.1440416664675435E-2</v>
      </c>
      <c r="C494" s="7">
        <f>'Price Data'!C495/'Price Data'!C494-1</f>
        <v>-8.7877177464557032E-3</v>
      </c>
      <c r="D494" s="7">
        <f>'Price Data'!D495/'Price Data'!D494-1</f>
        <v>-2.5834306047268663E-2</v>
      </c>
      <c r="E494" s="7">
        <f>'Price Data'!E495/'Price Data'!E494-1</f>
        <v>-2.6102740239345446E-3</v>
      </c>
    </row>
    <row r="495" spans="1:5" ht="15" customHeight="1" x14ac:dyDescent="0.2">
      <c r="A495" s="4" t="s">
        <v>497</v>
      </c>
      <c r="B495" s="7">
        <f>'Price Data'!B496/'Price Data'!B495-1</f>
        <v>-1.0068017427582232E-2</v>
      </c>
      <c r="C495" s="7">
        <f>'Price Data'!C496/'Price Data'!C495-1</f>
        <v>-2.4457440250421625E-3</v>
      </c>
      <c r="D495" s="7">
        <f>'Price Data'!D496/'Price Data'!D495-1</f>
        <v>-1.2724265146751179E-2</v>
      </c>
      <c r="E495" s="7">
        <f>'Price Data'!E496/'Price Data'!E495-1</f>
        <v>-6.1400043164611118E-3</v>
      </c>
    </row>
    <row r="496" spans="1:5" ht="15" customHeight="1" x14ac:dyDescent="0.2">
      <c r="A496" s="4" t="s">
        <v>498</v>
      </c>
      <c r="B496" s="7">
        <f>'Price Data'!B497/'Price Data'!B496-1</f>
        <v>2.0969125145737788E-3</v>
      </c>
      <c r="C496" s="7">
        <f>'Price Data'!C497/'Price Data'!C496-1</f>
        <v>3.9839472745020199E-3</v>
      </c>
      <c r="D496" s="7">
        <f>'Price Data'!D497/'Price Data'!D496-1</f>
        <v>-2.5294743528246899E-3</v>
      </c>
      <c r="E496" s="7">
        <f>'Price Data'!E497/'Price Data'!E496-1</f>
        <v>-6.7855005915820055E-3</v>
      </c>
    </row>
    <row r="497" spans="1:5" ht="15" customHeight="1" x14ac:dyDescent="0.2">
      <c r="A497" s="4" t="s">
        <v>499</v>
      </c>
      <c r="B497" s="7">
        <f>'Price Data'!B498/'Price Data'!B497-1</f>
        <v>1.511900372145436E-2</v>
      </c>
      <c r="C497" s="7">
        <f>'Price Data'!C498/'Price Data'!C497-1</f>
        <v>1.0378483773241687E-2</v>
      </c>
      <c r="D497" s="7">
        <f>'Price Data'!D498/'Price Data'!D497-1</f>
        <v>8.5736579242361444E-3</v>
      </c>
      <c r="E497" s="7">
        <f>'Price Data'!E498/'Price Data'!E497-1</f>
        <v>2.7532015328319837E-3</v>
      </c>
    </row>
    <row r="498" spans="1:5" ht="15" customHeight="1" x14ac:dyDescent="0.2">
      <c r="A498" s="4" t="s">
        <v>500</v>
      </c>
      <c r="B498" s="7">
        <f>'Price Data'!B499/'Price Data'!B498-1</f>
        <v>-1.4183730340710743E-2</v>
      </c>
      <c r="C498" s="7">
        <f>'Price Data'!C499/'Price Data'!C498-1</f>
        <v>-8.1570012563023653E-3</v>
      </c>
      <c r="D498" s="7">
        <f>'Price Data'!D499/'Price Data'!D498-1</f>
        <v>-4.2012092023154812E-3</v>
      </c>
      <c r="E498" s="7">
        <f>'Price Data'!E499/'Price Data'!E498-1</f>
        <v>-3.0479705779662414E-4</v>
      </c>
    </row>
    <row r="499" spans="1:5" ht="15" customHeight="1" x14ac:dyDescent="0.2">
      <c r="A499" s="4" t="s">
        <v>501</v>
      </c>
      <c r="B499" s="7">
        <f>'Price Data'!B500/'Price Data'!B499-1</f>
        <v>5.5156844372030722E-3</v>
      </c>
      <c r="C499" s="7">
        <f>'Price Data'!C500/'Price Data'!C499-1</f>
        <v>3.5028414435127608E-3</v>
      </c>
      <c r="D499" s="7">
        <f>'Price Data'!D500/'Price Data'!D499-1</f>
        <v>8.9014420674315975E-3</v>
      </c>
      <c r="E499" s="7">
        <f>'Price Data'!E500/'Price Data'!E499-1</f>
        <v>-3.4589182570275989E-3</v>
      </c>
    </row>
    <row r="500" spans="1:5" ht="15" customHeight="1" x14ac:dyDescent="0.2">
      <c r="A500" s="4" t="s">
        <v>502</v>
      </c>
      <c r="B500" s="7">
        <f>'Price Data'!B501/'Price Data'!B500-1</f>
        <v>-4.1792348462698081E-3</v>
      </c>
      <c r="C500" s="7">
        <f>'Price Data'!C501/'Price Data'!C500-1</f>
        <v>1.5176865870318856E-3</v>
      </c>
      <c r="D500" s="7">
        <f>'Price Data'!D501/'Price Data'!D500-1</f>
        <v>-3.6253866159940973E-4</v>
      </c>
      <c r="E500" s="7">
        <f>'Price Data'!E501/'Price Data'!E500-1</f>
        <v>-7.2470880268029614E-3</v>
      </c>
    </row>
    <row r="501" spans="1:5" ht="15" customHeight="1" x14ac:dyDescent="0.2">
      <c r="A501" s="4" t="s">
        <v>503</v>
      </c>
      <c r="B501" s="7">
        <f>'Price Data'!B502/'Price Data'!B501-1</f>
        <v>-1.2590742055027082E-2</v>
      </c>
      <c r="C501" s="7">
        <f>'Price Data'!C502/'Price Data'!C501-1</f>
        <v>-1.0607642257493111E-2</v>
      </c>
      <c r="D501" s="7">
        <f>'Price Data'!D502/'Price Data'!D501-1</f>
        <v>-1.7047724971674394E-2</v>
      </c>
      <c r="E501" s="7">
        <f>'Price Data'!E502/'Price Data'!E501-1</f>
        <v>-1.7478187923951616E-3</v>
      </c>
    </row>
    <row r="502" spans="1:5" ht="15" customHeight="1" x14ac:dyDescent="0.2">
      <c r="A502" s="4" t="s">
        <v>504</v>
      </c>
      <c r="B502" s="7">
        <f>'Price Data'!B503/'Price Data'!B502-1</f>
        <v>1.838284382363442E-2</v>
      </c>
      <c r="C502" s="7">
        <f>'Price Data'!C503/'Price Data'!C502-1</f>
        <v>1.5775827394357345E-2</v>
      </c>
      <c r="D502" s="7">
        <f>'Price Data'!D503/'Price Data'!D502-1</f>
        <v>2.189440164078138E-2</v>
      </c>
      <c r="E502" s="7">
        <f>'Price Data'!E503/'Price Data'!E502-1</f>
        <v>3.7079591677078305E-3</v>
      </c>
    </row>
    <row r="503" spans="1:5" ht="15" customHeight="1" x14ac:dyDescent="0.2">
      <c r="A503" s="4" t="s">
        <v>505</v>
      </c>
      <c r="B503" s="7">
        <f>'Price Data'!B504/'Price Data'!B503-1</f>
        <v>-2.5562666589197258E-3</v>
      </c>
      <c r="C503" s="7">
        <f>'Price Data'!C504/'Price Data'!C503-1</f>
        <v>-1.0253418556998239E-2</v>
      </c>
      <c r="D503" s="7">
        <f>'Price Data'!D504/'Price Data'!D503-1</f>
        <v>-7.2220505092475129E-3</v>
      </c>
      <c r="E503" s="7">
        <f>'Price Data'!E504/'Price Data'!E503-1</f>
        <v>-4.7201233170136581E-3</v>
      </c>
    </row>
    <row r="504" spans="1:5" ht="15" customHeight="1" x14ac:dyDescent="0.2">
      <c r="A504" s="4" t="s">
        <v>506</v>
      </c>
      <c r="B504" s="7">
        <f>'Price Data'!B505/'Price Data'!B504-1</f>
        <v>-4.0796747706296488E-3</v>
      </c>
      <c r="C504" s="7">
        <f>'Price Data'!C505/'Price Data'!C504-1</f>
        <v>8.8361083124524065E-3</v>
      </c>
      <c r="D504" s="7">
        <f>'Price Data'!D505/'Price Data'!D504-1</f>
        <v>9.6974644333180926E-4</v>
      </c>
      <c r="E504" s="7">
        <f>'Price Data'!E505/'Price Data'!E504-1</f>
        <v>5.8765769549349312E-3</v>
      </c>
    </row>
    <row r="505" spans="1:5" ht="15" customHeight="1" x14ac:dyDescent="0.2">
      <c r="A505" s="4" t="s">
        <v>507</v>
      </c>
      <c r="B505" s="7">
        <f>'Price Data'!B506/'Price Data'!B505-1</f>
        <v>8.8754625017100075E-3</v>
      </c>
      <c r="C505" s="7">
        <f>'Price Data'!C506/'Price Data'!C505-1</f>
        <v>1.3289020913501037E-2</v>
      </c>
      <c r="D505" s="7">
        <f>'Price Data'!D506/'Price Data'!D505-1</f>
        <v>2.2650566088759483E-2</v>
      </c>
      <c r="E505" s="7">
        <f>'Price Data'!E506/'Price Data'!E505-1</f>
        <v>5.5351883321133055E-3</v>
      </c>
    </row>
    <row r="506" spans="1:5" ht="15" customHeight="1" x14ac:dyDescent="0.2">
      <c r="A506" s="4" t="s">
        <v>508</v>
      </c>
      <c r="B506" s="7">
        <f>'Price Data'!B507/'Price Data'!B506-1</f>
        <v>-1.1712549026434704E-2</v>
      </c>
      <c r="C506" s="7">
        <f>'Price Data'!C507/'Price Data'!C506-1</f>
        <v>-9.985070100305915E-3</v>
      </c>
      <c r="D506" s="7">
        <f>'Price Data'!D507/'Price Data'!D506-1</f>
        <v>-2.6886249833818598E-2</v>
      </c>
      <c r="E506" s="7">
        <f>'Price Data'!E507/'Price Data'!E506-1</f>
        <v>-8.1551715162475613E-4</v>
      </c>
    </row>
    <row r="507" spans="1:5" ht="15" customHeight="1" x14ac:dyDescent="0.2">
      <c r="A507" s="4" t="s">
        <v>509</v>
      </c>
      <c r="B507" s="7">
        <f>'Price Data'!B508/'Price Data'!B507-1</f>
        <v>2.2069912491839982E-2</v>
      </c>
      <c r="C507" s="7">
        <f>'Price Data'!C508/'Price Data'!C507-1</f>
        <v>2.5590748480579961E-2</v>
      </c>
      <c r="D507" s="7">
        <f>'Price Data'!D508/'Price Data'!D507-1</f>
        <v>2.6898682966257192E-2</v>
      </c>
      <c r="E507" s="7">
        <f>'Price Data'!E508/'Price Data'!E507-1</f>
        <v>1.0916433393666436E-2</v>
      </c>
    </row>
    <row r="508" spans="1:5" ht="15" customHeight="1" x14ac:dyDescent="0.2">
      <c r="A508" s="4" t="s">
        <v>510</v>
      </c>
      <c r="B508" s="7">
        <f>'Price Data'!B509/'Price Data'!B508-1</f>
        <v>4.1245371128550978E-4</v>
      </c>
      <c r="C508" s="7">
        <f>'Price Data'!C509/'Price Data'!C508-1</f>
        <v>4.2565843245907509E-3</v>
      </c>
      <c r="D508" s="7">
        <f>'Price Data'!D509/'Price Data'!D508-1</f>
        <v>3.5543053018249893E-4</v>
      </c>
      <c r="E508" s="7">
        <f>'Price Data'!E509/'Price Data'!E508-1</f>
        <v>2.5227333440844824E-3</v>
      </c>
    </row>
    <row r="509" spans="1:5" ht="15" customHeight="1" x14ac:dyDescent="0.2">
      <c r="A509" s="4" t="s">
        <v>511</v>
      </c>
      <c r="B509" s="7">
        <f>'Price Data'!B510/'Price Data'!B509-1</f>
        <v>7.8815978674331433E-3</v>
      </c>
      <c r="C509" s="7">
        <f>'Price Data'!C510/'Price Data'!C509-1</f>
        <v>2.9233199752527472E-3</v>
      </c>
      <c r="D509" s="7">
        <f>'Price Data'!D510/'Price Data'!D509-1</f>
        <v>2.2513000267232464E-3</v>
      </c>
      <c r="E509" s="7">
        <f>'Price Data'!E510/'Price Data'!E509-1</f>
        <v>-3.8251568343982134E-3</v>
      </c>
    </row>
    <row r="510" spans="1:5" ht="15" customHeight="1" x14ac:dyDescent="0.2">
      <c r="A510" s="4" t="s">
        <v>512</v>
      </c>
      <c r="B510" s="7">
        <f>'Price Data'!B511/'Price Data'!B510-1</f>
        <v>1.3186878597105656E-2</v>
      </c>
      <c r="C510" s="7">
        <f>'Price Data'!C511/'Price Data'!C510-1</f>
        <v>7.5779302755774047E-3</v>
      </c>
      <c r="D510" s="7">
        <f>'Price Data'!D511/'Price Data'!D510-1</f>
        <v>3.5819852779832795E-2</v>
      </c>
      <c r="E510" s="7">
        <f>'Price Data'!E511/'Price Data'!E510-1</f>
        <v>6.1639384019704924E-3</v>
      </c>
    </row>
    <row r="511" spans="1:5" ht="15" customHeight="1" x14ac:dyDescent="0.2">
      <c r="A511" s="4" t="s">
        <v>513</v>
      </c>
      <c r="B511" s="7">
        <f>'Price Data'!B512/'Price Data'!B511-1</f>
        <v>4.8429712196964569E-3</v>
      </c>
      <c r="C511" s="7">
        <f>'Price Data'!C512/'Price Data'!C511-1</f>
        <v>1.4752481628381942E-2</v>
      </c>
      <c r="D511" s="7">
        <f>'Price Data'!D512/'Price Data'!D511-1</f>
        <v>1.2668444173790316E-2</v>
      </c>
      <c r="E511" s="7">
        <f>'Price Data'!E512/'Price Data'!E511-1</f>
        <v>7.2311215923179795E-3</v>
      </c>
    </row>
    <row r="512" spans="1:5" ht="15" customHeight="1" x14ac:dyDescent="0.2">
      <c r="A512" s="4" t="s">
        <v>514</v>
      </c>
      <c r="B512" s="7">
        <f>'Price Data'!B513/'Price Data'!B512-1</f>
        <v>4.2672593313122231E-3</v>
      </c>
      <c r="C512" s="7">
        <f>'Price Data'!C513/'Price Data'!C512-1</f>
        <v>5.273801761798369E-3</v>
      </c>
      <c r="D512" s="7">
        <f>'Price Data'!D513/'Price Data'!D512-1</f>
        <v>-6.1987030911027086E-3</v>
      </c>
      <c r="E512" s="7">
        <f>'Price Data'!E513/'Price Data'!E512-1</f>
        <v>-3.689241908466756E-3</v>
      </c>
    </row>
    <row r="513" spans="1:5" ht="15" customHeight="1" x14ac:dyDescent="0.2">
      <c r="A513" s="4" t="s">
        <v>515</v>
      </c>
      <c r="B513" s="7">
        <f>'Price Data'!B514/'Price Data'!B513-1</f>
        <v>-1.3497886152182836E-3</v>
      </c>
      <c r="C513" s="7">
        <f>'Price Data'!C514/'Price Data'!C513-1</f>
        <v>3.119130337276621E-3</v>
      </c>
      <c r="D513" s="7">
        <f>'Price Data'!D514/'Price Data'!D513-1</f>
        <v>2.8352390516153125E-3</v>
      </c>
      <c r="E513" s="7">
        <f>'Price Data'!E514/'Price Data'!E513-1</f>
        <v>-1.801513024502821E-3</v>
      </c>
    </row>
    <row r="514" spans="1:5" ht="15" customHeight="1" x14ac:dyDescent="0.2">
      <c r="A514" s="4" t="s">
        <v>516</v>
      </c>
      <c r="B514" s="7">
        <f>'Price Data'!B515/'Price Data'!B514-1</f>
        <v>-1.5768044341939236E-2</v>
      </c>
      <c r="C514" s="7">
        <f>'Price Data'!C515/'Price Data'!C514-1</f>
        <v>-3.5334614692948962E-3</v>
      </c>
      <c r="D514" s="7">
        <f>'Price Data'!D515/'Price Data'!D514-1</f>
        <v>-1.4588166034458228E-2</v>
      </c>
      <c r="E514" s="7">
        <f>'Price Data'!E515/'Price Data'!E514-1</f>
        <v>9.9258126329335727E-3</v>
      </c>
    </row>
    <row r="515" spans="1:5" ht="15" customHeight="1" x14ac:dyDescent="0.2">
      <c r="A515" s="4" t="s">
        <v>517</v>
      </c>
      <c r="B515" s="7">
        <f>'Price Data'!B516/'Price Data'!B515-1</f>
        <v>-8.137738352782975E-3</v>
      </c>
      <c r="C515" s="7">
        <f>'Price Data'!C516/'Price Data'!C515-1</f>
        <v>-1.5602893554891306E-3</v>
      </c>
      <c r="D515" s="7">
        <f>'Price Data'!D516/'Price Data'!D515-1</f>
        <v>-5.5081298090510211E-3</v>
      </c>
      <c r="E515" s="7">
        <f>'Price Data'!E516/'Price Data'!E515-1</f>
        <v>-2.2832555578063962E-3</v>
      </c>
    </row>
    <row r="516" spans="1:5" ht="15" customHeight="1" x14ac:dyDescent="0.2">
      <c r="A516" s="4" t="s">
        <v>518</v>
      </c>
      <c r="B516" s="7">
        <f>'Price Data'!B517/'Price Data'!B516-1</f>
        <v>1.9177584186773622E-2</v>
      </c>
      <c r="C516" s="7">
        <f>'Price Data'!C517/'Price Data'!C516-1</f>
        <v>8.8082226408816577E-3</v>
      </c>
      <c r="D516" s="7">
        <f>'Price Data'!D517/'Price Data'!D516-1</f>
        <v>1.1885608687555171E-2</v>
      </c>
      <c r="E516" s="7">
        <f>'Price Data'!E517/'Price Data'!E516-1</f>
        <v>-4.0796832327164578E-3</v>
      </c>
    </row>
    <row r="517" spans="1:5" ht="15" customHeight="1" x14ac:dyDescent="0.2">
      <c r="A517" s="4" t="s">
        <v>519</v>
      </c>
      <c r="B517" s="7">
        <f>'Price Data'!B518/'Price Data'!B517-1</f>
        <v>1.2678568784109556E-2</v>
      </c>
      <c r="C517" s="7">
        <f>'Price Data'!C518/'Price Data'!C517-1</f>
        <v>4.0838859726344268E-3</v>
      </c>
      <c r="D517" s="7">
        <f>'Price Data'!D518/'Price Data'!D517-1</f>
        <v>4.5614505288580354E-3</v>
      </c>
      <c r="E517" s="7">
        <f>'Price Data'!E518/'Price Data'!E517-1</f>
        <v>-2.4977892910212907E-3</v>
      </c>
    </row>
    <row r="518" spans="1:5" ht="15" customHeight="1" x14ac:dyDescent="0.2">
      <c r="A518" s="4" t="s">
        <v>520</v>
      </c>
      <c r="B518" s="7">
        <f>'Price Data'!B519/'Price Data'!B518-1</f>
        <v>-1.6394284285524696E-3</v>
      </c>
      <c r="C518" s="7">
        <f>'Price Data'!C519/'Price Data'!C518-1</f>
        <v>-1.2625159894648075E-3</v>
      </c>
      <c r="D518" s="7">
        <f>'Price Data'!D519/'Price Data'!D518-1</f>
        <v>2.4973163338761761E-3</v>
      </c>
      <c r="E518" s="7">
        <f>'Price Data'!E519/'Price Data'!E518-1</f>
        <v>4.407044253856629E-3</v>
      </c>
    </row>
    <row r="519" spans="1:5" ht="15" customHeight="1" x14ac:dyDescent="0.2">
      <c r="A519" s="4" t="s">
        <v>521</v>
      </c>
      <c r="B519" s="7">
        <f>'Price Data'!B520/'Price Data'!B519-1</f>
        <v>4.9769913657460307E-4</v>
      </c>
      <c r="C519" s="7">
        <f>'Price Data'!C520/'Price Data'!C519-1</f>
        <v>6.6002814598502546E-3</v>
      </c>
      <c r="D519" s="7">
        <f>'Price Data'!D520/'Price Data'!D519-1</f>
        <v>4.530619294604854E-4</v>
      </c>
      <c r="E519" s="7">
        <f>'Price Data'!E520/'Price Data'!E519-1</f>
        <v>1.1967260839160776E-3</v>
      </c>
    </row>
    <row r="520" spans="1:5" ht="15" customHeight="1" x14ac:dyDescent="0.2">
      <c r="A520" s="4" t="s">
        <v>522</v>
      </c>
      <c r="B520" s="7">
        <f>'Price Data'!B521/'Price Data'!B520-1</f>
        <v>1.0295942300709404E-2</v>
      </c>
      <c r="C520" s="7">
        <f>'Price Data'!C521/'Price Data'!C520-1</f>
        <v>8.3693757539005098E-4</v>
      </c>
      <c r="D520" s="7">
        <f>'Price Data'!D521/'Price Data'!D520-1</f>
        <v>1.1205299268386648E-2</v>
      </c>
      <c r="E520" s="7">
        <f>'Price Data'!E521/'Price Data'!E520-1</f>
        <v>-1.6930692197159036E-3</v>
      </c>
    </row>
    <row r="521" spans="1:5" ht="15" customHeight="1" x14ac:dyDescent="0.2">
      <c r="A521" s="4" t="s">
        <v>523</v>
      </c>
      <c r="B521" s="7">
        <f>'Price Data'!B522/'Price Data'!B521-1</f>
        <v>4.0369497579768598E-3</v>
      </c>
      <c r="C521" s="7">
        <f>'Price Data'!C522/'Price Data'!C521-1</f>
        <v>-1.9514394342241559E-3</v>
      </c>
      <c r="D521" s="7">
        <f>'Price Data'!D522/'Price Data'!D521-1</f>
        <v>1.1193214307220867E-2</v>
      </c>
      <c r="E521" s="7">
        <f>'Price Data'!E522/'Price Data'!E521-1</f>
        <v>-1.4969778866825711E-3</v>
      </c>
    </row>
    <row r="522" spans="1:5" ht="15" customHeight="1" x14ac:dyDescent="0.2">
      <c r="A522" s="4" t="s">
        <v>524</v>
      </c>
      <c r="B522" s="7">
        <f>'Price Data'!B523/'Price Data'!B522-1</f>
        <v>-1.3386209765264723E-2</v>
      </c>
      <c r="C522" s="7">
        <f>'Price Data'!C523/'Price Data'!C522-1</f>
        <v>-6.4245455228802983E-3</v>
      </c>
      <c r="D522" s="7">
        <f>'Price Data'!D523/'Price Data'!D522-1</f>
        <v>-1.2729413789881239E-2</v>
      </c>
      <c r="E522" s="7">
        <f>'Price Data'!E523/'Price Data'!E522-1</f>
        <v>-2.6978202236362936E-3</v>
      </c>
    </row>
    <row r="523" spans="1:5" ht="15" customHeight="1" x14ac:dyDescent="0.2">
      <c r="A523" s="4" t="s">
        <v>525</v>
      </c>
      <c r="B523" s="7">
        <f>'Price Data'!B524/'Price Data'!B523-1</f>
        <v>1.60031833207952E-2</v>
      </c>
      <c r="C523" s="7">
        <f>'Price Data'!C524/'Price Data'!C523-1</f>
        <v>5.763305103660521E-3</v>
      </c>
      <c r="D523" s="7">
        <f>'Price Data'!D524/'Price Data'!D523-1</f>
        <v>2.0966320893270884E-2</v>
      </c>
      <c r="E523" s="7">
        <f>'Price Data'!E524/'Price Data'!E523-1</f>
        <v>4.1081484343665764E-3</v>
      </c>
    </row>
    <row r="524" spans="1:5" ht="15" customHeight="1" x14ac:dyDescent="0.2">
      <c r="A524" s="4" t="s">
        <v>526</v>
      </c>
      <c r="B524" s="7">
        <f>'Price Data'!B525/'Price Data'!B524-1</f>
        <v>1.2180041408998532E-2</v>
      </c>
      <c r="C524" s="7">
        <f>'Price Data'!C525/'Price Data'!C524-1</f>
        <v>8.9448865829553359E-3</v>
      </c>
      <c r="D524" s="7">
        <f>'Price Data'!D525/'Price Data'!D524-1</f>
        <v>6.1498668513493282E-3</v>
      </c>
      <c r="E524" s="7">
        <f>'Price Data'!E525/'Price Data'!E524-1</f>
        <v>7.0518547638538376E-3</v>
      </c>
    </row>
    <row r="525" spans="1:5" ht="15" customHeight="1" x14ac:dyDescent="0.2">
      <c r="A525" s="4" t="s">
        <v>527</v>
      </c>
      <c r="B525" s="7">
        <f>'Price Data'!B526/'Price Data'!B525-1</f>
        <v>1.4933434103833187E-2</v>
      </c>
      <c r="C525" s="7">
        <f>'Price Data'!C526/'Price Data'!C525-1</f>
        <v>-1.3853566524784089E-3</v>
      </c>
      <c r="D525" s="7">
        <f>'Price Data'!D526/'Price Data'!D525-1</f>
        <v>2.2702333222986537E-2</v>
      </c>
      <c r="E525" s="7">
        <f>'Price Data'!E526/'Price Data'!E525-1</f>
        <v>1.0923244854053049E-3</v>
      </c>
    </row>
    <row r="526" spans="1:5" ht="15" customHeight="1" x14ac:dyDescent="0.2">
      <c r="A526" s="4" t="s">
        <v>528</v>
      </c>
      <c r="B526" s="7">
        <f>'Price Data'!B527/'Price Data'!B526-1</f>
        <v>-1.0332897984378309E-2</v>
      </c>
      <c r="C526" s="7">
        <f>'Price Data'!C527/'Price Data'!C526-1</f>
        <v>-9.2939135937190054E-3</v>
      </c>
      <c r="D526" s="7">
        <f>'Price Data'!D527/'Price Data'!D526-1</f>
        <v>-1.8783315175610937E-2</v>
      </c>
      <c r="E526" s="7">
        <f>'Price Data'!E527/'Price Data'!E526-1</f>
        <v>-9.6236781012052353E-3</v>
      </c>
    </row>
    <row r="527" spans="1:5" ht="15" customHeight="1" x14ac:dyDescent="0.2">
      <c r="A527" s="4" t="s">
        <v>529</v>
      </c>
      <c r="B527" s="7">
        <f>'Price Data'!B528/'Price Data'!B527-1</f>
        <v>-7.5057837151459861E-3</v>
      </c>
      <c r="C527" s="7">
        <f>'Price Data'!C528/'Price Data'!C527-1</f>
        <v>-1.022120465811327E-2</v>
      </c>
      <c r="D527" s="7">
        <f>'Price Data'!D528/'Price Data'!D527-1</f>
        <v>-7.2875174083903982E-3</v>
      </c>
      <c r="E527" s="7">
        <f>'Price Data'!E528/'Price Data'!E527-1</f>
        <v>-5.5101498290766049E-3</v>
      </c>
    </row>
    <row r="528" spans="1:5" ht="15" customHeight="1" x14ac:dyDescent="0.2">
      <c r="A528" s="4" t="s">
        <v>530</v>
      </c>
      <c r="B528" s="7">
        <f>'Price Data'!B529/'Price Data'!B528-1</f>
        <v>1.2604192556878724E-2</v>
      </c>
      <c r="C528" s="7">
        <f>'Price Data'!C529/'Price Data'!C528-1</f>
        <v>8.4877343577454134E-3</v>
      </c>
      <c r="D528" s="7">
        <f>'Price Data'!D529/'Price Data'!D528-1</f>
        <v>-2.1910737040001793E-3</v>
      </c>
      <c r="E528" s="7">
        <f>'Price Data'!E529/'Price Data'!E528-1</f>
        <v>-1.7125991043887012E-3</v>
      </c>
    </row>
    <row r="529" spans="1:5" ht="15" customHeight="1" x14ac:dyDescent="0.2">
      <c r="A529" s="4" t="s">
        <v>531</v>
      </c>
      <c r="B529" s="7">
        <f>'Price Data'!B530/'Price Data'!B529-1</f>
        <v>-1.067614186638044E-2</v>
      </c>
      <c r="C529" s="7">
        <f>'Price Data'!C530/'Price Data'!C529-1</f>
        <v>-6.1721162760268733E-3</v>
      </c>
      <c r="D529" s="7">
        <f>'Price Data'!D530/'Price Data'!D529-1</f>
        <v>-4.7217262333533183E-3</v>
      </c>
      <c r="E529" s="7">
        <f>'Price Data'!E530/'Price Data'!E529-1</f>
        <v>1.4127696149544011E-3</v>
      </c>
    </row>
    <row r="530" spans="1:5" ht="15" customHeight="1" x14ac:dyDescent="0.2">
      <c r="A530" s="4" t="s">
        <v>532</v>
      </c>
      <c r="B530" s="7">
        <f>'Price Data'!B531/'Price Data'!B530-1</f>
        <v>-9.7264137929649053E-3</v>
      </c>
      <c r="C530" s="7">
        <f>'Price Data'!C531/'Price Data'!C530-1</f>
        <v>1.835110421984476E-3</v>
      </c>
      <c r="D530" s="7">
        <f>'Price Data'!D531/'Price Data'!D530-1</f>
        <v>-1.09223936664673E-2</v>
      </c>
      <c r="E530" s="7">
        <f>'Price Data'!E531/'Price Data'!E530-1</f>
        <v>-3.9299891588017166E-3</v>
      </c>
    </row>
    <row r="531" spans="1:5" ht="15" customHeight="1" x14ac:dyDescent="0.2">
      <c r="A531" s="4" t="s">
        <v>533</v>
      </c>
      <c r="B531" s="7">
        <f>'Price Data'!B532/'Price Data'!B531-1</f>
        <v>1.8080942116329712E-3</v>
      </c>
      <c r="C531" s="7">
        <f>'Price Data'!C532/'Price Data'!C531-1</f>
        <v>-4.3676235920938611E-3</v>
      </c>
      <c r="D531" s="7">
        <f>'Price Data'!D532/'Price Data'!D531-1</f>
        <v>3.458037727803509E-3</v>
      </c>
      <c r="E531" s="7">
        <f>'Price Data'!E532/'Price Data'!E531-1</f>
        <v>-4.3500017630992982E-3</v>
      </c>
    </row>
    <row r="532" spans="1:5" ht="15" customHeight="1" x14ac:dyDescent="0.2">
      <c r="A532" s="4" t="s">
        <v>534</v>
      </c>
      <c r="B532" s="7">
        <f>'Price Data'!B533/'Price Data'!B532-1</f>
        <v>1.1901818134999909E-2</v>
      </c>
      <c r="C532" s="7">
        <f>'Price Data'!C533/'Price Data'!C532-1</f>
        <v>1.0046734136501811E-2</v>
      </c>
      <c r="D532" s="7">
        <f>'Price Data'!D533/'Price Data'!D532-1</f>
        <v>8.8928942694010971E-3</v>
      </c>
      <c r="E532" s="7">
        <f>'Price Data'!E533/'Price Data'!E532-1</f>
        <v>3.0482424842352973E-3</v>
      </c>
    </row>
    <row r="533" spans="1:5" ht="15" customHeight="1" x14ac:dyDescent="0.2">
      <c r="A533" s="4" t="s">
        <v>535</v>
      </c>
      <c r="B533" s="7">
        <f>'Price Data'!B534/'Price Data'!B533-1</f>
        <v>3.8563759443177581E-4</v>
      </c>
      <c r="C533" s="7">
        <f>'Price Data'!C534/'Price Data'!C533-1</f>
        <v>1.8213648893874446E-3</v>
      </c>
      <c r="D533" s="7">
        <f>'Price Data'!D534/'Price Data'!D533-1</f>
        <v>-7.9331343611486194E-3</v>
      </c>
      <c r="E533" s="7">
        <f>'Price Data'!E534/'Price Data'!E533-1</f>
        <v>-3.5451249734751444E-3</v>
      </c>
    </row>
    <row r="534" spans="1:5" ht="15" customHeight="1" x14ac:dyDescent="0.2">
      <c r="A534" s="4" t="s">
        <v>536</v>
      </c>
      <c r="B534" s="7">
        <f>'Price Data'!B535/'Price Data'!B534-1</f>
        <v>4.4813377799606258E-3</v>
      </c>
      <c r="C534" s="7">
        <f>'Price Data'!C535/'Price Data'!C534-1</f>
        <v>-4.4749149076213079E-3</v>
      </c>
      <c r="D534" s="7">
        <f>'Price Data'!D535/'Price Data'!D534-1</f>
        <v>3.9982373875608879E-3</v>
      </c>
      <c r="E534" s="7">
        <f>'Price Data'!E535/'Price Data'!E534-1</f>
        <v>-1.9319034797385948E-3</v>
      </c>
    </row>
    <row r="535" spans="1:5" ht="15" customHeight="1" x14ac:dyDescent="0.2">
      <c r="A535" s="4" t="s">
        <v>537</v>
      </c>
      <c r="B535" s="7">
        <f>'Price Data'!B536/'Price Data'!B535-1</f>
        <v>-1.3335996670166161E-2</v>
      </c>
      <c r="C535" s="7">
        <f>'Price Data'!C536/'Price Data'!C535-1</f>
        <v>-4.9165587314345949E-3</v>
      </c>
      <c r="D535" s="7">
        <f>'Price Data'!D536/'Price Data'!D535-1</f>
        <v>-9.7344942020001213E-3</v>
      </c>
      <c r="E535" s="7">
        <f>'Price Data'!E536/'Price Data'!E535-1</f>
        <v>-4.1758334113717321E-3</v>
      </c>
    </row>
    <row r="536" spans="1:5" ht="15" customHeight="1" x14ac:dyDescent="0.2">
      <c r="A536" s="4" t="s">
        <v>538</v>
      </c>
      <c r="B536" s="7">
        <f>'Price Data'!B537/'Price Data'!B536-1</f>
        <v>-2.9170552534869554E-3</v>
      </c>
      <c r="C536" s="7">
        <f>'Price Data'!C537/'Price Data'!C536-1</f>
        <v>2.5410674664376742E-3</v>
      </c>
      <c r="D536" s="7">
        <f>'Price Data'!D537/'Price Data'!D536-1</f>
        <v>-3.9096049916670372E-3</v>
      </c>
      <c r="E536" s="7">
        <f>'Price Data'!E537/'Price Data'!E536-1</f>
        <v>2.3527348961851491E-3</v>
      </c>
    </row>
    <row r="537" spans="1:5" ht="15" customHeight="1" x14ac:dyDescent="0.2">
      <c r="A537" s="4" t="s">
        <v>539</v>
      </c>
      <c r="B537" s="7">
        <f>'Price Data'!B538/'Price Data'!B537-1</f>
        <v>-2.0723665659099888E-2</v>
      </c>
      <c r="C537" s="7">
        <f>'Price Data'!C538/'Price Data'!C537-1</f>
        <v>-1.0982741809232865E-2</v>
      </c>
      <c r="D537" s="7">
        <f>'Price Data'!D538/'Price Data'!D537-1</f>
        <v>-2.0074131164389053E-2</v>
      </c>
      <c r="E537" s="7">
        <f>'Price Data'!E538/'Price Data'!E537-1</f>
        <v>-9.3879675328307766E-3</v>
      </c>
    </row>
    <row r="538" spans="1:5" ht="15" customHeight="1" x14ac:dyDescent="0.2">
      <c r="A538" s="4" t="s">
        <v>540</v>
      </c>
      <c r="B538" s="7">
        <f>'Price Data'!B539/'Price Data'!B538-1</f>
        <v>-8.4648260867248304E-4</v>
      </c>
      <c r="C538" s="7">
        <f>'Price Data'!C539/'Price Data'!C538-1</f>
        <v>-5.5525939965507254E-3</v>
      </c>
      <c r="D538" s="7">
        <f>'Price Data'!D539/'Price Data'!D538-1</f>
        <v>-9.0410722537540567E-3</v>
      </c>
      <c r="E538" s="7">
        <f>'Price Data'!E539/'Price Data'!E538-1</f>
        <v>2.6782569742185292E-3</v>
      </c>
    </row>
    <row r="539" spans="1:5" ht="15" customHeight="1" x14ac:dyDescent="0.2">
      <c r="A539" s="4" t="s">
        <v>541</v>
      </c>
      <c r="B539" s="7">
        <f>'Price Data'!B540/'Price Data'!B539-1</f>
        <v>5.3324077142584692E-3</v>
      </c>
      <c r="C539" s="7">
        <f>'Price Data'!C540/'Price Data'!C539-1</f>
        <v>5.1539818449370944E-3</v>
      </c>
      <c r="D539" s="7">
        <f>'Price Data'!D540/'Price Data'!D539-1</f>
        <v>7.5066988261680567E-3</v>
      </c>
      <c r="E539" s="7">
        <f>'Price Data'!E540/'Price Data'!E539-1</f>
        <v>3.595473030753471E-3</v>
      </c>
    </row>
    <row r="540" spans="1:5" ht="15" customHeight="1" x14ac:dyDescent="0.2">
      <c r="A540" s="4" t="s">
        <v>542</v>
      </c>
      <c r="B540" s="7">
        <f>'Price Data'!B541/'Price Data'!B540-1</f>
        <v>-1.1153505017416077E-2</v>
      </c>
      <c r="C540" s="7">
        <f>'Price Data'!C541/'Price Data'!C540-1</f>
        <v>-1.6664293840138455E-2</v>
      </c>
      <c r="D540" s="7">
        <f>'Price Data'!D541/'Price Data'!D540-1</f>
        <v>-1.7537763864187483E-2</v>
      </c>
      <c r="E540" s="7">
        <f>'Price Data'!E541/'Price Data'!E540-1</f>
        <v>-5.7323772671867834E-3</v>
      </c>
    </row>
    <row r="541" spans="1:5" ht="15" customHeight="1" x14ac:dyDescent="0.2">
      <c r="A541" s="4" t="s">
        <v>543</v>
      </c>
      <c r="B541" s="7">
        <f>'Price Data'!B542/'Price Data'!B541-1</f>
        <v>3.5592068685648126E-3</v>
      </c>
      <c r="C541" s="7">
        <f>'Price Data'!C542/'Price Data'!C541-1</f>
        <v>1.1877216708296778E-2</v>
      </c>
      <c r="D541" s="7">
        <f>'Price Data'!D542/'Price Data'!D541-1</f>
        <v>1.5167336276626919E-3</v>
      </c>
      <c r="E541" s="7">
        <f>'Price Data'!E542/'Price Data'!E541-1</f>
        <v>1.9563002994420486E-3</v>
      </c>
    </row>
    <row r="542" spans="1:5" ht="15" customHeight="1" x14ac:dyDescent="0.2">
      <c r="A542" s="4" t="s">
        <v>544</v>
      </c>
      <c r="B542" s="7">
        <f>'Price Data'!B543/'Price Data'!B542-1</f>
        <v>-3.3468123176901843E-3</v>
      </c>
      <c r="C542" s="7">
        <f>'Price Data'!C543/'Price Data'!C542-1</f>
        <v>-7.3002805817014016E-3</v>
      </c>
      <c r="D542" s="7">
        <f>'Price Data'!D543/'Price Data'!D542-1</f>
        <v>-1.3979886915655992E-3</v>
      </c>
      <c r="E542" s="7">
        <f>'Price Data'!E543/'Price Data'!E542-1</f>
        <v>-1.0273875206157079E-4</v>
      </c>
    </row>
    <row r="543" spans="1:5" ht="15" customHeight="1" x14ac:dyDescent="0.2">
      <c r="A543" s="4" t="s">
        <v>545</v>
      </c>
      <c r="B543" s="7">
        <f>'Price Data'!B544/'Price Data'!B543-1</f>
        <v>2.405869658098192E-3</v>
      </c>
      <c r="C543" s="7">
        <f>'Price Data'!C544/'Price Data'!C543-1</f>
        <v>5.3352753207867032E-3</v>
      </c>
      <c r="D543" s="7">
        <f>'Price Data'!D544/'Price Data'!D543-1</f>
        <v>-1.2599307439420393E-2</v>
      </c>
      <c r="E543" s="7">
        <f>'Price Data'!E544/'Price Data'!E543-1</f>
        <v>-5.7279184092280389E-3</v>
      </c>
    </row>
    <row r="544" spans="1:5" ht="15" customHeight="1" x14ac:dyDescent="0.2">
      <c r="A544" s="4" t="s">
        <v>546</v>
      </c>
      <c r="B544" s="7">
        <f>'Price Data'!B545/'Price Data'!B544-1</f>
        <v>1.5499399316285523E-3</v>
      </c>
      <c r="C544" s="7">
        <f>'Price Data'!C545/'Price Data'!C544-1</f>
        <v>2.0079781641486605E-3</v>
      </c>
      <c r="D544" s="7">
        <f>'Price Data'!D545/'Price Data'!D544-1</f>
        <v>1.1696666800421696E-2</v>
      </c>
      <c r="E544" s="7">
        <f>'Price Data'!E545/'Price Data'!E544-1</f>
        <v>-2.0716521305058633E-3</v>
      </c>
    </row>
    <row r="545" spans="1:5" ht="15" customHeight="1" x14ac:dyDescent="0.2">
      <c r="A545" s="4" t="s">
        <v>547</v>
      </c>
      <c r="B545" s="7">
        <f>'Price Data'!B546/'Price Data'!B545-1</f>
        <v>1.6274819319079148E-2</v>
      </c>
      <c r="C545" s="7">
        <f>'Price Data'!C546/'Price Data'!C545-1</f>
        <v>1.4600561163401471E-2</v>
      </c>
      <c r="D545" s="7">
        <f>'Price Data'!D546/'Price Data'!D545-1</f>
        <v>1.5181918293702301E-2</v>
      </c>
      <c r="E545" s="7">
        <f>'Price Data'!E546/'Price Data'!E545-1</f>
        <v>7.8903942796373361E-3</v>
      </c>
    </row>
    <row r="546" spans="1:5" ht="15" customHeight="1" x14ac:dyDescent="0.2">
      <c r="A546" s="4" t="s">
        <v>548</v>
      </c>
      <c r="B546" s="7">
        <f>'Price Data'!B547/'Price Data'!B546-1</f>
        <v>-1.3265398816931784E-3</v>
      </c>
      <c r="C546" s="7">
        <f>'Price Data'!C547/'Price Data'!C546-1</f>
        <v>-2.5395128668296296E-3</v>
      </c>
      <c r="D546" s="7">
        <f>'Price Data'!D547/'Price Data'!D546-1</f>
        <v>-3.9115032115317749E-3</v>
      </c>
      <c r="E546" s="7">
        <f>'Price Data'!E547/'Price Data'!E546-1</f>
        <v>-2.4723699306065106E-3</v>
      </c>
    </row>
    <row r="547" spans="1:5" ht="15" customHeight="1" x14ac:dyDescent="0.2">
      <c r="A547" s="4" t="s">
        <v>549</v>
      </c>
      <c r="B547" s="7">
        <f>'Price Data'!B548/'Price Data'!B547-1</f>
        <v>-1.4903797845052247E-2</v>
      </c>
      <c r="C547" s="7">
        <f>'Price Data'!C548/'Price Data'!C547-1</f>
        <v>-1.669024255313023E-2</v>
      </c>
      <c r="D547" s="7">
        <f>'Price Data'!D548/'Price Data'!D547-1</f>
        <v>-2.3328171840220069E-2</v>
      </c>
      <c r="E547" s="7">
        <f>'Price Data'!E548/'Price Data'!E547-1</f>
        <v>-1.3422931213560307E-3</v>
      </c>
    </row>
    <row r="548" spans="1:5" ht="15" customHeight="1" x14ac:dyDescent="0.2">
      <c r="A548" s="4" t="s">
        <v>550</v>
      </c>
      <c r="B548" s="7">
        <f>'Price Data'!B549/'Price Data'!B548-1</f>
        <v>1.2981557513735975E-3</v>
      </c>
      <c r="C548" s="7">
        <f>'Price Data'!C549/'Price Data'!C548-1</f>
        <v>5.4661347977631447E-3</v>
      </c>
      <c r="D548" s="7">
        <f>'Price Data'!D549/'Price Data'!D548-1</f>
        <v>1.1469744719105446E-2</v>
      </c>
      <c r="E548" s="7">
        <f>'Price Data'!E549/'Price Data'!E548-1</f>
        <v>-1.0341474765140912E-3</v>
      </c>
    </row>
    <row r="549" spans="1:5" ht="15" customHeight="1" x14ac:dyDescent="0.2">
      <c r="A549" s="4" t="s">
        <v>551</v>
      </c>
      <c r="B549" s="7">
        <f>'Price Data'!B550/'Price Data'!B549-1</f>
        <v>-1.974767602955918E-2</v>
      </c>
      <c r="C549" s="7">
        <f>'Price Data'!C550/'Price Data'!C549-1</f>
        <v>-7.2962861875834895E-3</v>
      </c>
      <c r="D549" s="7">
        <f>'Price Data'!D550/'Price Data'!D549-1</f>
        <v>-2.2913280799622071E-2</v>
      </c>
      <c r="E549" s="7">
        <f>'Price Data'!E550/'Price Data'!E549-1</f>
        <v>3.6229505634490788E-3</v>
      </c>
    </row>
    <row r="550" spans="1:5" ht="15" customHeight="1" x14ac:dyDescent="0.2">
      <c r="A550" s="4" t="s">
        <v>552</v>
      </c>
      <c r="B550" s="7">
        <f>'Price Data'!B551/'Price Data'!B550-1</f>
        <v>-1.6838863076448107E-2</v>
      </c>
      <c r="C550" s="7">
        <f>'Price Data'!C551/'Price Data'!C550-1</f>
        <v>-1.0664401527492817E-2</v>
      </c>
      <c r="D550" s="7">
        <f>'Price Data'!D551/'Price Data'!D550-1</f>
        <v>-3.3141933129805068E-2</v>
      </c>
      <c r="E550" s="7">
        <f>'Price Data'!E551/'Price Data'!E550-1</f>
        <v>1.165437420576465E-2</v>
      </c>
    </row>
    <row r="551" spans="1:5" ht="15" customHeight="1" x14ac:dyDescent="0.2">
      <c r="A551" s="4" t="s">
        <v>553</v>
      </c>
      <c r="B551" s="7">
        <f>'Price Data'!B552/'Price Data'!B551-1</f>
        <v>-4.13936262523662E-3</v>
      </c>
      <c r="C551" s="7">
        <f>'Price Data'!C552/'Price Data'!C551-1</f>
        <v>-6.8462861415609089E-3</v>
      </c>
      <c r="D551" s="7">
        <f>'Price Data'!D552/'Price Data'!D551-1</f>
        <v>1.3117012281222085E-2</v>
      </c>
      <c r="E551" s="7">
        <f>'Price Data'!E552/'Price Data'!E551-1</f>
        <v>7.9515645524632639E-3</v>
      </c>
    </row>
    <row r="552" spans="1:5" ht="15" customHeight="1" x14ac:dyDescent="0.2">
      <c r="A552" s="4" t="s">
        <v>554</v>
      </c>
      <c r="B552" s="7">
        <f>'Price Data'!B553/'Price Data'!B552-1</f>
        <v>1.78217597939474E-2</v>
      </c>
      <c r="C552" s="7">
        <f>'Price Data'!C553/'Price Data'!C552-1</f>
        <v>1.334701095426305E-2</v>
      </c>
      <c r="D552" s="7">
        <f>'Price Data'!D553/'Price Data'!D552-1</f>
        <v>9.6497693599957302E-3</v>
      </c>
      <c r="E552" s="7">
        <f>'Price Data'!E553/'Price Data'!E552-1</f>
        <v>-5.8658136012795792E-3</v>
      </c>
    </row>
    <row r="553" spans="1:5" ht="15" customHeight="1" x14ac:dyDescent="0.2">
      <c r="A553" s="4" t="s">
        <v>555</v>
      </c>
      <c r="B553" s="7">
        <f>'Price Data'!B554/'Price Data'!B553-1</f>
        <v>-7.7083047854148434E-3</v>
      </c>
      <c r="C553" s="7">
        <f>'Price Data'!C554/'Price Data'!C553-1</f>
        <v>-3.0974086846669802E-2</v>
      </c>
      <c r="D553" s="7">
        <f>'Price Data'!D554/'Price Data'!D553-1</f>
        <v>-7.2609752044949794E-4</v>
      </c>
      <c r="E553" s="7">
        <f>'Price Data'!E554/'Price Data'!E553-1</f>
        <v>9.9703424974517674E-3</v>
      </c>
    </row>
    <row r="554" spans="1:5" ht="15" customHeight="1" x14ac:dyDescent="0.2">
      <c r="A554" s="4" t="s">
        <v>556</v>
      </c>
      <c r="B554" s="7">
        <f>'Price Data'!B555/'Price Data'!B554-1</f>
        <v>1.7285757291804815E-2</v>
      </c>
      <c r="C554" s="7">
        <f>'Price Data'!C555/'Price Data'!C554-1</f>
        <v>1.5534103749602846E-2</v>
      </c>
      <c r="D554" s="7">
        <f>'Price Data'!D555/'Price Data'!D554-1</f>
        <v>-2.1791316325121546E-3</v>
      </c>
      <c r="E554" s="7">
        <f>'Price Data'!E555/'Price Data'!E554-1</f>
        <v>-3.9290879759682484E-3</v>
      </c>
    </row>
    <row r="555" spans="1:5" ht="15" customHeight="1" x14ac:dyDescent="0.2">
      <c r="A555" s="4" t="s">
        <v>557</v>
      </c>
      <c r="B555" s="7">
        <f>'Price Data'!B556/'Price Data'!B555-1</f>
        <v>-1.2895652125369694E-2</v>
      </c>
      <c r="C555" s="7">
        <f>'Price Data'!C556/'Price Data'!C555-1</f>
        <v>-1.1913560817772617E-2</v>
      </c>
      <c r="D555" s="7">
        <f>'Price Data'!D556/'Price Data'!D555-1</f>
        <v>-2.2688504579037372E-2</v>
      </c>
      <c r="E555" s="7">
        <f>'Price Data'!E556/'Price Data'!E555-1</f>
        <v>6.2704650954166219E-3</v>
      </c>
    </row>
    <row r="556" spans="1:5" ht="15" customHeight="1" x14ac:dyDescent="0.2">
      <c r="A556" s="4" t="s">
        <v>558</v>
      </c>
      <c r="B556" s="7">
        <f>'Price Data'!B557/'Price Data'!B556-1</f>
        <v>8.7093330474681263E-3</v>
      </c>
      <c r="C556" s="7">
        <f>'Price Data'!C557/'Price Data'!C556-1</f>
        <v>1.562977379915087E-2</v>
      </c>
      <c r="D556" s="7">
        <f>'Price Data'!D557/'Price Data'!D556-1</f>
        <v>1.1421359478438031E-2</v>
      </c>
      <c r="E556" s="7">
        <f>'Price Data'!E557/'Price Data'!E556-1</f>
        <v>-4.0204259351724891E-3</v>
      </c>
    </row>
    <row r="557" spans="1:5" ht="15" customHeight="1" x14ac:dyDescent="0.2">
      <c r="A557" s="4" t="s">
        <v>559</v>
      </c>
      <c r="B557" s="7">
        <f>'Price Data'!B558/'Price Data'!B557-1</f>
        <v>1.4272010082543529E-2</v>
      </c>
      <c r="C557" s="7">
        <f>'Price Data'!C558/'Price Data'!C557-1</f>
        <v>1.5095928489961441E-2</v>
      </c>
      <c r="D557" s="7">
        <f>'Price Data'!D558/'Price Data'!D557-1</f>
        <v>-4.4188202683821398E-3</v>
      </c>
      <c r="E557" s="7">
        <f>'Price Data'!E558/'Price Data'!E557-1</f>
        <v>-3.0267511762035459E-3</v>
      </c>
    </row>
    <row r="558" spans="1:5" ht="15" customHeight="1" x14ac:dyDescent="0.2">
      <c r="A558" s="4" t="s">
        <v>560</v>
      </c>
      <c r="B558" s="7">
        <f>'Price Data'!B559/'Price Data'!B558-1</f>
        <v>-1.787687864471188E-2</v>
      </c>
      <c r="C558" s="7">
        <f>'Price Data'!C559/'Price Data'!C558-1</f>
        <v>-3.4652163930022351E-3</v>
      </c>
      <c r="D558" s="7">
        <f>'Price Data'!D559/'Price Data'!D558-1</f>
        <v>-3.7356584874682519E-2</v>
      </c>
      <c r="E558" s="7">
        <f>'Price Data'!E559/'Price Data'!E558-1</f>
        <v>9.6153972114196851E-3</v>
      </c>
    </row>
    <row r="559" spans="1:5" ht="15" customHeight="1" x14ac:dyDescent="0.2">
      <c r="A559" s="4" t="s">
        <v>561</v>
      </c>
      <c r="B559" s="7">
        <f>'Price Data'!B560/'Price Data'!B559-1</f>
        <v>1.8224382076512669E-3</v>
      </c>
      <c r="C559" s="7">
        <f>'Price Data'!C560/'Price Data'!C559-1</f>
        <v>1.4494791583530287E-4</v>
      </c>
      <c r="D559" s="7">
        <f>'Price Data'!D560/'Price Data'!D559-1</f>
        <v>-6.275733485835544E-3</v>
      </c>
      <c r="E559" s="7">
        <f>'Price Data'!E560/'Price Data'!E559-1</f>
        <v>2.4059325691856426E-3</v>
      </c>
    </row>
    <row r="560" spans="1:5" ht="15" customHeight="1" x14ac:dyDescent="0.2">
      <c r="A560" s="4" t="s">
        <v>562</v>
      </c>
      <c r="B560" s="7">
        <f>'Price Data'!B561/'Price Data'!B560-1</f>
        <v>6.285027520504638E-3</v>
      </c>
      <c r="C560" s="7">
        <f>'Price Data'!C561/'Price Data'!C560-1</f>
        <v>-3.0421666820201754E-3</v>
      </c>
      <c r="D560" s="7">
        <f>'Price Data'!D561/'Price Data'!D560-1</f>
        <v>2.564422455809634E-2</v>
      </c>
      <c r="E560" s="7">
        <f>'Price Data'!E561/'Price Data'!E560-1</f>
        <v>1.7002341306013857E-3</v>
      </c>
    </row>
    <row r="561" spans="1:5" ht="15" customHeight="1" x14ac:dyDescent="0.2">
      <c r="A561" s="4" t="s">
        <v>563</v>
      </c>
      <c r="B561" s="7">
        <f>'Price Data'!B562/'Price Data'!B561-1</f>
        <v>2.5390694528473201E-3</v>
      </c>
      <c r="C561" s="7">
        <f>'Price Data'!C562/'Price Data'!C561-1</f>
        <v>9.4448393239909834E-3</v>
      </c>
      <c r="D561" s="7">
        <f>'Price Data'!D562/'Price Data'!D561-1</f>
        <v>-1.1421662251612785E-3</v>
      </c>
      <c r="E561" s="7">
        <f>'Price Data'!E562/'Price Data'!E561-1</f>
        <v>-1.0783067385576883E-2</v>
      </c>
    </row>
    <row r="562" spans="1:5" ht="15" customHeight="1" x14ac:dyDescent="0.2">
      <c r="A562" s="4" t="s">
        <v>564</v>
      </c>
      <c r="B562" s="7">
        <f>'Price Data'!B563/'Price Data'!B562-1</f>
        <v>-1.4184004532837857E-3</v>
      </c>
      <c r="C562" s="7">
        <f>'Price Data'!C563/'Price Data'!C562-1</f>
        <v>4.3196557545832626E-4</v>
      </c>
      <c r="D562" s="7">
        <f>'Price Data'!D563/'Price Data'!D562-1</f>
        <v>-2.4142423406025015E-3</v>
      </c>
      <c r="E562" s="7">
        <f>'Price Data'!E563/'Price Data'!E562-1</f>
        <v>-1.5138114503129296E-3</v>
      </c>
    </row>
    <row r="563" spans="1:5" ht="15" customHeight="1" x14ac:dyDescent="0.2">
      <c r="A563" s="4" t="s">
        <v>565</v>
      </c>
      <c r="B563" s="7">
        <f>'Price Data'!B564/'Price Data'!B563-1</f>
        <v>1.4405463393883933E-2</v>
      </c>
      <c r="C563" s="7">
        <f>'Price Data'!C564/'Price Data'!C563-1</f>
        <v>1.2086436137628276E-2</v>
      </c>
      <c r="D563" s="7">
        <f>'Price Data'!D564/'Price Data'!D563-1</f>
        <v>2.2163029419190572E-2</v>
      </c>
      <c r="E563" s="7">
        <f>'Price Data'!E564/'Price Data'!E563-1</f>
        <v>1.2132864415708156E-3</v>
      </c>
    </row>
    <row r="564" spans="1:5" ht="15" customHeight="1" x14ac:dyDescent="0.2">
      <c r="A564" s="4" t="s">
        <v>566</v>
      </c>
      <c r="B564" s="7">
        <f>'Price Data'!B565/'Price Data'!B564-1</f>
        <v>5.400133109224825E-3</v>
      </c>
      <c r="C564" s="7">
        <f>'Price Data'!C565/'Price Data'!C564-1</f>
        <v>1.1657582452683002E-2</v>
      </c>
      <c r="D564" s="7">
        <f>'Price Data'!D565/'Price Data'!D564-1</f>
        <v>1.3083741794238879E-2</v>
      </c>
      <c r="E564" s="7">
        <f>'Price Data'!E565/'Price Data'!E564-1</f>
        <v>1.1105048110251481E-3</v>
      </c>
    </row>
    <row r="565" spans="1:5" ht="15" customHeight="1" x14ac:dyDescent="0.2">
      <c r="A565" s="4" t="s">
        <v>567</v>
      </c>
      <c r="B565" s="7">
        <f>'Price Data'!B566/'Price Data'!B565-1</f>
        <v>1.506963496723901E-2</v>
      </c>
      <c r="C565" s="7">
        <f>'Price Data'!C566/'Price Data'!C565-1</f>
        <v>5.0589201719117849E-3</v>
      </c>
      <c r="D565" s="7">
        <f>'Price Data'!D566/'Price Data'!D565-1</f>
        <v>2.1402242022587448E-2</v>
      </c>
      <c r="E565" s="7">
        <f>'Price Data'!E566/'Price Data'!E565-1</f>
        <v>4.8404084435622607E-3</v>
      </c>
    </row>
    <row r="566" spans="1:5" ht="15" customHeight="1" x14ac:dyDescent="0.2">
      <c r="A566" s="4" t="s">
        <v>568</v>
      </c>
      <c r="B566" s="7">
        <f>'Price Data'!B567/'Price Data'!B566-1</f>
        <v>2.6454993412203809E-3</v>
      </c>
      <c r="C566" s="7">
        <f>'Price Data'!C567/'Price Data'!C566-1</f>
        <v>7.9697684691248938E-3</v>
      </c>
      <c r="D566" s="7">
        <f>'Price Data'!D567/'Price Data'!D566-1</f>
        <v>-7.9479040722573169E-3</v>
      </c>
      <c r="E566" s="7">
        <f>'Price Data'!E567/'Price Data'!E566-1</f>
        <v>4.3465275191312269E-3</v>
      </c>
    </row>
    <row r="567" spans="1:5" ht="15" customHeight="1" x14ac:dyDescent="0.2">
      <c r="A567" s="4" t="s">
        <v>569</v>
      </c>
      <c r="B567" s="7">
        <f>'Price Data'!B568/'Price Data'!B567-1</f>
        <v>-6.6945931807408376E-3</v>
      </c>
      <c r="C567" s="7">
        <f>'Price Data'!C568/'Price Data'!C567-1</f>
        <v>1.3865680746905085E-4</v>
      </c>
      <c r="D567" s="7">
        <f>'Price Data'!D568/'Price Data'!D567-1</f>
        <v>-1.3351929068443624E-3</v>
      </c>
      <c r="E567" s="7">
        <f>'Price Data'!E568/'Price Data'!E567-1</f>
        <v>3.7068357804150853E-3</v>
      </c>
    </row>
    <row r="568" spans="1:5" ht="15" customHeight="1" x14ac:dyDescent="0.2">
      <c r="A568" s="4" t="s">
        <v>570</v>
      </c>
      <c r="B568" s="7">
        <f>'Price Data'!B569/'Price Data'!B568-1</f>
        <v>-3.6406284953665047E-3</v>
      </c>
      <c r="C568" s="7">
        <f>'Price Data'!C569/'Price Data'!C568-1</f>
        <v>-6.9347798367674907E-3</v>
      </c>
      <c r="D568" s="7">
        <f>'Price Data'!D569/'Price Data'!D568-1</f>
        <v>-5.3483345809964833E-3</v>
      </c>
      <c r="E568" s="7">
        <f>'Price Data'!E569/'Price Data'!E568-1</f>
        <v>3.3935158968831924E-3</v>
      </c>
    </row>
    <row r="569" spans="1:5" ht="15" customHeight="1" x14ac:dyDescent="0.2">
      <c r="A569" s="4" t="s">
        <v>571</v>
      </c>
      <c r="B569" s="7">
        <f>'Price Data'!B570/'Price Data'!B569-1</f>
        <v>3.3081815975501971E-3</v>
      </c>
      <c r="C569" s="7">
        <f>'Price Data'!C570/'Price Data'!C569-1</f>
        <v>4.7486807945034126E-3</v>
      </c>
      <c r="D569" s="7">
        <f>'Price Data'!D570/'Price Data'!D569-1</f>
        <v>6.8436888387513051E-3</v>
      </c>
      <c r="E569" s="7">
        <f>'Price Data'!E570/'Price Data'!E569-1</f>
        <v>-8.9550746336153342E-4</v>
      </c>
    </row>
    <row r="570" spans="1:5" ht="15" customHeight="1" x14ac:dyDescent="0.2">
      <c r="A570" s="4" t="s">
        <v>572</v>
      </c>
      <c r="B570" s="7">
        <f>'Price Data'!B571/'Price Data'!B570-1</f>
        <v>2.2639156559125517E-3</v>
      </c>
      <c r="C570" s="7">
        <f>'Price Data'!C571/'Price Data'!C570-1</f>
        <v>-6.9496685944381298E-4</v>
      </c>
      <c r="D570" s="7">
        <f>'Price Data'!D571/'Price Data'!D570-1</f>
        <v>4.6122305208298187E-3</v>
      </c>
      <c r="E570" s="7">
        <f>'Price Data'!E571/'Price Data'!E570-1</f>
        <v>-6.869625781101063E-3</v>
      </c>
    </row>
    <row r="571" spans="1:5" ht="15" customHeight="1" x14ac:dyDescent="0.2">
      <c r="A571" s="4" t="s">
        <v>573</v>
      </c>
      <c r="B571" s="7">
        <f>'Price Data'!B572/'Price Data'!B571-1</f>
        <v>1.0311020431115203E-3</v>
      </c>
      <c r="C571" s="7">
        <f>'Price Data'!C572/'Price Data'!C571-1</f>
        <v>3.3384458083791646E-3</v>
      </c>
      <c r="D571" s="7">
        <f>'Price Data'!D572/'Price Data'!D571-1</f>
        <v>4.2283606591448919E-3</v>
      </c>
      <c r="E571" s="7">
        <f>'Price Data'!E572/'Price Data'!E571-1</f>
        <v>6.0147202318217019E-4</v>
      </c>
    </row>
    <row r="572" spans="1:5" ht="15" customHeight="1" x14ac:dyDescent="0.2">
      <c r="A572" s="4" t="s">
        <v>574</v>
      </c>
      <c r="B572" s="7">
        <f>'Price Data'!B573/'Price Data'!B572-1</f>
        <v>-4.2184747593284611E-3</v>
      </c>
      <c r="C572" s="7">
        <f>'Price Data'!C573/'Price Data'!C572-1</f>
        <v>6.3771605180060753E-3</v>
      </c>
      <c r="D572" s="7">
        <f>'Price Data'!D573/'Price Data'!D572-1</f>
        <v>-4.812259171438571E-3</v>
      </c>
      <c r="E572" s="7">
        <f>'Price Data'!E573/'Price Data'!E572-1</f>
        <v>1.2025658647547566E-3</v>
      </c>
    </row>
    <row r="573" spans="1:5" ht="15" customHeight="1" x14ac:dyDescent="0.2">
      <c r="A573" s="4" t="s">
        <v>575</v>
      </c>
      <c r="B573" s="7">
        <f>'Price Data'!B574/'Price Data'!B573-1</f>
        <v>1.300421091724302E-2</v>
      </c>
      <c r="C573" s="7">
        <f>'Price Data'!C574/'Price Data'!C573-1</f>
        <v>1.2811789809976437E-2</v>
      </c>
      <c r="D573" s="7">
        <f>'Price Data'!D574/'Price Data'!D573-1</f>
        <v>-3.0223237891632282E-3</v>
      </c>
      <c r="E573" s="7">
        <f>'Price Data'!E574/'Price Data'!E573-1</f>
        <v>-4.0031639464377378E-4</v>
      </c>
    </row>
    <row r="574" spans="1:5" ht="15" customHeight="1" x14ac:dyDescent="0.2">
      <c r="A574" s="4" t="s">
        <v>576</v>
      </c>
      <c r="B574" s="7">
        <f>'Price Data'!B575/'Price Data'!B574-1</f>
        <v>-2.7715244438113462E-3</v>
      </c>
      <c r="C574" s="7">
        <f>'Price Data'!C575/'Price Data'!C574-1</f>
        <v>-4.0804213617898766E-3</v>
      </c>
      <c r="D574" s="7">
        <f>'Price Data'!D575/'Price Data'!D574-1</f>
        <v>-1.5520601050320937E-2</v>
      </c>
      <c r="E574" s="7">
        <f>'Price Data'!E575/'Price Data'!E574-1</f>
        <v>-4.9054950781344253E-3</v>
      </c>
    </row>
    <row r="575" spans="1:5" ht="15" customHeight="1" x14ac:dyDescent="0.2">
      <c r="A575" s="4" t="s">
        <v>577</v>
      </c>
      <c r="B575" s="7">
        <f>'Price Data'!B576/'Price Data'!B575-1</f>
        <v>3.9983486078274399E-3</v>
      </c>
      <c r="C575" s="7">
        <f>'Price Data'!C576/'Price Data'!C575-1</f>
        <v>-1.7756524715510924E-3</v>
      </c>
      <c r="D575" s="7">
        <f>'Price Data'!D576/'Price Data'!D575-1</f>
        <v>2.0815226935834374E-2</v>
      </c>
      <c r="E575" s="7">
        <f>'Price Data'!E576/'Price Data'!E575-1</f>
        <v>-5.0300305630659459E-3</v>
      </c>
    </row>
    <row r="576" spans="1:5" ht="15" customHeight="1" x14ac:dyDescent="0.2">
      <c r="A576" s="4" t="s">
        <v>578</v>
      </c>
      <c r="B576" s="7">
        <f>'Price Data'!B577/'Price Data'!B576-1</f>
        <v>4.8579942055693159E-4</v>
      </c>
      <c r="C576" s="7">
        <f>'Price Data'!C577/'Price Data'!C576-1</f>
        <v>5.4728424456471636E-3</v>
      </c>
      <c r="D576" s="7">
        <f>'Price Data'!D577/'Price Data'!D576-1</f>
        <v>-2.292376678605379E-3</v>
      </c>
      <c r="E576" s="7">
        <f>'Price Data'!E577/'Price Data'!E576-1</f>
        <v>1.4156122529516146E-3</v>
      </c>
    </row>
    <row r="577" spans="1:5" ht="15" customHeight="1" x14ac:dyDescent="0.2">
      <c r="A577" s="4" t="s">
        <v>579</v>
      </c>
      <c r="B577" s="7">
        <f>'Price Data'!B578/'Price Data'!B577-1</f>
        <v>4.8533150307172868E-4</v>
      </c>
      <c r="C577" s="7">
        <f>'Price Data'!C578/'Price Data'!C577-1</f>
        <v>-3.1297470346672851E-3</v>
      </c>
      <c r="D577" s="7">
        <f>'Price Data'!D578/'Price Data'!D577-1</f>
        <v>5.9256847905135857E-3</v>
      </c>
      <c r="E577" s="7">
        <f>'Price Data'!E578/'Price Data'!E577-1</f>
        <v>-1.5147633593940446E-3</v>
      </c>
    </row>
    <row r="578" spans="1:5" ht="15" customHeight="1" x14ac:dyDescent="0.2">
      <c r="A578" s="4" t="s">
        <v>580</v>
      </c>
      <c r="B578" s="7">
        <f>'Price Data'!B579/'Price Data'!B578-1</f>
        <v>-6.2104666028942601E-3</v>
      </c>
      <c r="C578" s="7">
        <f>'Price Data'!C579/'Price Data'!C578-1</f>
        <v>0</v>
      </c>
      <c r="D578" s="7">
        <f>'Price Data'!D579/'Price Data'!D578-1</f>
        <v>-9.8582496639790795E-3</v>
      </c>
      <c r="E578" s="7">
        <f>'Price Data'!E579/'Price Data'!E578-1</f>
        <v>4.5504007536310009E-3</v>
      </c>
    </row>
    <row r="579" spans="1:5" ht="15" customHeight="1" x14ac:dyDescent="0.2">
      <c r="A579" s="4" t="s">
        <v>581</v>
      </c>
      <c r="B579" s="7">
        <f>'Price Data'!B580/'Price Data'!B579-1</f>
        <v>8.7870741641205008E-4</v>
      </c>
      <c r="C579" s="7">
        <f>'Price Data'!C580/'Price Data'!C579-1</f>
        <v>5.0504656227519096E-3</v>
      </c>
      <c r="D579" s="7">
        <f>'Price Data'!D580/'Price Data'!D579-1</f>
        <v>1.2142983365270865E-4</v>
      </c>
      <c r="E579" s="7">
        <f>'Price Data'!E580/'Price Data'!E579-1</f>
        <v>-1.7110165850525716E-3</v>
      </c>
    </row>
    <row r="580" spans="1:5" ht="15" customHeight="1" x14ac:dyDescent="0.2">
      <c r="A580" s="4" t="s">
        <v>582</v>
      </c>
      <c r="B580" s="7">
        <f>'Price Data'!B581/'Price Data'!B580-1</f>
        <v>3.9031466263494963E-4</v>
      </c>
      <c r="C580" s="7">
        <f>'Price Data'!C581/'Price Data'!C580-1</f>
        <v>2.5805376060117347E-3</v>
      </c>
      <c r="D580" s="7">
        <f>'Price Data'!D581/'Price Data'!D580-1</f>
        <v>-3.7634458509793189E-3</v>
      </c>
      <c r="E580" s="7">
        <f>'Price Data'!E581/'Price Data'!E580-1</f>
        <v>3.9323890484994628E-3</v>
      </c>
    </row>
    <row r="581" spans="1:5" ht="15" customHeight="1" x14ac:dyDescent="0.2">
      <c r="A581" s="4" t="s">
        <v>583</v>
      </c>
      <c r="B581" s="7">
        <f>'Price Data'!B582/'Price Data'!B581-1</f>
        <v>-1.667652819812826E-2</v>
      </c>
      <c r="C581" s="7">
        <f>'Price Data'!C582/'Price Data'!C581-1</f>
        <v>-1.3952967750507694E-2</v>
      </c>
      <c r="D581" s="7">
        <f>'Price Data'!D582/'Price Data'!D581-1</f>
        <v>-9.8706094608974615E-3</v>
      </c>
      <c r="E581" s="7">
        <f>'Price Data'!E582/'Price Data'!E581-1</f>
        <v>6.2272737056916494E-3</v>
      </c>
    </row>
    <row r="582" spans="1:5" ht="15" customHeight="1" x14ac:dyDescent="0.2">
      <c r="A582" s="4" t="s">
        <v>584</v>
      </c>
      <c r="B582" s="7">
        <f>'Price Data'!B583/'Price Data'!B582-1</f>
        <v>-4.5125544455530964E-3</v>
      </c>
      <c r="C582" s="7">
        <f>'Price Data'!C583/'Price Data'!C582-1</f>
        <v>-6.8696879533847177E-4</v>
      </c>
      <c r="D582" s="7">
        <f>'Price Data'!D583/'Price Data'!D582-1</f>
        <v>-9.6003851575324761E-3</v>
      </c>
      <c r="E582" s="7">
        <f>'Price Data'!E583/'Price Data'!E582-1</f>
        <v>-3.6932577963356694E-3</v>
      </c>
    </row>
    <row r="583" spans="1:5" ht="15" customHeight="1" x14ac:dyDescent="0.2">
      <c r="A583" s="4" t="s">
        <v>585</v>
      </c>
      <c r="B583" s="7">
        <f>'Price Data'!B584/'Price Data'!B583-1</f>
        <v>1.8779748497516513E-2</v>
      </c>
      <c r="C583" s="7">
        <f>'Price Data'!C584/'Price Data'!C583-1</f>
        <v>1.2510417818170305E-2</v>
      </c>
      <c r="D583" s="7">
        <f>'Price Data'!D584/'Price Data'!D583-1</f>
        <v>2.2617356745977979E-2</v>
      </c>
      <c r="E583" s="7">
        <f>'Price Data'!E584/'Price Data'!E583-1</f>
        <v>-3.6065766021345924E-3</v>
      </c>
    </row>
    <row r="584" spans="1:5" ht="15" customHeight="1" x14ac:dyDescent="0.2">
      <c r="A584" s="4" t="s">
        <v>586</v>
      </c>
      <c r="B584" s="7">
        <f>'Price Data'!B585/'Price Data'!B584-1</f>
        <v>8.7032853482429395E-3</v>
      </c>
      <c r="C584" s="7">
        <f>'Price Data'!C585/'Price Data'!C584-1</f>
        <v>-4.0727555946762362E-4</v>
      </c>
      <c r="D584" s="7">
        <f>'Price Data'!D585/'Price Data'!D584-1</f>
        <v>1.2273577265389468E-2</v>
      </c>
      <c r="E584" s="7">
        <f>'Price Data'!E585/'Price Data'!E584-1</f>
        <v>5.1278900255249393E-3</v>
      </c>
    </row>
    <row r="585" spans="1:5" ht="15" customHeight="1" x14ac:dyDescent="0.2">
      <c r="A585" s="4" t="s">
        <v>587</v>
      </c>
      <c r="B585" s="7">
        <f>'Price Data'!B586/'Price Data'!B585-1</f>
        <v>-4.8470297192204637E-4</v>
      </c>
      <c r="C585" s="7">
        <f>'Price Data'!C586/'Price Data'!C585-1</f>
        <v>-1.4941067656741858E-3</v>
      </c>
      <c r="D585" s="7">
        <f>'Price Data'!D586/'Price Data'!D585-1</f>
        <v>-7.4429620642059158E-3</v>
      </c>
      <c r="E585" s="7">
        <f>'Price Data'!E586/'Price Data'!E585-1</f>
        <v>-1.0239447963191872E-2</v>
      </c>
    </row>
    <row r="586" spans="1:5" ht="15" customHeight="1" x14ac:dyDescent="0.2">
      <c r="A586" s="4" t="s">
        <v>588</v>
      </c>
      <c r="B586" s="7">
        <f>'Price Data'!B587/'Price Data'!B586-1</f>
        <v>-1.2221349945059745E-2</v>
      </c>
      <c r="C586" s="7">
        <f>'Price Data'!C587/'Price Data'!C586-1</f>
        <v>-1.0066694419720412E-2</v>
      </c>
      <c r="D586" s="7">
        <f>'Price Data'!D587/'Price Data'!D586-1</f>
        <v>-1.6932802861505003E-2</v>
      </c>
      <c r="E586" s="7">
        <f>'Price Data'!E587/'Price Data'!E586-1</f>
        <v>9.7273912097164406E-3</v>
      </c>
    </row>
    <row r="587" spans="1:5" ht="15" customHeight="1" x14ac:dyDescent="0.2">
      <c r="A587" s="4" t="s">
        <v>589</v>
      </c>
      <c r="B587" s="7">
        <f>'Price Data'!B588/'Price Data'!B587-1</f>
        <v>-5.8422867320115923E-3</v>
      </c>
      <c r="C587" s="7">
        <f>'Price Data'!C588/'Price Data'!C587-1</f>
        <v>2.6110343562339988E-3</v>
      </c>
      <c r="D587" s="7">
        <f>'Price Data'!D588/'Price Data'!D587-1</f>
        <v>-3.9369586321092997E-3</v>
      </c>
      <c r="E587" s="7">
        <f>'Price Data'!E588/'Price Data'!E587-1</f>
        <v>4.415537467539199E-3</v>
      </c>
    </row>
    <row r="588" spans="1:5" ht="15" customHeight="1" x14ac:dyDescent="0.2">
      <c r="A588" s="4" t="s">
        <v>590</v>
      </c>
      <c r="B588" s="7">
        <f>'Price Data'!B589/'Price Data'!B588-1</f>
        <v>-7.4572309229176126E-3</v>
      </c>
      <c r="C588" s="7">
        <f>'Price Data'!C589/'Price Data'!C588-1</f>
        <v>-2.0559870077243581E-3</v>
      </c>
      <c r="D588" s="7">
        <f>'Price Data'!D589/'Price Data'!D588-1</f>
        <v>8.2756280291467199E-3</v>
      </c>
      <c r="E588" s="7">
        <f>'Price Data'!E589/'Price Data'!E588-1</f>
        <v>-1.1988733318307743E-3</v>
      </c>
    </row>
    <row r="589" spans="1:5" ht="15" customHeight="1" x14ac:dyDescent="0.2">
      <c r="A589" s="4" t="s">
        <v>591</v>
      </c>
      <c r="B589" s="7">
        <f>'Price Data'!B590/'Price Data'!B589-1</f>
        <v>1.8459703415972362E-2</v>
      </c>
      <c r="C589" s="7">
        <f>'Price Data'!C590/'Price Data'!C589-1</f>
        <v>1.469577919870213E-2</v>
      </c>
      <c r="D589" s="7">
        <f>'Price Data'!D590/'Price Data'!D589-1</f>
        <v>1.666065264388128E-2</v>
      </c>
      <c r="E589" s="7">
        <f>'Price Data'!E590/'Price Data'!E589-1</f>
        <v>-3.2010905778535603E-3</v>
      </c>
    </row>
    <row r="590" spans="1:5" ht="15" customHeight="1" x14ac:dyDescent="0.2">
      <c r="A590" s="4" t="s">
        <v>592</v>
      </c>
      <c r="B590" s="7">
        <f>'Price Data'!B591/'Price Data'!B590-1</f>
        <v>1.0747182552188761E-3</v>
      </c>
      <c r="C590" s="7">
        <f>'Price Data'!C591/'Price Data'!C590-1</f>
        <v>2.7071025914437996E-4</v>
      </c>
      <c r="D590" s="7">
        <f>'Price Data'!D591/'Price Data'!D590-1</f>
        <v>-5.7838611814678975E-3</v>
      </c>
      <c r="E590" s="7">
        <f>'Price Data'!E591/'Price Data'!E590-1</f>
        <v>-5.5192495274916098E-3</v>
      </c>
    </row>
    <row r="591" spans="1:5" ht="15" customHeight="1" x14ac:dyDescent="0.2">
      <c r="A591" s="4" t="s">
        <v>593</v>
      </c>
      <c r="B591" s="7">
        <f>'Price Data'!B592/'Price Data'!B591-1</f>
        <v>-4.0995591675372367E-3</v>
      </c>
      <c r="C591" s="7">
        <f>'Price Data'!C592/'Price Data'!C591-1</f>
        <v>-4.0594394152584368E-3</v>
      </c>
      <c r="D591" s="7">
        <f>'Price Data'!D592/'Price Data'!D591-1</f>
        <v>-4.2417909287811861E-3</v>
      </c>
      <c r="E591" s="7">
        <f>'Price Data'!E592/'Price Data'!E591-1</f>
        <v>-9.0833240998411391E-4</v>
      </c>
    </row>
    <row r="592" spans="1:5" ht="15" customHeight="1" x14ac:dyDescent="0.2">
      <c r="A592" s="4" t="s">
        <v>594</v>
      </c>
      <c r="B592" s="7">
        <f>'Price Data'!B593/'Price Data'!B592-1</f>
        <v>4.4104657878130116E-3</v>
      </c>
      <c r="C592" s="7">
        <f>'Price Data'!C593/'Price Data'!C592-1</f>
        <v>-2.0383407546717969E-3</v>
      </c>
      <c r="D592" s="7">
        <f>'Price Data'!D593/'Price Data'!D592-1</f>
        <v>9.6152493694545704E-3</v>
      </c>
      <c r="E592" s="7">
        <f>'Price Data'!E593/'Price Data'!E592-1</f>
        <v>6.4640846515184869E-3</v>
      </c>
    </row>
    <row r="593" spans="1:5" ht="15" customHeight="1" x14ac:dyDescent="0.2">
      <c r="A593" s="4" t="s">
        <v>595</v>
      </c>
      <c r="B593" s="7">
        <f>'Price Data'!B594/'Price Data'!B593-1</f>
        <v>-1.3174074311000927E-3</v>
      </c>
      <c r="C593" s="7">
        <f>'Price Data'!C594/'Price Data'!C593-1</f>
        <v>-2.450540022968406E-3</v>
      </c>
      <c r="D593" s="7">
        <f>'Price Data'!D594/'Price Data'!D593-1</f>
        <v>-1.0970470411122646E-2</v>
      </c>
      <c r="E593" s="7">
        <f>'Price Data'!E594/'Price Data'!E593-1</f>
        <v>3.0103744281355649E-3</v>
      </c>
    </row>
    <row r="594" spans="1:5" ht="15" customHeight="1" x14ac:dyDescent="0.2">
      <c r="A594" s="4" t="s">
        <v>596</v>
      </c>
      <c r="B594" s="7">
        <f>'Price Data'!B595/'Price Data'!B594-1</f>
        <v>-2.3448531267790118E-3</v>
      </c>
      <c r="C594" s="7">
        <f>'Price Data'!C595/'Price Data'!C594-1</f>
        <v>-1.7743245566995691E-3</v>
      </c>
      <c r="D594" s="7">
        <f>'Price Data'!D595/'Price Data'!D594-1</f>
        <v>-1.2179755826691174E-4</v>
      </c>
      <c r="E594" s="7">
        <f>'Price Data'!E595/'Price Data'!E594-1</f>
        <v>-5.6024942501963215E-3</v>
      </c>
    </row>
    <row r="595" spans="1:5" ht="15" customHeight="1" x14ac:dyDescent="0.2">
      <c r="A595" s="4" t="s">
        <v>597</v>
      </c>
      <c r="B595" s="7">
        <f>'Price Data'!B596/'Price Data'!B595-1</f>
        <v>4.2601622286637664E-3</v>
      </c>
      <c r="C595" s="7">
        <f>'Price Data'!C596/'Price Data'!C595-1</f>
        <v>7.6565785723652358E-3</v>
      </c>
      <c r="D595" s="7">
        <f>'Price Data'!D596/'Price Data'!D595-1</f>
        <v>-1.7066446119147205E-3</v>
      </c>
      <c r="E595" s="7">
        <f>'Price Data'!E596/'Price Data'!E595-1</f>
        <v>-2.515524218852816E-3</v>
      </c>
    </row>
    <row r="596" spans="1:5" ht="15" customHeight="1" x14ac:dyDescent="0.2">
      <c r="A596" s="4" t="s">
        <v>598</v>
      </c>
      <c r="B596" s="7">
        <f>'Price Data'!B597/'Price Data'!B596-1</f>
        <v>-7.7526811284350794E-3</v>
      </c>
      <c r="C596" s="7">
        <f>'Price Data'!C597/'Price Data'!C596-1</f>
        <v>-9.497653557676955E-3</v>
      </c>
      <c r="D596" s="7">
        <f>'Price Data'!D597/'Price Data'!D596-1</f>
        <v>-2.5033542413047338E-2</v>
      </c>
      <c r="E596" s="7">
        <f>'Price Data'!E597/'Price Data'!E596-1</f>
        <v>-2.3198380226718829E-3</v>
      </c>
    </row>
    <row r="597" spans="1:5" ht="15" customHeight="1" x14ac:dyDescent="0.2">
      <c r="A597" s="4" t="s">
        <v>599</v>
      </c>
      <c r="B597" s="7">
        <f>'Price Data'!B598/'Price Data'!B597-1</f>
        <v>1.2972975004380549E-2</v>
      </c>
      <c r="C597" s="7">
        <f>'Price Data'!C598/'Price Data'!C597-1</f>
        <v>4.6571997867141945E-3</v>
      </c>
      <c r="D597" s="7">
        <f>'Price Data'!D598/'Price Data'!D597-1</f>
        <v>1.3526936282519664E-2</v>
      </c>
      <c r="E597" s="7">
        <f>'Price Data'!E598/'Price Data'!E597-1</f>
        <v>-1.5165350230014196E-3</v>
      </c>
    </row>
    <row r="598" spans="1:5" ht="15" customHeight="1" x14ac:dyDescent="0.2">
      <c r="A598" s="4" t="s">
        <v>600</v>
      </c>
      <c r="B598" s="7">
        <f>'Price Data'!B599/'Price Data'!B598-1</f>
        <v>9.9447414742872553E-3</v>
      </c>
      <c r="C598" s="7">
        <f>'Price Data'!C599/'Price Data'!C598-1</f>
        <v>-1.4995784327003214E-3</v>
      </c>
      <c r="D598" s="7">
        <f>'Price Data'!D599/'Price Data'!D598-1</f>
        <v>-4.8196080359950155E-3</v>
      </c>
      <c r="E598" s="7">
        <f>'Price Data'!E599/'Price Data'!E598-1</f>
        <v>-4.6577884628100641E-3</v>
      </c>
    </row>
    <row r="599" spans="1:5" ht="15" customHeight="1" x14ac:dyDescent="0.2">
      <c r="A599" s="4" t="s">
        <v>601</v>
      </c>
      <c r="B599" s="7">
        <f>'Price Data'!B600/'Price Data'!B599-1</f>
        <v>-2.4016665187116537E-3</v>
      </c>
      <c r="C599" s="7">
        <f>'Price Data'!C600/'Price Data'!C599-1</f>
        <v>5.871873012557538E-3</v>
      </c>
      <c r="D599" s="7">
        <f>'Price Data'!D600/'Price Data'!D599-1</f>
        <v>-1.6143523498248769E-3</v>
      </c>
      <c r="E599" s="7">
        <f>'Price Data'!E600/'Price Data'!E599-1</f>
        <v>-2.238088962333018E-3</v>
      </c>
    </row>
    <row r="600" spans="1:5" ht="15" customHeight="1" x14ac:dyDescent="0.2">
      <c r="A600" s="4" t="s">
        <v>602</v>
      </c>
      <c r="B600" s="7">
        <f>'Price Data'!B601/'Price Data'!B600-1</f>
        <v>1.7332830701182189E-3</v>
      </c>
      <c r="C600" s="7">
        <f>'Price Data'!C601/'Price Data'!C600-1</f>
        <v>2.7140287473836899E-4</v>
      </c>
      <c r="D600" s="7">
        <f>'Price Data'!D601/'Price Data'!D600-1</f>
        <v>6.0946806120416586E-3</v>
      </c>
      <c r="E600" s="7">
        <f>'Price Data'!E601/'Price Data'!E600-1</f>
        <v>-9.176037683116256E-4</v>
      </c>
    </row>
    <row r="601" spans="1:5" ht="15" customHeight="1" x14ac:dyDescent="0.2">
      <c r="A601" s="4" t="s">
        <v>603</v>
      </c>
      <c r="B601" s="7">
        <f>'Price Data'!B602/'Price Data'!B601-1</f>
        <v>-1.0574383219691397E-2</v>
      </c>
      <c r="C601" s="7">
        <f>'Price Data'!C602/'Price Data'!C601-1</f>
        <v>-1.4658034797800368E-2</v>
      </c>
      <c r="D601" s="7">
        <f>'Price Data'!D602/'Price Data'!D601-1</f>
        <v>-9.3958394963624681E-3</v>
      </c>
      <c r="E601" s="7">
        <f>'Price Data'!E602/'Price Data'!E601-1</f>
        <v>1.1225847081410834E-3</v>
      </c>
    </row>
    <row r="602" spans="1:5" ht="15" customHeight="1" x14ac:dyDescent="0.2">
      <c r="A602" s="4" t="s">
        <v>604</v>
      </c>
      <c r="B602" s="7">
        <f>'Price Data'!B603/'Price Data'!B602-1</f>
        <v>-7.7242131745360876E-3</v>
      </c>
      <c r="C602" s="7">
        <f>'Price Data'!C603/'Price Data'!C602-1</f>
        <v>-1.4600547109732798E-2</v>
      </c>
      <c r="D602" s="7">
        <f>'Price Data'!D603/'Price Data'!D602-1</f>
        <v>-2.1464800492296376E-2</v>
      </c>
      <c r="E602" s="7">
        <f>'Price Data'!E603/'Price Data'!E602-1</f>
        <v>-2.5482532020969506E-3</v>
      </c>
    </row>
    <row r="603" spans="1:5" ht="15" customHeight="1" x14ac:dyDescent="0.2">
      <c r="A603" s="4" t="s">
        <v>605</v>
      </c>
      <c r="B603" s="7">
        <f>'Price Data'!B604/'Price Data'!B603-1</f>
        <v>6.8050192447879354E-3</v>
      </c>
      <c r="C603" s="7">
        <f>'Price Data'!C604/'Price Data'!C603-1</f>
        <v>-1.3978843151236653E-3</v>
      </c>
      <c r="D603" s="7">
        <f>'Price Data'!D604/'Price Data'!D603-1</f>
        <v>-1.2765780615853206E-4</v>
      </c>
      <c r="E603" s="7">
        <f>'Price Data'!E604/'Price Data'!E603-1</f>
        <v>-3.6794804630085887E-3</v>
      </c>
    </row>
    <row r="604" spans="1:5" ht="15" customHeight="1" x14ac:dyDescent="0.2">
      <c r="A604" s="4" t="s">
        <v>606</v>
      </c>
      <c r="B604" s="7">
        <f>'Price Data'!B605/'Price Data'!B604-1</f>
        <v>1.3178008755791115E-2</v>
      </c>
      <c r="C604" s="7">
        <f>'Price Data'!C605/'Price Data'!C604-1</f>
        <v>9.79858920198029E-3</v>
      </c>
      <c r="D604" s="7">
        <f>'Price Data'!D605/'Price Data'!D604-1</f>
        <v>1.147969743453725E-2</v>
      </c>
      <c r="E604" s="7">
        <f>'Price Data'!E605/'Price Data'!E604-1</f>
        <v>8.2082877904432472E-4</v>
      </c>
    </row>
    <row r="605" spans="1:5" ht="15" customHeight="1" x14ac:dyDescent="0.2">
      <c r="A605" s="4" t="s">
        <v>607</v>
      </c>
      <c r="B605" s="7">
        <f>'Price Data'!B606/'Price Data'!B605-1</f>
        <v>3.3569286932078057E-4</v>
      </c>
      <c r="C605" s="7">
        <f>'Price Data'!C606/'Price Data'!C605-1</f>
        <v>-1.0119072270467822E-2</v>
      </c>
      <c r="D605" s="7">
        <f>'Price Data'!D606/'Price Data'!D605-1</f>
        <v>3.7829174078189975E-3</v>
      </c>
      <c r="E605" s="7">
        <f>'Price Data'!E606/'Price Data'!E605-1</f>
        <v>6.6619932200118193E-3</v>
      </c>
    </row>
    <row r="606" spans="1:5" ht="15" customHeight="1" x14ac:dyDescent="0.2">
      <c r="A606" s="4" t="s">
        <v>608</v>
      </c>
      <c r="B606" s="7">
        <f>'Price Data'!B607/'Price Data'!B606-1</f>
        <v>-5.9970248787999392E-3</v>
      </c>
      <c r="C606" s="7">
        <f>'Price Data'!C607/'Price Data'!C606-1</f>
        <v>-1.0362969915553855E-2</v>
      </c>
      <c r="D606" s="7">
        <f>'Price Data'!D607/'Price Data'!D606-1</f>
        <v>5.0253905680763822E-3</v>
      </c>
      <c r="E606" s="7">
        <f>'Price Data'!E607/'Price Data'!E606-1</f>
        <v>3.5632653096895339E-3</v>
      </c>
    </row>
    <row r="607" spans="1:5" ht="15" customHeight="1" x14ac:dyDescent="0.2">
      <c r="A607" s="4" t="s">
        <v>609</v>
      </c>
      <c r="B607" s="7">
        <f>'Price Data'!B608/'Price Data'!B607-1</f>
        <v>9.9912576495566618E-3</v>
      </c>
      <c r="C607" s="7">
        <f>'Price Data'!C608/'Price Data'!C607-1</f>
        <v>1.48579066522736E-2</v>
      </c>
      <c r="D607" s="7">
        <f>'Price Data'!D608/'Price Data'!D607-1</f>
        <v>1.2468615311411746E-4</v>
      </c>
      <c r="E607" s="7">
        <f>'Price Data'!E608/'Price Data'!E607-1</f>
        <v>3.0312516004153967E-3</v>
      </c>
    </row>
    <row r="608" spans="1:5" ht="15" customHeight="1" x14ac:dyDescent="0.2">
      <c r="A608" s="4" t="s">
        <v>610</v>
      </c>
      <c r="B608" s="7">
        <f>'Price Data'!B609/'Price Data'!B608-1</f>
        <v>1.6535234740908678E-2</v>
      </c>
      <c r="C608" s="7">
        <f>'Price Data'!C609/'Price Data'!C608-1</f>
        <v>1.2966963569363665E-2</v>
      </c>
      <c r="D608" s="7">
        <f>'Price Data'!D609/'Price Data'!D608-1</f>
        <v>2.437234375856856E-2</v>
      </c>
      <c r="E608" s="7">
        <f>'Price Data'!E609/'Price Data'!E608-1</f>
        <v>-5.2731808472568087E-3</v>
      </c>
    </row>
    <row r="609" spans="1:5" ht="15" customHeight="1" x14ac:dyDescent="0.2">
      <c r="A609" s="4" t="s">
        <v>611</v>
      </c>
      <c r="B609" s="7">
        <f>'Price Data'!B610/'Price Data'!B609-1</f>
        <v>-2.6326453415442819E-3</v>
      </c>
      <c r="C609" s="7">
        <f>'Price Data'!C610/'Price Data'!C609-1</f>
        <v>-5.780812051348172E-3</v>
      </c>
      <c r="D609" s="7">
        <f>'Price Data'!D610/'Price Data'!D609-1</f>
        <v>-6.9546424286933695E-3</v>
      </c>
      <c r="E609" s="7">
        <f>'Price Data'!E610/'Price Data'!E609-1</f>
        <v>-1.0213459558938709E-4</v>
      </c>
    </row>
    <row r="610" spans="1:5" ht="15" customHeight="1" x14ac:dyDescent="0.2">
      <c r="A610" s="4" t="s">
        <v>612</v>
      </c>
      <c r="B610" s="7">
        <f>'Price Data'!B611/'Price Data'!B610-1</f>
        <v>4.5721828485616456E-3</v>
      </c>
      <c r="C610" s="7">
        <f>'Price Data'!C611/'Price Data'!C610-1</f>
        <v>8.3067085100356763E-3</v>
      </c>
      <c r="D610" s="7">
        <f>'Price Data'!D611/'Price Data'!D610-1</f>
        <v>9.5833380929035705E-3</v>
      </c>
      <c r="E610" s="7">
        <f>'Price Data'!E611/'Price Data'!E610-1</f>
        <v>1.2234704480473813E-3</v>
      </c>
    </row>
    <row r="611" spans="1:5" ht="15" customHeight="1" x14ac:dyDescent="0.2">
      <c r="A611" s="4" t="s">
        <v>613</v>
      </c>
      <c r="B611" s="7">
        <f>'Price Data'!B612/'Price Data'!B611-1</f>
        <v>-1.9707415785179538E-3</v>
      </c>
      <c r="C611" s="7">
        <f>'Price Data'!C612/'Price Data'!C611-1</f>
        <v>-8.7948857032877914E-3</v>
      </c>
      <c r="D611" s="7">
        <f>'Price Data'!D612/'Price Data'!D611-1</f>
        <v>1.8376503234319719E-2</v>
      </c>
      <c r="E611" s="7">
        <f>'Price Data'!E612/'Price Data'!E611-1</f>
        <v>-5.2951104591120179E-3</v>
      </c>
    </row>
    <row r="612" spans="1:5" ht="15" customHeight="1" x14ac:dyDescent="0.2">
      <c r="A612" s="4" t="s">
        <v>614</v>
      </c>
      <c r="B612" s="7">
        <f>'Price Data'!B613/'Price Data'!B612-1</f>
        <v>4.7016357221849603E-3</v>
      </c>
      <c r="C612" s="7">
        <f>'Price Data'!C613/'Price Data'!C612-1</f>
        <v>1.0579562457742275E-2</v>
      </c>
      <c r="D612" s="7">
        <f>'Price Data'!D613/'Price Data'!D612-1</f>
        <v>-6.2142268174613102E-3</v>
      </c>
      <c r="E612" s="7">
        <f>'Price Data'!E613/'Price Data'!E612-1</f>
        <v>5.3232979095498845E-3</v>
      </c>
    </row>
    <row r="613" spans="1:5" ht="15" customHeight="1" x14ac:dyDescent="0.2">
      <c r="A613" s="4" t="s">
        <v>615</v>
      </c>
      <c r="B613" s="7">
        <f>'Price Data'!B614/'Price Data'!B613-1</f>
        <v>1.0759295670608182E-3</v>
      </c>
      <c r="C613" s="7">
        <f>'Price Data'!C614/'Price Data'!C613-1</f>
        <v>-1.674967006719541E-3</v>
      </c>
      <c r="D613" s="7">
        <f>'Price Data'!D614/'Price Data'!D613-1</f>
        <v>-5.7719337033197426E-3</v>
      </c>
      <c r="E613" s="7">
        <f>'Price Data'!E614/'Price Data'!E613-1</f>
        <v>-2.3421921753812303E-3</v>
      </c>
    </row>
    <row r="614" spans="1:5" ht="15" customHeight="1" x14ac:dyDescent="0.2">
      <c r="A614" s="4" t="s">
        <v>616</v>
      </c>
      <c r="B614" s="7">
        <f>'Price Data'!B615/'Price Data'!B614-1</f>
        <v>8.9751120483267943E-3</v>
      </c>
      <c r="C614" s="7">
        <f>'Price Data'!C615/'Price Data'!C614-1</f>
        <v>4.3345606169249429E-3</v>
      </c>
      <c r="D614" s="7">
        <f>'Price Data'!D615/'Price Data'!D614-1</f>
        <v>2.4202479435153634E-4</v>
      </c>
      <c r="E614" s="7">
        <f>'Price Data'!E615/'Price Data'!E614-1</f>
        <v>1.7352688097795888E-3</v>
      </c>
    </row>
    <row r="615" spans="1:5" ht="15" customHeight="1" x14ac:dyDescent="0.2">
      <c r="A615" s="4" t="s">
        <v>617</v>
      </c>
      <c r="B615" s="7">
        <f>'Price Data'!B616/'Price Data'!B615-1</f>
        <v>7.366288521417852E-3</v>
      </c>
      <c r="C615" s="7">
        <f>'Price Data'!C616/'Price Data'!C615-1</f>
        <v>9.4667996249320208E-3</v>
      </c>
      <c r="D615" s="7">
        <f>'Price Data'!D616/'Price Data'!D615-1</f>
        <v>6.4086905277107586E-3</v>
      </c>
      <c r="E615" s="7">
        <f>'Price Data'!E616/'Price Data'!E615-1</f>
        <v>-4.6869864515474147E-3</v>
      </c>
    </row>
    <row r="616" spans="1:5" ht="15" customHeight="1" x14ac:dyDescent="0.2">
      <c r="A616" s="4" t="s">
        <v>618</v>
      </c>
      <c r="B616" s="7">
        <f>'Price Data'!B617/'Price Data'!B616-1</f>
        <v>0</v>
      </c>
      <c r="C616" s="7">
        <f>'Price Data'!C617/'Price Data'!C616-1</f>
        <v>3.7234861004220576E-3</v>
      </c>
      <c r="D616" s="7">
        <f>'Price Data'!D617/'Price Data'!D616-1</f>
        <v>3.7244538856113785E-3</v>
      </c>
      <c r="E616" s="7">
        <f>'Price Data'!E617/'Price Data'!E616-1</f>
        <v>9.2105343898185588E-4</v>
      </c>
    </row>
    <row r="617" spans="1:5" ht="15" customHeight="1" x14ac:dyDescent="0.2">
      <c r="A617" s="4" t="s">
        <v>619</v>
      </c>
      <c r="B617" s="7">
        <f>'Price Data'!B618/'Price Data'!B617-1</f>
        <v>1.218722528953009E-2</v>
      </c>
      <c r="C617" s="7">
        <f>'Price Data'!C618/'Price Data'!C617-1</f>
        <v>1.0579864913487613E-2</v>
      </c>
      <c r="D617" s="7">
        <f>'Price Data'!D618/'Price Data'!D617-1</f>
        <v>5.2669241242151443E-3</v>
      </c>
      <c r="E617" s="7">
        <f>'Price Data'!E618/'Price Data'!E617-1</f>
        <v>6.955187015840858E-3</v>
      </c>
    </row>
    <row r="618" spans="1:5" ht="15" customHeight="1" x14ac:dyDescent="0.2">
      <c r="A618" s="4" t="s">
        <v>620</v>
      </c>
      <c r="B618" s="7">
        <f>'Price Data'!B619/'Price Data'!B618-1</f>
        <v>-3.7712708143818885E-3</v>
      </c>
      <c r="C618" s="7">
        <f>'Price Data'!C619/'Price Data'!C618-1</f>
        <v>-2.1753314653759626E-3</v>
      </c>
      <c r="D618" s="7">
        <f>'Price Data'!D619/'Price Data'!D618-1</f>
        <v>-7.1442103081575947E-4</v>
      </c>
      <c r="E618" s="7">
        <f>'Price Data'!E619/'Price Data'!E618-1</f>
        <v>-3.1487681856742222E-3</v>
      </c>
    </row>
    <row r="619" spans="1:5" ht="15" customHeight="1" x14ac:dyDescent="0.2">
      <c r="A619" s="4" t="s">
        <v>621</v>
      </c>
      <c r="B619" s="7">
        <f>'Price Data'!B620/'Price Data'!B619-1</f>
        <v>-4.9256075859495096E-3</v>
      </c>
      <c r="C619" s="7">
        <f>'Price Data'!C620/'Price Data'!C619-1</f>
        <v>-1.3217161716776005E-2</v>
      </c>
      <c r="D619" s="7">
        <f>'Price Data'!D620/'Price Data'!D619-1</f>
        <v>-1.1796736970536292E-2</v>
      </c>
      <c r="E619" s="7">
        <f>'Price Data'!E620/'Price Data'!E619-1</f>
        <v>1.8340836984673814E-3</v>
      </c>
    </row>
    <row r="620" spans="1:5" ht="15" customHeight="1" x14ac:dyDescent="0.2">
      <c r="A620" s="4" t="s">
        <v>622</v>
      </c>
      <c r="B620" s="7">
        <f>'Price Data'!B621/'Price Data'!B620-1</f>
        <v>-5.5000205567967697E-3</v>
      </c>
      <c r="C620" s="7">
        <f>'Price Data'!C621/'Price Data'!C620-1</f>
        <v>1.5189555771180085E-3</v>
      </c>
      <c r="D620" s="7">
        <f>'Price Data'!D621/'Price Data'!D620-1</f>
        <v>-6.0291305998712019E-3</v>
      </c>
      <c r="E620" s="7">
        <f>'Price Data'!E621/'Price Data'!E620-1</f>
        <v>1.6274571450223263E-3</v>
      </c>
    </row>
    <row r="621" spans="1:5" ht="15" customHeight="1" x14ac:dyDescent="0.2">
      <c r="A621" s="4" t="s">
        <v>623</v>
      </c>
      <c r="B621" s="7">
        <f>'Price Data'!B622/'Price Data'!B621-1</f>
        <v>2.6730646532406865E-3</v>
      </c>
      <c r="C621" s="7">
        <f>'Price Data'!C622/'Price Data'!C621-1</f>
        <v>-6.2042536981896657E-3</v>
      </c>
      <c r="D621" s="7">
        <f>'Price Data'!D622/'Price Data'!D621-1</f>
        <v>-1.4315177830548254E-2</v>
      </c>
      <c r="E621" s="7">
        <f>'Price Data'!E622/'Price Data'!E621-1</f>
        <v>-5.1788463576740718E-3</v>
      </c>
    </row>
    <row r="622" spans="1:5" ht="15" customHeight="1" x14ac:dyDescent="0.2">
      <c r="A622" s="4" t="s">
        <v>624</v>
      </c>
      <c r="B622" s="7">
        <f>'Price Data'!B623/'Price Data'!B622-1</f>
        <v>-8.2728090684809352E-3</v>
      </c>
      <c r="C622" s="7">
        <f>'Price Data'!C623/'Price Data'!C622-1</f>
        <v>-1.553833041300845E-2</v>
      </c>
      <c r="D622" s="7">
        <f>'Price Data'!D623/'Price Data'!D622-1</f>
        <v>-1.3785080685135287E-2</v>
      </c>
      <c r="E622" s="7">
        <f>'Price Data'!E623/'Price Data'!E622-1</f>
        <v>2.9602004290538719E-3</v>
      </c>
    </row>
    <row r="623" spans="1:5" ht="15" customHeight="1" x14ac:dyDescent="0.2">
      <c r="A623" s="4" t="s">
        <v>625</v>
      </c>
      <c r="B623" s="7">
        <f>'Price Data'!B624/'Price Data'!B623-1</f>
        <v>-3.4894686044544265E-3</v>
      </c>
      <c r="C623" s="7">
        <f>'Price Data'!C624/'Price Data'!C623-1</f>
        <v>1.2682338143077398E-3</v>
      </c>
      <c r="D623" s="7">
        <f>'Price Data'!D624/'Price Data'!D623-1</f>
        <v>2.3087862547203519E-2</v>
      </c>
      <c r="E623" s="7">
        <f>'Price Data'!E624/'Price Data'!E623-1</f>
        <v>1.2210548477762373E-3</v>
      </c>
    </row>
    <row r="624" spans="1:5" ht="15" customHeight="1" x14ac:dyDescent="0.2">
      <c r="A624" s="4" t="s">
        <v>626</v>
      </c>
      <c r="B624" s="7">
        <f>'Price Data'!B625/'Price Data'!B624-1</f>
        <v>1.2185434271808182E-2</v>
      </c>
      <c r="C624" s="7">
        <f>'Price Data'!C625/'Price Data'!C624-1</f>
        <v>8.7263504282417692E-3</v>
      </c>
      <c r="D624" s="7">
        <f>'Price Data'!D625/'Price Data'!D624-1</f>
        <v>1.2319987942757793E-2</v>
      </c>
      <c r="E624" s="7">
        <f>'Price Data'!E625/'Price Data'!E624-1</f>
        <v>-1.9310080234412608E-3</v>
      </c>
    </row>
    <row r="625" spans="1:5" ht="15" customHeight="1" x14ac:dyDescent="0.2">
      <c r="A625" s="4" t="s">
        <v>627</v>
      </c>
      <c r="B625" s="7">
        <f>'Price Data'!B626/'Price Data'!B625-1</f>
        <v>8.3021733391408503E-4</v>
      </c>
      <c r="C625" s="7">
        <f>'Price Data'!C626/'Price Data'!C625-1</f>
        <v>6.9765943155419841E-4</v>
      </c>
      <c r="D625" s="7">
        <f>'Price Data'!D626/'Price Data'!D625-1</f>
        <v>1.4458867714663981E-3</v>
      </c>
      <c r="E625" s="7">
        <f>'Price Data'!E626/'Price Data'!E625-1</f>
        <v>2.9533929529139691E-3</v>
      </c>
    </row>
    <row r="626" spans="1:5" ht="15" customHeight="1" x14ac:dyDescent="0.2">
      <c r="A626" s="4" t="s">
        <v>628</v>
      </c>
      <c r="B626" s="7">
        <f>'Price Data'!B627/'Price Data'!B626-1</f>
        <v>4.7931247729575688E-3</v>
      </c>
      <c r="C626" s="7">
        <f>'Price Data'!C627/'Price Data'!C626-1</f>
        <v>-1.3942292071195128E-3</v>
      </c>
      <c r="D626" s="7">
        <f>'Price Data'!D627/'Price Data'!D626-1</f>
        <v>1.1170259367391022E-2</v>
      </c>
      <c r="E626" s="7">
        <f>'Price Data'!E627/'Price Data'!E626-1</f>
        <v>-7.7171436230378809E-3</v>
      </c>
    </row>
    <row r="627" spans="1:5" ht="15" customHeight="1" x14ac:dyDescent="0.2">
      <c r="A627" s="4" t="s">
        <v>629</v>
      </c>
      <c r="B627" s="7">
        <f>'Price Data'!B628/'Price Data'!B627-1</f>
        <v>1.0366019415636973E-2</v>
      </c>
      <c r="C627" s="7">
        <f>'Price Data'!C628/'Price Data'!C627-1</f>
        <v>1.2286908800775986E-2</v>
      </c>
      <c r="D627" s="7">
        <f>'Price Data'!D628/'Price Data'!D627-1</f>
        <v>5.5357352226861334E-3</v>
      </c>
      <c r="E627" s="7">
        <f>'Price Data'!E628/'Price Data'!E627-1</f>
        <v>2.3530830259594904E-3</v>
      </c>
    </row>
    <row r="628" spans="1:5" ht="15" customHeight="1" x14ac:dyDescent="0.2">
      <c r="A628" s="4" t="s">
        <v>630</v>
      </c>
      <c r="B628" s="7">
        <f>'Price Data'!B629/'Price Data'!B628-1</f>
        <v>2.9962549515163417E-3</v>
      </c>
      <c r="C628" s="7">
        <f>'Price Data'!C629/'Price Data'!C628-1</f>
        <v>-1.1034759608392619E-3</v>
      </c>
      <c r="D628" s="7">
        <f>'Price Data'!D629/'Price Data'!D628-1</f>
        <v>9.8132452179215957E-3</v>
      </c>
      <c r="E628" s="7">
        <f>'Price Data'!E629/'Price Data'!E628-1</f>
        <v>-1.1769266086643082E-3</v>
      </c>
    </row>
    <row r="629" spans="1:5" ht="15" customHeight="1" x14ac:dyDescent="0.2">
      <c r="A629" s="4" t="s">
        <v>631</v>
      </c>
      <c r="B629" s="7">
        <f>'Price Data'!B630/'Price Data'!B629-1</f>
        <v>-3.0324913066942516E-3</v>
      </c>
      <c r="C629" s="7">
        <f>'Price Data'!C630/'Price Data'!C629-1</f>
        <v>-1.1184573532068032E-2</v>
      </c>
      <c r="D629" s="7">
        <f>'Price Data'!D630/'Price Data'!D629-1</f>
        <v>2.2517364814609309E-3</v>
      </c>
      <c r="E629" s="7">
        <f>'Price Data'!E630/'Price Data'!E629-1</f>
        <v>-4.5090639458421622E-3</v>
      </c>
    </row>
    <row r="630" spans="1:5" ht="15" customHeight="1" x14ac:dyDescent="0.2">
      <c r="A630" s="4" t="s">
        <v>632</v>
      </c>
      <c r="B630" s="7">
        <f>'Price Data'!B631/'Price Data'!B630-1</f>
        <v>-8.8983070388629626E-3</v>
      </c>
      <c r="C630" s="7">
        <f>'Price Data'!C631/'Price Data'!C630-1</f>
        <v>-1.731609788759314E-2</v>
      </c>
      <c r="D630" s="7">
        <f>'Price Data'!D631/'Price Data'!D630-1</f>
        <v>-7.6860877179560916E-3</v>
      </c>
      <c r="E630" s="7">
        <f>'Price Data'!E631/'Price Data'!E630-1</f>
        <v>-6.4855047426026768E-3</v>
      </c>
    </row>
    <row r="631" spans="1:5" ht="15" customHeight="1" x14ac:dyDescent="0.2">
      <c r="A631" s="4" t="s">
        <v>633</v>
      </c>
      <c r="B631" s="7">
        <f>'Price Data'!B632/'Price Data'!B631-1</f>
        <v>-1.2367124301153609E-3</v>
      </c>
      <c r="C631" s="7">
        <f>'Price Data'!C632/'Price Data'!C631-1</f>
        <v>7.5315687526191777E-3</v>
      </c>
      <c r="D631" s="7">
        <f>'Price Data'!D632/'Price Data'!D631-1</f>
        <v>-2.2640794690466093E-3</v>
      </c>
      <c r="E631" s="7">
        <f>'Price Data'!E632/'Price Data'!E631-1</f>
        <v>2.0724990613163463E-4</v>
      </c>
    </row>
    <row r="632" spans="1:5" ht="15" customHeight="1" x14ac:dyDescent="0.2">
      <c r="A632" s="4" t="s">
        <v>634</v>
      </c>
      <c r="B632" s="7">
        <f>'Price Data'!B633/'Price Data'!B632-1</f>
        <v>4.3571476512171969E-3</v>
      </c>
      <c r="C632" s="7">
        <f>'Price Data'!C633/'Price Data'!C632-1</f>
        <v>2.8208269460090474E-3</v>
      </c>
      <c r="D632" s="7">
        <f>'Price Data'!D633/'Price Data'!D632-1</f>
        <v>4.2997529761035214E-3</v>
      </c>
      <c r="E632" s="7">
        <f>'Price Data'!E633/'Price Data'!E632-1</f>
        <v>2.7972055194909196E-3</v>
      </c>
    </row>
    <row r="633" spans="1:5" ht="15" customHeight="1" x14ac:dyDescent="0.2">
      <c r="A633" s="4" t="s">
        <v>635</v>
      </c>
      <c r="B633" s="7">
        <f>'Price Data'!B634/'Price Data'!B633-1</f>
        <v>7.8540685463788229E-3</v>
      </c>
      <c r="C633" s="7">
        <f>'Price Data'!C634/'Price Data'!C633-1</f>
        <v>9.0015146161583903E-3</v>
      </c>
      <c r="D633" s="7">
        <f>'Price Data'!D634/'Price Data'!D633-1</f>
        <v>1.4270193876376069E-2</v>
      </c>
      <c r="E633" s="7">
        <f>'Price Data'!E634/'Price Data'!E633-1</f>
        <v>2.1694278221244812E-3</v>
      </c>
    </row>
    <row r="634" spans="1:5" ht="15" customHeight="1" x14ac:dyDescent="0.2">
      <c r="A634" s="4" t="s">
        <v>636</v>
      </c>
      <c r="B634" s="7">
        <f>'Price Data'!B635/'Price Data'!B634-1</f>
        <v>7.6570884323023947E-3</v>
      </c>
      <c r="C634" s="7">
        <f>'Price Data'!C635/'Price Data'!C634-1</f>
        <v>1.9096748352022352E-2</v>
      </c>
      <c r="D634" s="7">
        <f>'Price Data'!D635/'Price Data'!D634-1</f>
        <v>5.3934927721250858E-3</v>
      </c>
      <c r="E634" s="7">
        <f>'Price Data'!E635/'Price Data'!E634-1</f>
        <v>8.1432960932708021E-3</v>
      </c>
    </row>
    <row r="635" spans="1:5" ht="15" customHeight="1" x14ac:dyDescent="0.2">
      <c r="A635" s="4" t="s">
        <v>637</v>
      </c>
      <c r="B635" s="7">
        <f>'Price Data'!B636/'Price Data'!B635-1</f>
        <v>8.4533914801363519E-3</v>
      </c>
      <c r="C635" s="7">
        <f>'Price Data'!C636/'Price Data'!C635-1</f>
        <v>1.6003224103267932E-2</v>
      </c>
      <c r="D635" s="7">
        <f>'Price Data'!D636/'Price Data'!D635-1</f>
        <v>6.4140247248654081E-3</v>
      </c>
      <c r="E635" s="7">
        <f>'Price Data'!E636/'Price Data'!E635-1</f>
        <v>6.2373088805716126E-3</v>
      </c>
    </row>
    <row r="636" spans="1:5" ht="15" customHeight="1" x14ac:dyDescent="0.2">
      <c r="A636" s="4" t="s">
        <v>638</v>
      </c>
      <c r="B636" s="7">
        <f>'Price Data'!B637/'Price Data'!B636-1</f>
        <v>-1.471373050566549E-3</v>
      </c>
      <c r="C636" s="7">
        <f>'Price Data'!C637/'Price Data'!C636-1</f>
        <v>-5.6543099033539157E-3</v>
      </c>
      <c r="D636" s="7">
        <f>'Price Data'!D637/'Price Data'!D636-1</f>
        <v>-1.9701660568534063E-3</v>
      </c>
      <c r="E636" s="7">
        <f>'Price Data'!E637/'Price Data'!E636-1</f>
        <v>-4.775993138496859E-3</v>
      </c>
    </row>
    <row r="637" spans="1:5" ht="15" customHeight="1" x14ac:dyDescent="0.2">
      <c r="A637" s="4" t="s">
        <v>639</v>
      </c>
      <c r="B637" s="7">
        <f>'Price Data'!B638/'Price Data'!B637-1</f>
        <v>3.7954440496605901E-3</v>
      </c>
      <c r="C637" s="7">
        <f>'Price Data'!C638/'Price Data'!C637-1</f>
        <v>-1.2185520895547919E-3</v>
      </c>
      <c r="D637" s="7">
        <f>'Price Data'!D638/'Price Data'!D637-1</f>
        <v>-6.5014441557516012E-3</v>
      </c>
      <c r="E637" s="7">
        <f>'Price Data'!E638/'Price Data'!E637-1</f>
        <v>1.1232314184603798E-3</v>
      </c>
    </row>
    <row r="638" spans="1:5" ht="15" customHeight="1" x14ac:dyDescent="0.2">
      <c r="A638" s="4" t="s">
        <v>640</v>
      </c>
      <c r="B638" s="7">
        <f>'Price Data'!B639/'Price Data'!B638-1</f>
        <v>7.9627341471826263E-3</v>
      </c>
      <c r="C638" s="7">
        <f>'Price Data'!C639/'Price Data'!C638-1</f>
        <v>6.5067598124650683E-3</v>
      </c>
      <c r="D638" s="7">
        <f>'Price Data'!D639/'Price Data'!D638-1</f>
        <v>-5.4927180118256036E-3</v>
      </c>
      <c r="E638" s="7">
        <f>'Price Data'!E639/'Price Data'!E638-1</f>
        <v>8.1580483816012794E-4</v>
      </c>
    </row>
    <row r="639" spans="1:5" ht="15" customHeight="1" x14ac:dyDescent="0.2">
      <c r="A639" s="4" t="s">
        <v>641</v>
      </c>
      <c r="B639" s="7">
        <f>'Price Data'!B640/'Price Data'!B639-1</f>
        <v>2.6037629772275306E-3</v>
      </c>
      <c r="C639" s="7">
        <f>'Price Data'!C640/'Price Data'!C639-1</f>
        <v>-5.3873404048343509E-4</v>
      </c>
      <c r="D639" s="7">
        <f>'Price Data'!D640/'Price Data'!D639-1</f>
        <v>1.1280847083756873E-2</v>
      </c>
      <c r="E639" s="7">
        <f>'Price Data'!E640/'Price Data'!E639-1</f>
        <v>3.0571660548475155E-3</v>
      </c>
    </row>
    <row r="640" spans="1:5" ht="15" customHeight="1" x14ac:dyDescent="0.2">
      <c r="A640" s="4" t="s">
        <v>642</v>
      </c>
      <c r="B640" s="7">
        <f>'Price Data'!B641/'Price Data'!B640-1</f>
        <v>-7.2190074399254289E-3</v>
      </c>
      <c r="C640" s="7">
        <f>'Price Data'!C641/'Price Data'!C640-1</f>
        <v>-5.1206191416242053E-3</v>
      </c>
      <c r="D640" s="7">
        <f>'Price Data'!D641/'Price Data'!D640-1</f>
        <v>-3.2535651292575629E-3</v>
      </c>
      <c r="E640" s="7">
        <f>'Price Data'!E641/'Price Data'!E640-1</f>
        <v>-5.1811772137185796E-3</v>
      </c>
    </row>
    <row r="641" spans="1:5" ht="15" customHeight="1" x14ac:dyDescent="0.2">
      <c r="A641" s="4" t="s">
        <v>643</v>
      </c>
      <c r="B641" s="7">
        <f>'Price Data'!B642/'Price Data'!B641-1</f>
        <v>-8.8742059838442522E-5</v>
      </c>
      <c r="C641" s="7">
        <f>'Price Data'!C642/'Price Data'!C641-1</f>
        <v>2.0318589488415029E-3</v>
      </c>
      <c r="D641" s="7">
        <f>'Price Data'!D642/'Price Data'!D641-1</f>
        <v>4.663050411225278E-3</v>
      </c>
      <c r="E641" s="7">
        <f>'Price Data'!E642/'Price Data'!E641-1</f>
        <v>7.1492951093365953E-4</v>
      </c>
    </row>
    <row r="642" spans="1:5" ht="15" customHeight="1" x14ac:dyDescent="0.2">
      <c r="A642" s="4" t="s">
        <v>644</v>
      </c>
      <c r="B642" s="7">
        <f>'Price Data'!B643/'Price Data'!B642-1</f>
        <v>3.5474637260139996E-3</v>
      </c>
      <c r="C642" s="7">
        <f>'Price Data'!C643/'Price Data'!C642-1</f>
        <v>-2.4331506751830156E-3</v>
      </c>
      <c r="D642" s="7">
        <f>'Price Data'!D643/'Price Data'!D642-1</f>
        <v>8.2386848810969138E-3</v>
      </c>
      <c r="E642" s="7">
        <f>'Price Data'!E643/'Price Data'!E642-1</f>
        <v>-1.8370767905595553E-3</v>
      </c>
    </row>
    <row r="643" spans="1:5" ht="15" customHeight="1" x14ac:dyDescent="0.2">
      <c r="A643" s="4" t="s">
        <v>645</v>
      </c>
      <c r="B643" s="7">
        <f>'Price Data'!B644/'Price Data'!B643-1</f>
        <v>2.5185735330288672E-3</v>
      </c>
      <c r="C643" s="7">
        <f>'Price Data'!C644/'Price Data'!C643-1</f>
        <v>1.0840379276966239E-3</v>
      </c>
      <c r="D643" s="7">
        <f>'Price Data'!D644/'Price Data'!D643-1</f>
        <v>-7.1353703154355408E-3</v>
      </c>
      <c r="E643" s="7">
        <f>'Price Data'!E644/'Price Data'!E643-1</f>
        <v>-1.1246369269470868E-3</v>
      </c>
    </row>
    <row r="644" spans="1:5" ht="15" customHeight="1" x14ac:dyDescent="0.2">
      <c r="A644" s="4" t="s">
        <v>646</v>
      </c>
      <c r="B644" s="7">
        <f>'Price Data'!B645/'Price Data'!B644-1</f>
        <v>7.4915474372061475E-4</v>
      </c>
      <c r="C644" s="7">
        <f>'Price Data'!C645/'Price Data'!C644-1</f>
        <v>2.7070466947685112E-3</v>
      </c>
      <c r="D644" s="7">
        <f>'Price Data'!D645/'Price Data'!D644-1</f>
        <v>4.5205381223079044E-3</v>
      </c>
      <c r="E644" s="7">
        <f>'Price Data'!E645/'Price Data'!E644-1</f>
        <v>3.2751718685049003E-3</v>
      </c>
    </row>
    <row r="645" spans="1:5" ht="15" customHeight="1" x14ac:dyDescent="0.2">
      <c r="A645" s="4" t="s">
        <v>647</v>
      </c>
      <c r="B645" s="7">
        <f>'Price Data'!B646/'Price Data'!B645-1</f>
        <v>-7.707183104440074E-3</v>
      </c>
      <c r="C645" s="7">
        <f>'Price Data'!C646/'Price Data'!C645-1</f>
        <v>-2.2948738011773218E-3</v>
      </c>
      <c r="D645" s="7">
        <f>'Price Data'!D646/'Price Data'!D645-1</f>
        <v>-2.1694032358969384E-2</v>
      </c>
      <c r="E645" s="7">
        <f>'Price Data'!E646/'Price Data'!E645-1</f>
        <v>-8.5694455045194351E-3</v>
      </c>
    </row>
    <row r="646" spans="1:5" ht="15" customHeight="1" x14ac:dyDescent="0.2">
      <c r="A646" s="4" t="s">
        <v>648</v>
      </c>
      <c r="B646" s="7">
        <f>'Price Data'!B647/'Price Data'!B646-1</f>
        <v>1.0430193069772553E-2</v>
      </c>
      <c r="C646" s="7">
        <f>'Price Data'!C647/'Price Data'!C646-1</f>
        <v>7.1709498276222305E-3</v>
      </c>
      <c r="D646" s="7">
        <f>'Price Data'!D647/'Price Data'!D646-1</f>
        <v>-8.2554516028887637E-4</v>
      </c>
      <c r="E646" s="7">
        <f>'Price Data'!E647/'Price Data'!E646-1</f>
        <v>3.9102476276313691E-3</v>
      </c>
    </row>
    <row r="647" spans="1:5" ht="15" customHeight="1" x14ac:dyDescent="0.2">
      <c r="A647" s="4" t="s">
        <v>649</v>
      </c>
      <c r="B647" s="7">
        <f>'Price Data'!B648/'Price Data'!B647-1</f>
        <v>3.0307551475292627E-3</v>
      </c>
      <c r="C647" s="7">
        <f>'Price Data'!C648/'Price Data'!C647-1</f>
        <v>2.6867947304642925E-4</v>
      </c>
      <c r="D647" s="7">
        <f>'Price Data'!D648/'Price Data'!D647-1</f>
        <v>6.4928722432175956E-3</v>
      </c>
      <c r="E647" s="7">
        <f>'Price Data'!E648/'Price Data'!E647-1</f>
        <v>1.2301159917451621E-3</v>
      </c>
    </row>
    <row r="648" spans="1:5" ht="15" customHeight="1" x14ac:dyDescent="0.2">
      <c r="A648" s="4" t="s">
        <v>650</v>
      </c>
      <c r="B648" s="7">
        <f>'Price Data'!B649/'Price Data'!B648-1</f>
        <v>-2.7151351162392201E-3</v>
      </c>
      <c r="C648" s="7">
        <f>'Price Data'!C649/'Price Data'!C648-1</f>
        <v>-1.2489901896417743E-2</v>
      </c>
      <c r="D648" s="7">
        <f>'Price Data'!D649/'Price Data'!D648-1</f>
        <v>-1.6420968533827907E-3</v>
      </c>
      <c r="E648" s="7">
        <f>'Price Data'!E649/'Price Data'!E648-1</f>
        <v>-6.621630069513551E-3</v>
      </c>
    </row>
    <row r="649" spans="1:5" ht="15" customHeight="1" x14ac:dyDescent="0.2">
      <c r="A649" s="4" t="s">
        <v>651</v>
      </c>
      <c r="B649" s="7">
        <f>'Price Data'!B650/'Price Data'!B649-1</f>
        <v>-1.41833195692187E-2</v>
      </c>
      <c r="C649" s="7">
        <f>'Price Data'!C650/'Price Data'!C649-1</f>
        <v>-1.8631860108003884E-2</v>
      </c>
      <c r="D649" s="7">
        <f>'Price Data'!D650/'Price Data'!D649-1</f>
        <v>-5.7567417277870625E-3</v>
      </c>
      <c r="E649" s="7">
        <f>'Price Data'!E650/'Price Data'!E649-1</f>
        <v>-2.3764193714798099E-3</v>
      </c>
    </row>
    <row r="650" spans="1:5" ht="15" customHeight="1" x14ac:dyDescent="0.2">
      <c r="A650" s="4" t="s">
        <v>652</v>
      </c>
      <c r="B650" s="7">
        <f>'Price Data'!B651/'Price Data'!B650-1</f>
        <v>-2.895462246331526E-3</v>
      </c>
      <c r="C650" s="7">
        <f>'Price Data'!C651/'Price Data'!C650-1</f>
        <v>-2.7716878475423368E-3</v>
      </c>
      <c r="D650" s="7">
        <f>'Price Data'!D651/'Price Data'!D650-1</f>
        <v>-1.0870804463084194E-2</v>
      </c>
      <c r="E650" s="7">
        <f>'Price Data'!E651/'Price Data'!E650-1</f>
        <v>-6.7329937780951088E-3</v>
      </c>
    </row>
    <row r="651" spans="1:5" ht="15" customHeight="1" x14ac:dyDescent="0.2">
      <c r="A651" s="4" t="s">
        <v>653</v>
      </c>
      <c r="B651" s="7">
        <f>'Price Data'!B652/'Price Data'!B651-1</f>
        <v>-4.2439163123223489E-3</v>
      </c>
      <c r="C651" s="7">
        <f>'Price Data'!C652/'Price Data'!C651-1</f>
        <v>2.7793914530562791E-3</v>
      </c>
      <c r="D651" s="7">
        <f>'Price Data'!D652/'Price Data'!D651-1</f>
        <v>-8.1231594258944773E-3</v>
      </c>
      <c r="E651" s="7">
        <f>'Price Data'!E652/'Price Data'!E651-1</f>
        <v>8.2385330309198146E-3</v>
      </c>
    </row>
    <row r="652" spans="1:5" ht="15" customHeight="1" x14ac:dyDescent="0.2">
      <c r="A652" s="4" t="s">
        <v>654</v>
      </c>
      <c r="B652" s="7">
        <f>'Price Data'!B653/'Price Data'!B652-1</f>
        <v>7.6715785372136747E-3</v>
      </c>
      <c r="C652" s="7">
        <f>'Price Data'!C653/'Price Data'!C652-1</f>
        <v>8.4532994411428142E-3</v>
      </c>
      <c r="D652" s="7">
        <f>'Price Data'!D653/'Price Data'!D652-1</f>
        <v>1.252568751583949E-2</v>
      </c>
      <c r="E652" s="7">
        <f>'Price Data'!E653/'Price Data'!E652-1</f>
        <v>2.0694089815642691E-4</v>
      </c>
    </row>
    <row r="653" spans="1:5" ht="15" customHeight="1" x14ac:dyDescent="0.2">
      <c r="A653" s="4" t="s">
        <v>655</v>
      </c>
      <c r="B653" s="7">
        <f>'Price Data'!B654/'Price Data'!B653-1</f>
        <v>-4.6302312698903725E-3</v>
      </c>
      <c r="C653" s="7">
        <f>'Price Data'!C654/'Price Data'!C653-1</f>
        <v>-6.0462539753799449E-3</v>
      </c>
      <c r="D653" s="7">
        <f>'Price Data'!D654/'Price Data'!D653-1</f>
        <v>-6.4234414528852035E-3</v>
      </c>
      <c r="E653" s="7">
        <f>'Price Data'!E654/'Price Data'!E653-1</f>
        <v>2.3785792751713775E-3</v>
      </c>
    </row>
    <row r="654" spans="1:5" ht="15" customHeight="1" x14ac:dyDescent="0.2">
      <c r="A654" s="4" t="s">
        <v>656</v>
      </c>
      <c r="B654" s="7">
        <f>'Price Data'!B655/'Price Data'!B654-1</f>
        <v>-7.1565965993922731E-3</v>
      </c>
      <c r="C654" s="7">
        <f>'Price Data'!C655/'Price Data'!C654-1</f>
        <v>-2.7674911117081535E-4</v>
      </c>
      <c r="D654" s="7">
        <f>'Price Data'!D655/'Price Data'!D654-1</f>
        <v>-1.1972926374415049E-4</v>
      </c>
      <c r="E654" s="7">
        <f>'Price Data'!E655/'Price Data'!E654-1</f>
        <v>7.2202952772904005E-4</v>
      </c>
    </row>
    <row r="655" spans="1:5" ht="15" customHeight="1" x14ac:dyDescent="0.2">
      <c r="A655" s="4" t="s">
        <v>657</v>
      </c>
      <c r="B655" s="7">
        <f>'Price Data'!B656/'Price Data'!B655-1</f>
        <v>1.8019562809890033E-4</v>
      </c>
      <c r="C655" s="7">
        <f>'Price Data'!C656/'Price Data'!C655-1</f>
        <v>4.2872050641036274E-3</v>
      </c>
      <c r="D655" s="7">
        <f>'Price Data'!D656/'Price Data'!D655-1</f>
        <v>-3.8314866003413828E-3</v>
      </c>
      <c r="E655" s="7">
        <f>'Price Data'!E656/'Price Data'!E655-1</f>
        <v>-6.4948064904680747E-3</v>
      </c>
    </row>
    <row r="656" spans="1:5" ht="15" customHeight="1" x14ac:dyDescent="0.2">
      <c r="A656" s="4" t="s">
        <v>658</v>
      </c>
      <c r="B656" s="7">
        <f>'Price Data'!B657/'Price Data'!B656-1</f>
        <v>-9.4585660828172546E-4</v>
      </c>
      <c r="C656" s="7">
        <f>'Price Data'!C657/'Price Data'!C656-1</f>
        <v>-6.7473906453510146E-3</v>
      </c>
      <c r="D656" s="7">
        <f>'Price Data'!D657/'Price Data'!D656-1</f>
        <v>1.5626540954860602E-3</v>
      </c>
      <c r="E656" s="7">
        <f>'Price Data'!E657/'Price Data'!E656-1</f>
        <v>-3.1126844077039584E-3</v>
      </c>
    </row>
    <row r="657" spans="1:5" ht="15" customHeight="1" x14ac:dyDescent="0.2">
      <c r="A657" s="4" t="s">
        <v>659</v>
      </c>
      <c r="B657" s="7">
        <f>'Price Data'!B658/'Price Data'!B657-1</f>
        <v>4.9593923497401882E-3</v>
      </c>
      <c r="C657" s="7">
        <f>'Price Data'!C658/'Price Data'!C657-1</f>
        <v>-4.4365450637742221E-3</v>
      </c>
      <c r="D657" s="7">
        <f>'Price Data'!D658/'Price Data'!D657-1</f>
        <v>-6.6002952779953272E-3</v>
      </c>
      <c r="E657" s="7">
        <f>'Price Data'!E658/'Price Data'!E657-1</f>
        <v>-7.2893612207480807E-4</v>
      </c>
    </row>
    <row r="658" spans="1:5" ht="15" customHeight="1" x14ac:dyDescent="0.2">
      <c r="A658" s="4" t="s">
        <v>660</v>
      </c>
      <c r="B658" s="7">
        <f>'Price Data'!B659/'Price Data'!B658-1</f>
        <v>-1.1350461291620206E-2</v>
      </c>
      <c r="C658" s="7">
        <f>'Price Data'!C659/'Price Data'!C658-1</f>
        <v>-1.2393777873859535E-2</v>
      </c>
      <c r="D658" s="7">
        <f>'Price Data'!D659/'Price Data'!D658-1</f>
        <v>-1.1234458817000248E-2</v>
      </c>
      <c r="E658" s="7">
        <f>'Price Data'!E659/'Price Data'!E658-1</f>
        <v>-2.7081338948800049E-3</v>
      </c>
    </row>
    <row r="659" spans="1:5" ht="15" customHeight="1" x14ac:dyDescent="0.2">
      <c r="A659" s="4" t="s">
        <v>661</v>
      </c>
      <c r="B659" s="7">
        <f>'Price Data'!B660/'Price Data'!B659-1</f>
        <v>-8.2587900672701497E-3</v>
      </c>
      <c r="C659" s="7">
        <f>'Price Data'!C660/'Price Data'!C659-1</f>
        <v>-8.1781975248863548E-3</v>
      </c>
      <c r="D659" s="7">
        <f>'Price Data'!D660/'Price Data'!D659-1</f>
        <v>-1.2339704713310362E-2</v>
      </c>
      <c r="E659" s="7">
        <f>'Price Data'!E660/'Price Data'!E659-1</f>
        <v>-2.4020733217293699E-3</v>
      </c>
    </row>
    <row r="660" spans="1:5" ht="15" customHeight="1" x14ac:dyDescent="0.2">
      <c r="A660" s="4" t="s">
        <v>662</v>
      </c>
      <c r="B660" s="7">
        <f>'Price Data'!B661/'Price Data'!B660-1</f>
        <v>-8.1903767285675944E-3</v>
      </c>
      <c r="C660" s="7">
        <f>'Price Data'!C661/'Price Data'!C660-1</f>
        <v>-7.1083300998463494E-3</v>
      </c>
      <c r="D660" s="7">
        <f>'Price Data'!D661/'Price Data'!D660-1</f>
        <v>-8.0408338957482783E-3</v>
      </c>
      <c r="E660" s="7">
        <f>'Price Data'!E661/'Price Data'!E660-1</f>
        <v>-1.047379077654953E-3</v>
      </c>
    </row>
    <row r="661" spans="1:5" ht="15" customHeight="1" x14ac:dyDescent="0.2">
      <c r="A661" s="4" t="s">
        <v>663</v>
      </c>
      <c r="B661" s="7">
        <f>'Price Data'!B662/'Price Data'!B661-1</f>
        <v>1.1533656294240302E-3</v>
      </c>
      <c r="C661" s="7">
        <f>'Price Data'!C662/'Price Data'!C661-1</f>
        <v>0</v>
      </c>
      <c r="D661" s="7">
        <f>'Price Data'!D662/'Price Data'!D661-1</f>
        <v>3.1179033546393509E-3</v>
      </c>
      <c r="E661" s="7">
        <f>'Price Data'!E662/'Price Data'!E661-1</f>
        <v>2.2009541187426596E-3</v>
      </c>
    </row>
    <row r="662" spans="1:5" ht="15" customHeight="1" x14ac:dyDescent="0.2">
      <c r="A662" s="4" t="s">
        <v>664</v>
      </c>
      <c r="B662" s="7">
        <f>'Price Data'!B663/'Price Data'!B662-1</f>
        <v>5.7601114076952786E-3</v>
      </c>
      <c r="C662" s="7">
        <f>'Price Data'!C663/'Price Data'!C662-1</f>
        <v>3.7226480755099267E-3</v>
      </c>
      <c r="D662" s="7">
        <f>'Price Data'!D663/'Price Data'!D662-1</f>
        <v>-9.1996673892451586E-3</v>
      </c>
      <c r="E662" s="7">
        <f>'Price Data'!E663/'Price Data'!E662-1</f>
        <v>-5.0197677572448862E-3</v>
      </c>
    </row>
    <row r="663" spans="1:5" ht="15" customHeight="1" x14ac:dyDescent="0.2">
      <c r="A663" s="4" t="s">
        <v>665</v>
      </c>
      <c r="B663" s="7">
        <f>'Price Data'!B664/'Price Data'!B663-1</f>
        <v>-2.6574680539152018E-3</v>
      </c>
      <c r="C663" s="7">
        <f>'Price Data'!C664/'Price Data'!C663-1</f>
        <v>-1.8544804713348517E-3</v>
      </c>
      <c r="D663" s="7">
        <f>'Price Data'!D664/'Price Data'!D663-1</f>
        <v>2.8859986858795761E-3</v>
      </c>
      <c r="E663" s="7">
        <f>'Price Data'!E664/'Price Data'!E663-1</f>
        <v>1.0506469858362344E-3</v>
      </c>
    </row>
    <row r="664" spans="1:5" ht="15" customHeight="1" x14ac:dyDescent="0.2">
      <c r="A664" s="4" t="s">
        <v>666</v>
      </c>
      <c r="B664" s="7">
        <f>'Price Data'!B665/'Price Data'!B664-1</f>
        <v>1.0933451825789531E-2</v>
      </c>
      <c r="C664" s="7">
        <f>'Price Data'!C665/'Price Data'!C664-1</f>
        <v>1.0862071175630206E-2</v>
      </c>
      <c r="D664" s="7">
        <f>'Price Data'!D665/'Price Data'!D664-1</f>
        <v>1.5763840576781041E-2</v>
      </c>
      <c r="E664" s="7">
        <f>'Price Data'!E665/'Price Data'!E664-1</f>
        <v>9.5553602415883176E-3</v>
      </c>
    </row>
    <row r="665" spans="1:5" ht="15" customHeight="1" x14ac:dyDescent="0.2">
      <c r="A665" s="4" t="s">
        <v>667</v>
      </c>
      <c r="B665" s="7">
        <f>'Price Data'!B666/'Price Data'!B665-1</f>
        <v>-1.3405279382259216E-2</v>
      </c>
      <c r="C665" s="7">
        <f>'Price Data'!C666/'Price Data'!C665-1</f>
        <v>-1.3714287678219028E-2</v>
      </c>
      <c r="D665" s="7">
        <f>'Price Data'!D666/'Price Data'!D665-1</f>
        <v>-3.8182625143587945E-3</v>
      </c>
      <c r="E665" s="7">
        <f>'Price Data'!E666/'Price Data'!E665-1</f>
        <v>-2.2880996495302508E-3</v>
      </c>
    </row>
    <row r="666" spans="1:5" ht="15" customHeight="1" x14ac:dyDescent="0.2">
      <c r="A666" s="4" t="s">
        <v>668</v>
      </c>
      <c r="B666" s="7">
        <f>'Price Data'!B667/'Price Data'!B666-1</f>
        <v>6.8167033979940062E-3</v>
      </c>
      <c r="C666" s="7">
        <f>'Price Data'!C667/'Price Data'!C666-1</f>
        <v>6.737554116814426E-3</v>
      </c>
      <c r="D666" s="7">
        <f>'Price Data'!D667/'Price Data'!D666-1</f>
        <v>7.4191281568403156E-4</v>
      </c>
      <c r="E666" s="7">
        <f>'Price Data'!E667/'Price Data'!E666-1</f>
        <v>-6.2558743157048458E-4</v>
      </c>
    </row>
    <row r="667" spans="1:5" ht="15" customHeight="1" x14ac:dyDescent="0.2">
      <c r="A667" s="4" t="s">
        <v>669</v>
      </c>
      <c r="B667" s="7">
        <f>'Price Data'!B668/'Price Data'!B667-1</f>
        <v>6.4048044674280824E-3</v>
      </c>
      <c r="C667" s="7">
        <f>'Price Data'!C668/'Price Data'!C667-1</f>
        <v>1.0536652100941124E-2</v>
      </c>
      <c r="D667" s="7">
        <f>'Price Data'!D668/'Price Data'!D667-1</f>
        <v>9.3895338129477146E-3</v>
      </c>
      <c r="E667" s="7">
        <f>'Price Data'!E668/'Price Data'!E667-1</f>
        <v>2.190482417860462E-3</v>
      </c>
    </row>
    <row r="668" spans="1:5" ht="15" customHeight="1" x14ac:dyDescent="0.2">
      <c r="A668" s="4" t="s">
        <v>670</v>
      </c>
      <c r="B668" s="7">
        <f>'Price Data'!B669/'Price Data'!B668-1</f>
        <v>1.4546118323486068E-2</v>
      </c>
      <c r="C668" s="7">
        <f>'Price Data'!C669/'Price Data'!C668-1</f>
        <v>1.2399561613884336E-2</v>
      </c>
      <c r="D668" s="7">
        <f>'Price Data'!D669/'Price Data'!D668-1</f>
        <v>1.2117540298643537E-2</v>
      </c>
      <c r="E668" s="7">
        <f>'Price Data'!E669/'Price Data'!E668-1</f>
        <v>6.4528345240482121E-3</v>
      </c>
    </row>
    <row r="669" spans="1:5" ht="15" customHeight="1" x14ac:dyDescent="0.2">
      <c r="A669" s="4" t="s">
        <v>671</v>
      </c>
      <c r="B669" s="7">
        <f>'Price Data'!B670/'Price Data'!B669-1</f>
        <v>4.4356767139581699E-3</v>
      </c>
      <c r="C669" s="7">
        <f>'Price Data'!C670/'Price Data'!C669-1</f>
        <v>-5.5672934344097591E-4</v>
      </c>
      <c r="D669" s="7">
        <f>'Price Data'!D670/'Price Data'!D669-1</f>
        <v>3.627742159113545E-3</v>
      </c>
      <c r="E669" s="7">
        <f>'Price Data'!E670/'Price Data'!E669-1</f>
        <v>-4.1370808574292539E-4</v>
      </c>
    </row>
    <row r="670" spans="1:5" ht="15" customHeight="1" x14ac:dyDescent="0.2">
      <c r="A670" s="4" t="s">
        <v>672</v>
      </c>
      <c r="B670" s="7">
        <f>'Price Data'!B671/'Price Data'!B670-1</f>
        <v>-1.0705861878873568E-3</v>
      </c>
      <c r="C670" s="7">
        <f>'Price Data'!C671/'Price Data'!C670-1</f>
        <v>-3.899159514763384E-3</v>
      </c>
      <c r="D670" s="7">
        <f>'Price Data'!D671/'Price Data'!D670-1</f>
        <v>-7.350077367600738E-3</v>
      </c>
      <c r="E670" s="7">
        <f>'Price Data'!E671/'Price Data'!E670-1</f>
        <v>1.4485335305243208E-3</v>
      </c>
    </row>
    <row r="671" spans="1:5" ht="15" customHeight="1" x14ac:dyDescent="0.2">
      <c r="A671" s="4" t="s">
        <v>673</v>
      </c>
      <c r="B671" s="7">
        <f>'Price Data'!B672/'Price Data'!B671-1</f>
        <v>3.3044350604662931E-3</v>
      </c>
      <c r="C671" s="7">
        <f>'Price Data'!C672/'Price Data'!C671-1</f>
        <v>-5.5921995144869729E-4</v>
      </c>
      <c r="D671" s="7">
        <f>'Price Data'!D672/'Price Data'!D671-1</f>
        <v>1.6995048125862944E-3</v>
      </c>
      <c r="E671" s="7">
        <f>'Price Data'!E672/'Price Data'!E671-1</f>
        <v>-5.1792504776443371E-3</v>
      </c>
    </row>
    <row r="672" spans="1:5" ht="15" customHeight="1" x14ac:dyDescent="0.2">
      <c r="A672" s="4" t="s">
        <v>674</v>
      </c>
      <c r="B672" s="7">
        <f>'Price Data'!B673/'Price Data'!B672-1</f>
        <v>-5.964025813497198E-3</v>
      </c>
      <c r="C672" s="7">
        <f>'Price Data'!C673/'Price Data'!C672-1</f>
        <v>-8.6724074674897622E-3</v>
      </c>
      <c r="D672" s="7">
        <f>'Price Data'!D673/'Price Data'!D672-1</f>
        <v>-1.1633543938588953E-2</v>
      </c>
      <c r="E672" s="7">
        <f>'Price Data'!E673/'Price Data'!E672-1</f>
        <v>-5.4141520276974608E-3</v>
      </c>
    </row>
    <row r="673" spans="1:5" ht="15" customHeight="1" x14ac:dyDescent="0.2">
      <c r="A673" s="4" t="s">
        <v>675</v>
      </c>
      <c r="B673" s="7">
        <f>'Price Data'!B674/'Price Data'!B673-1</f>
        <v>-6.2685863913419793E-3</v>
      </c>
      <c r="C673" s="7">
        <f>'Price Data'!C674/'Price Data'!C673-1</f>
        <v>-2.1164859756489518E-3</v>
      </c>
      <c r="D673" s="7">
        <f>'Price Data'!D674/'Price Data'!D673-1</f>
        <v>-2.0843496899546343E-3</v>
      </c>
      <c r="E673" s="7">
        <f>'Price Data'!E674/'Price Data'!E673-1</f>
        <v>-9.4263438387021115E-4</v>
      </c>
    </row>
    <row r="674" spans="1:5" ht="15" customHeight="1" x14ac:dyDescent="0.2">
      <c r="A674" s="4" t="s">
        <v>676</v>
      </c>
      <c r="B674" s="7">
        <f>'Price Data'!B675/'Price Data'!B674-1</f>
        <v>-3.4242517061385813E-3</v>
      </c>
      <c r="C674" s="7">
        <f>'Price Data'!C675/'Price Data'!C674-1</f>
        <v>-3.2523433964463111E-3</v>
      </c>
      <c r="D674" s="7">
        <f>'Price Data'!D675/'Price Data'!D674-1</f>
        <v>6.266004269247949E-3</v>
      </c>
      <c r="E674" s="7">
        <f>'Price Data'!E675/'Price Data'!E674-1</f>
        <v>3.1439814620721762E-3</v>
      </c>
    </row>
    <row r="675" spans="1:5" ht="15" customHeight="1" x14ac:dyDescent="0.2">
      <c r="A675" s="4" t="s">
        <v>677</v>
      </c>
      <c r="B675" s="7">
        <f>'Price Data'!B676/'Price Data'!B675-1</f>
        <v>1.0850354947260499E-3</v>
      </c>
      <c r="C675" s="7">
        <f>'Price Data'!C676/'Price Data'!C675-1</f>
        <v>-1.4187952857143138E-3</v>
      </c>
      <c r="D675" s="7">
        <f>'Price Data'!D676/'Price Data'!D675-1</f>
        <v>-3.9070646711896195E-3</v>
      </c>
      <c r="E675" s="7">
        <f>'Price Data'!E676/'Price Data'!E675-1</f>
        <v>5.2228069313109415E-4</v>
      </c>
    </row>
    <row r="676" spans="1:5" ht="15" customHeight="1" x14ac:dyDescent="0.2">
      <c r="A676" s="4" t="s">
        <v>678</v>
      </c>
      <c r="B676" s="7">
        <f>'Price Data'!B677/'Price Data'!B676-1</f>
        <v>6.2776394917130052E-3</v>
      </c>
      <c r="C676" s="7">
        <f>'Price Data'!C677/'Price Data'!C676-1</f>
        <v>1.0370932807578059E-2</v>
      </c>
      <c r="D676" s="7">
        <f>'Price Data'!D677/'Price Data'!D676-1</f>
        <v>1.2269645308227162E-4</v>
      </c>
      <c r="E676" s="7">
        <f>'Price Data'!E677/'Price Data'!E676-1</f>
        <v>-1.1483999912029752E-3</v>
      </c>
    </row>
    <row r="677" spans="1:5" ht="15" customHeight="1" x14ac:dyDescent="0.2">
      <c r="A677" s="4" t="s">
        <v>679</v>
      </c>
      <c r="B677" s="7">
        <f>'Price Data'!B678/'Price Data'!B677-1</f>
        <v>-4.8471539755539084E-3</v>
      </c>
      <c r="C677" s="7">
        <f>'Price Data'!C678/'Price Data'!C677-1</f>
        <v>-4.0775993222383899E-3</v>
      </c>
      <c r="D677" s="7">
        <f>'Price Data'!D678/'Price Data'!D677-1</f>
        <v>-4.9030437834651774E-4</v>
      </c>
      <c r="E677" s="7">
        <f>'Price Data'!E678/'Price Data'!E677-1</f>
        <v>3.1351165999615738E-4</v>
      </c>
    </row>
    <row r="678" spans="1:5" ht="15" customHeight="1" x14ac:dyDescent="0.2">
      <c r="A678" s="4" t="s">
        <v>680</v>
      </c>
      <c r="B678" s="7">
        <f>'Price Data'!B679/'Price Data'!B678-1</f>
        <v>1.3543618289180159E-4</v>
      </c>
      <c r="C678" s="7">
        <f>'Price Data'!C679/'Price Data'!C678-1</f>
        <v>-3.1059877336864217E-3</v>
      </c>
      <c r="D678" s="7">
        <f>'Price Data'!D679/'Price Data'!D678-1</f>
        <v>-1.0913570330292943E-2</v>
      </c>
      <c r="E678" s="7">
        <f>'Price Data'!E679/'Price Data'!E678-1</f>
        <v>1.4629509145445141E-3</v>
      </c>
    </row>
    <row r="679" spans="1:5" ht="15" customHeight="1" x14ac:dyDescent="0.2">
      <c r="A679" s="4" t="s">
        <v>681</v>
      </c>
      <c r="B679" s="7">
        <f>'Price Data'!B680/'Price Data'!B679-1</f>
        <v>8.5677551937453078E-3</v>
      </c>
      <c r="C679" s="7">
        <f>'Price Data'!C680/'Price Data'!C679-1</f>
        <v>1.3170792454453073E-2</v>
      </c>
      <c r="D679" s="7">
        <f>'Price Data'!D680/'Price Data'!D679-1</f>
        <v>1.8100640185770622E-2</v>
      </c>
      <c r="E679" s="7">
        <f>'Price Data'!E680/'Price Data'!E679-1</f>
        <v>-1.3563180330471436E-3</v>
      </c>
    </row>
    <row r="680" spans="1:5" ht="15" customHeight="1" x14ac:dyDescent="0.2">
      <c r="A680" s="4" t="s">
        <v>682</v>
      </c>
      <c r="B680" s="7">
        <f>'Price Data'!B681/'Price Data'!B680-1</f>
        <v>-1.1758906716467177E-2</v>
      </c>
      <c r="C680" s="7">
        <f>'Price Data'!C681/'Price Data'!C680-1</f>
        <v>-2.2365671225570427E-3</v>
      </c>
      <c r="D680" s="7">
        <f>'Price Data'!D681/'Price Data'!D680-1</f>
        <v>-3.7751258732767745E-3</v>
      </c>
      <c r="E680" s="7">
        <f>'Price Data'!E681/'Price Data'!E680-1</f>
        <v>-2.2991007103732031E-3</v>
      </c>
    </row>
    <row r="681" spans="1:5" ht="15" customHeight="1" x14ac:dyDescent="0.2">
      <c r="A681" s="4" t="s">
        <v>683</v>
      </c>
      <c r="B681" s="7">
        <f>'Price Data'!B682/'Price Data'!B681-1</f>
        <v>9.0480983981455765E-5</v>
      </c>
      <c r="C681" s="7">
        <f>'Price Data'!C682/'Price Data'!C681-1</f>
        <v>-3.5022347693952627E-3</v>
      </c>
      <c r="D681" s="7">
        <f>'Price Data'!D682/'Price Data'!D681-1</f>
        <v>-8.9230492940108874E-3</v>
      </c>
      <c r="E681" s="7">
        <f>'Price Data'!E682/'Price Data'!E681-1</f>
        <v>1.466168704227E-3</v>
      </c>
    </row>
    <row r="682" spans="1:5" ht="15" customHeight="1" x14ac:dyDescent="0.2">
      <c r="A682" s="4" t="s">
        <v>684</v>
      </c>
      <c r="B682" s="7">
        <f>'Price Data'!B683/'Price Data'!B682-1</f>
        <v>-2.5333819492976417E-3</v>
      </c>
      <c r="C682" s="7">
        <f>'Price Data'!C683/'Price Data'!C682-1</f>
        <v>8.4354701266153853E-4</v>
      </c>
      <c r="D682" s="7">
        <f>'Price Data'!D683/'Price Data'!D682-1</f>
        <v>-4.5634200302595573E-3</v>
      </c>
      <c r="E682" s="7">
        <f>'Price Data'!E683/'Price Data'!E682-1</f>
        <v>-2.9276002737961271E-3</v>
      </c>
    </row>
    <row r="683" spans="1:5" ht="15" customHeight="1" x14ac:dyDescent="0.2">
      <c r="A683" s="4" t="s">
        <v>685</v>
      </c>
      <c r="B683" s="7">
        <f>'Price Data'!B684/'Price Data'!B683-1</f>
        <v>-8.8438616955487381E-3</v>
      </c>
      <c r="C683" s="7">
        <f>'Price Data'!C684/'Price Data'!C683-1</f>
        <v>-2.3880354490388722E-3</v>
      </c>
      <c r="D683" s="7">
        <f>'Price Data'!D684/'Price Data'!D683-1</f>
        <v>8.6738818431597586E-4</v>
      </c>
      <c r="E683" s="7">
        <f>'Price Data'!E684/'Price Data'!E683-1</f>
        <v>-5.2454029895765419E-4</v>
      </c>
    </row>
    <row r="684" spans="1:5" ht="15" customHeight="1" x14ac:dyDescent="0.2">
      <c r="A684" s="4" t="s">
        <v>686</v>
      </c>
      <c r="B684" s="7">
        <f>'Price Data'!B685/'Price Data'!B684-1</f>
        <v>-1.6772243075071858E-2</v>
      </c>
      <c r="C684" s="7">
        <f>'Price Data'!C685/'Price Data'!C684-1</f>
        <v>-1.6615040659905933E-2</v>
      </c>
      <c r="D684" s="7">
        <f>'Price Data'!D685/'Price Data'!D684-1</f>
        <v>-3.4043029330560137E-2</v>
      </c>
      <c r="E684" s="7">
        <f>'Price Data'!E685/'Price Data'!E684-1</f>
        <v>-6.8204634225013105E-3</v>
      </c>
    </row>
    <row r="685" spans="1:5" ht="15" customHeight="1" x14ac:dyDescent="0.2">
      <c r="A685" s="4" t="s">
        <v>687</v>
      </c>
      <c r="B685" s="7">
        <f>'Price Data'!B686/'Price Data'!B685-1</f>
        <v>-2.1019711593566193E-3</v>
      </c>
      <c r="C685" s="7">
        <f>'Price Data'!C686/'Price Data'!C685-1</f>
        <v>8.5918803999618376E-4</v>
      </c>
      <c r="D685" s="7">
        <f>'Price Data'!D686/'Price Data'!D685-1</f>
        <v>-7.5610578433922271E-3</v>
      </c>
      <c r="E685" s="7">
        <f>'Price Data'!E686/'Price Data'!E685-1</f>
        <v>4.225831554210302E-3</v>
      </c>
    </row>
    <row r="686" spans="1:5" ht="15" customHeight="1" x14ac:dyDescent="0.2">
      <c r="A686" s="4" t="s">
        <v>688</v>
      </c>
      <c r="B686" s="7">
        <f>'Price Data'!B687/'Price Data'!B686-1</f>
        <v>4.0255933073727324E-3</v>
      </c>
      <c r="C686" s="7">
        <f>'Price Data'!C687/'Price Data'!C686-1</f>
        <v>-4.4350775921209173E-3</v>
      </c>
      <c r="D686" s="7">
        <f>'Price Data'!D687/'Price Data'!D686-1</f>
        <v>-9.0390352740943314E-4</v>
      </c>
      <c r="E686" s="7">
        <f>'Price Data'!E687/'Price Data'!E686-1</f>
        <v>-7.8906169988132158E-3</v>
      </c>
    </row>
    <row r="687" spans="1:5" ht="15" customHeight="1" x14ac:dyDescent="0.2">
      <c r="A687" s="4" t="s">
        <v>689</v>
      </c>
      <c r="B687" s="7">
        <f>'Price Data'!B688/'Price Data'!B687-1</f>
        <v>-1.4405734248245206E-2</v>
      </c>
      <c r="C687" s="7">
        <f>'Price Data'!C688/'Price Data'!C687-1</f>
        <v>-1.2932856099979184E-2</v>
      </c>
      <c r="D687" s="7">
        <f>'Price Data'!D688/'Price Data'!D687-1</f>
        <v>-1.8224354226986983E-2</v>
      </c>
      <c r="E687" s="7">
        <f>'Price Data'!E688/'Price Data'!E687-1</f>
        <v>-1.2722660062849389E-3</v>
      </c>
    </row>
    <row r="688" spans="1:5" ht="15" customHeight="1" x14ac:dyDescent="0.2">
      <c r="A688" s="4" t="s">
        <v>690</v>
      </c>
      <c r="B688" s="7">
        <f>'Price Data'!B689/'Price Data'!B688-1</f>
        <v>1.0406707628716205E-3</v>
      </c>
      <c r="C688" s="7">
        <f>'Price Data'!C689/'Price Data'!C688-1</f>
        <v>-1.8926692579536164E-3</v>
      </c>
      <c r="D688" s="7">
        <f>'Price Data'!D689/'Price Data'!D688-1</f>
        <v>-6.7141559436498799E-3</v>
      </c>
      <c r="E688" s="7">
        <f>'Price Data'!E689/'Price Data'!E688-1</f>
        <v>-3.5039100493822195E-3</v>
      </c>
    </row>
    <row r="689" spans="1:5" ht="15" customHeight="1" x14ac:dyDescent="0.2">
      <c r="A689" s="4" t="s">
        <v>691</v>
      </c>
      <c r="B689" s="7">
        <f>'Price Data'!B690/'Price Data'!B689-1</f>
        <v>6.6154230245771828E-3</v>
      </c>
      <c r="C689" s="7">
        <f>'Price Data'!C690/'Price Data'!C689-1</f>
        <v>8.1682948604240302E-3</v>
      </c>
      <c r="D689" s="7">
        <f>'Price Data'!D690/'Price Data'!D689-1</f>
        <v>9.5954979972698862E-3</v>
      </c>
      <c r="E689" s="7">
        <f>'Price Data'!E690/'Price Data'!E689-1</f>
        <v>2.9831255505838872E-3</v>
      </c>
    </row>
    <row r="690" spans="1:5" ht="15" customHeight="1" x14ac:dyDescent="0.2">
      <c r="A690" s="4" t="s">
        <v>692</v>
      </c>
      <c r="B690" s="7">
        <f>'Price Data'!B691/'Price Data'!B690-1</f>
        <v>-2.9103816255986459E-3</v>
      </c>
      <c r="C690" s="7">
        <f>'Price Data'!C691/'Price Data'!C690-1</f>
        <v>-2.8936512669071046E-3</v>
      </c>
      <c r="D690" s="7">
        <f>'Price Data'!D691/'Price Data'!D690-1</f>
        <v>2.9162700573230893E-3</v>
      </c>
      <c r="E690" s="7">
        <f>'Price Data'!E691/'Price Data'!E690-1</f>
        <v>-9.5601310948911777E-4</v>
      </c>
    </row>
    <row r="691" spans="1:5" ht="15" customHeight="1" x14ac:dyDescent="0.2">
      <c r="A691" s="4" t="s">
        <v>693</v>
      </c>
      <c r="B691" s="7">
        <f>'Price Data'!B692/'Price Data'!B691-1</f>
        <v>-1.3183152456803793E-3</v>
      </c>
      <c r="C691" s="7">
        <f>'Price Data'!C692/'Price Data'!C691-1</f>
        <v>-1.4654552752083161E-2</v>
      </c>
      <c r="D691" s="7">
        <f>'Price Data'!D692/'Price Data'!D691-1</f>
        <v>-1.837188043769733E-2</v>
      </c>
      <c r="E691" s="7">
        <f>'Price Data'!E692/'Price Data'!E691-1</f>
        <v>-6.9624321325463256E-3</v>
      </c>
    </row>
    <row r="692" spans="1:5" ht="15" customHeight="1" x14ac:dyDescent="0.2">
      <c r="A692" s="4" t="s">
        <v>694</v>
      </c>
      <c r="B692" s="7">
        <f>'Price Data'!B693/'Price Data'!B692-1</f>
        <v>-1.4519343095891979E-2</v>
      </c>
      <c r="C692" s="7">
        <f>'Price Data'!C693/'Price Data'!C692-1</f>
        <v>-1.2516754693999377E-2</v>
      </c>
      <c r="D692" s="7">
        <f>'Price Data'!D693/'Price Data'!D692-1</f>
        <v>-1.952321397719281E-2</v>
      </c>
      <c r="E692" s="7">
        <f>'Price Data'!E693/'Price Data'!E692-1</f>
        <v>-7.8388075276121238E-3</v>
      </c>
    </row>
    <row r="693" spans="1:5" ht="15" customHeight="1" x14ac:dyDescent="0.2">
      <c r="A693" s="4" t="s">
        <v>695</v>
      </c>
      <c r="B693" s="7">
        <f>'Price Data'!B694/'Price Data'!B693-1</f>
        <v>7.2231253787158334E-3</v>
      </c>
      <c r="C693" s="7">
        <f>'Price Data'!C694/'Price Data'!C693-1</f>
        <v>1.7894872499037984E-3</v>
      </c>
      <c r="D693" s="7">
        <f>'Price Data'!D694/'Price Data'!D693-1</f>
        <v>1.2222080442427785E-2</v>
      </c>
      <c r="E693" s="7">
        <f>'Price Data'!E694/'Price Data'!E693-1</f>
        <v>7.0346454293364058E-3</v>
      </c>
    </row>
    <row r="694" spans="1:5" ht="15" customHeight="1" x14ac:dyDescent="0.2">
      <c r="A694" s="4" t="s">
        <v>696</v>
      </c>
      <c r="B694" s="7">
        <f>'Price Data'!B695/'Price Data'!B694-1</f>
        <v>-5.224358639763782E-4</v>
      </c>
      <c r="C694" s="7">
        <f>'Price Data'!C695/'Price Data'!C694-1</f>
        <v>8.7822840289555337E-3</v>
      </c>
      <c r="D694" s="7">
        <f>'Price Data'!D695/'Price Data'!D694-1</f>
        <v>5.5623877124142407E-3</v>
      </c>
      <c r="E694" s="7">
        <f>'Price Data'!E695/'Price Data'!E694-1</f>
        <v>6.4473740151504977E-4</v>
      </c>
    </row>
    <row r="695" spans="1:5" ht="15" customHeight="1" x14ac:dyDescent="0.2">
      <c r="A695" s="4" t="s">
        <v>697</v>
      </c>
      <c r="B695" s="7">
        <f>'Price Data'!B696/'Price Data'!B695-1</f>
        <v>1.1926871545629769E-2</v>
      </c>
      <c r="C695" s="7">
        <f>'Price Data'!C696/'Price Data'!C695-1</f>
        <v>1.1067060452958355E-2</v>
      </c>
      <c r="D695" s="7">
        <f>'Price Data'!D696/'Price Data'!D695-1</f>
        <v>2.6983057867890903E-3</v>
      </c>
      <c r="E695" s="7">
        <f>'Price Data'!E696/'Price Data'!E695-1</f>
        <v>-3.8662048388917736E-3</v>
      </c>
    </row>
    <row r="696" spans="1:5" ht="15" customHeight="1" x14ac:dyDescent="0.2">
      <c r="A696" s="4" t="s">
        <v>698</v>
      </c>
      <c r="B696" s="7">
        <f>'Price Data'!B697/'Price Data'!B696-1</f>
        <v>6.2922930289397438E-3</v>
      </c>
      <c r="C696" s="7">
        <f>'Price Data'!C697/'Price Data'!C696-1</f>
        <v>-1.4595254942608715E-3</v>
      </c>
      <c r="D696" s="7">
        <f>'Price Data'!D697/'Price Data'!D696-1</f>
        <v>1.0898478444681281E-2</v>
      </c>
      <c r="E696" s="7">
        <f>'Price Data'!E697/'Price Data'!E696-1</f>
        <v>1.0350259715491861E-2</v>
      </c>
    </row>
    <row r="697" spans="1:5" ht="15" customHeight="1" x14ac:dyDescent="0.2">
      <c r="A697" s="4" t="s">
        <v>699</v>
      </c>
      <c r="B697" s="7">
        <f>'Price Data'!B698/'Price Data'!B697-1</f>
        <v>6.2062353991916286E-3</v>
      </c>
      <c r="C697" s="7">
        <f>'Price Data'!C698/'Price Data'!C697-1</f>
        <v>1.3738588313602751E-2</v>
      </c>
      <c r="D697" s="7">
        <f>'Price Data'!D698/'Price Data'!D697-1</f>
        <v>4.7918622266847066E-3</v>
      </c>
      <c r="E697" s="7">
        <f>'Price Data'!E698/'Price Data'!E697-1</f>
        <v>-9.6056599086469241E-4</v>
      </c>
    </row>
    <row r="698" spans="1:5" ht="15" customHeight="1" x14ac:dyDescent="0.2">
      <c r="A698" s="4" t="s">
        <v>700</v>
      </c>
      <c r="B698" s="7">
        <f>'Price Data'!B699/'Price Data'!B698-1</f>
        <v>3.9417974866422512E-3</v>
      </c>
      <c r="C698" s="7">
        <f>'Price Data'!C699/'Price Data'!C698-1</f>
        <v>4.1810684469278936E-3</v>
      </c>
      <c r="D698" s="7">
        <f>'Price Data'!D699/'Price Data'!D698-1</f>
        <v>1.7353474036911898E-2</v>
      </c>
      <c r="E698" s="7">
        <f>'Price Data'!E699/'Price Data'!E698-1</f>
        <v>4.5930897620081179E-3</v>
      </c>
    </row>
    <row r="699" spans="1:5" ht="15" customHeight="1" x14ac:dyDescent="0.2">
      <c r="A699" s="4" t="s">
        <v>701</v>
      </c>
      <c r="B699" s="7">
        <f>'Price Data'!B700/'Price Data'!B699-1</f>
        <v>-8.0376088738212115E-3</v>
      </c>
      <c r="C699" s="7">
        <f>'Price Data'!C700/'Price Data'!C699-1</f>
        <v>-8.3273799752460187E-3</v>
      </c>
      <c r="D699" s="7">
        <f>'Price Data'!D700/'Price Data'!D699-1</f>
        <v>-1.4583506682708802E-2</v>
      </c>
      <c r="E699" s="7">
        <f>'Price Data'!E700/'Price Data'!E699-1</f>
        <v>-8.6126710142689911E-3</v>
      </c>
    </row>
    <row r="700" spans="1:5" ht="15" customHeight="1" x14ac:dyDescent="0.2">
      <c r="A700" s="4" t="s">
        <v>702</v>
      </c>
      <c r="B700" s="7">
        <f>'Price Data'!B701/'Price Data'!B700-1</f>
        <v>-5.6347836281818164E-3</v>
      </c>
      <c r="C700" s="7">
        <f>'Price Data'!C701/'Price Data'!C700-1</f>
        <v>-9.2657706423682207E-3</v>
      </c>
      <c r="D700" s="7">
        <f>'Price Data'!D701/'Price Data'!D700-1</f>
        <v>-2.5105740038589008E-3</v>
      </c>
      <c r="E700" s="7">
        <f>'Price Data'!E701/'Price Data'!E700-1</f>
        <v>4.2900069793585516E-3</v>
      </c>
    </row>
    <row r="701" spans="1:5" ht="15" customHeight="1" x14ac:dyDescent="0.2">
      <c r="A701" s="4" t="s">
        <v>703</v>
      </c>
      <c r="B701" s="7">
        <f>'Price Data'!B702/'Price Data'!B701-1</f>
        <v>1.1614342592189297E-2</v>
      </c>
      <c r="C701" s="7">
        <f>'Price Data'!C702/'Price Data'!C701-1</f>
        <v>7.3067356567260155E-3</v>
      </c>
      <c r="D701" s="7">
        <f>'Price Data'!D702/'Price Data'!D701-1</f>
        <v>1.1922242675632022E-2</v>
      </c>
      <c r="E701" s="7">
        <f>'Price Data'!E702/'Price Data'!E701-1</f>
        <v>-5.5526702147764562E-3</v>
      </c>
    </row>
    <row r="702" spans="1:5" ht="15" customHeight="1" x14ac:dyDescent="0.2">
      <c r="A702" s="4" t="s">
        <v>704</v>
      </c>
      <c r="B702" s="7">
        <f>'Price Data'!B703/'Price Data'!B702-1</f>
        <v>1.2961980581820409E-3</v>
      </c>
      <c r="C702" s="7">
        <f>'Price Data'!C703/'Price Data'!C702-1</f>
        <v>5.8025255183657976E-4</v>
      </c>
      <c r="D702" s="7">
        <f>'Price Data'!D703/'Price Data'!D702-1</f>
        <v>-1.440056907199283E-3</v>
      </c>
      <c r="E702" s="7">
        <f>'Price Data'!E703/'Price Data'!E702-1</f>
        <v>-7.1951248578364657E-3</v>
      </c>
    </row>
    <row r="703" spans="1:5" ht="15" customHeight="1" x14ac:dyDescent="0.2">
      <c r="A703" s="4" t="s">
        <v>705</v>
      </c>
      <c r="B703" s="7">
        <f>'Price Data'!B704/'Price Data'!B703-1</f>
        <v>-1.4794891496842877E-2</v>
      </c>
      <c r="C703" s="7">
        <f>'Price Data'!C704/'Price Data'!C703-1</f>
        <v>-1.7399000840431333E-2</v>
      </c>
      <c r="D703" s="7">
        <f>'Price Data'!D704/'Price Data'!D703-1</f>
        <v>-2.1237448400607484E-2</v>
      </c>
      <c r="E703" s="7">
        <f>'Price Data'!E704/'Price Data'!E703-1</f>
        <v>-4.6513081197038231E-3</v>
      </c>
    </row>
    <row r="704" spans="1:5" ht="15" customHeight="1" x14ac:dyDescent="0.2">
      <c r="A704" s="4" t="s">
        <v>706</v>
      </c>
      <c r="B704" s="7">
        <f>'Price Data'!B705/'Price Data'!B704-1</f>
        <v>-9.4326075074169236E-3</v>
      </c>
      <c r="C704" s="7">
        <f>'Price Data'!C705/'Price Data'!C704-1</f>
        <v>-8.8533886143145057E-3</v>
      </c>
      <c r="D704" s="7">
        <f>'Price Data'!D705/'Price Data'!D704-1</f>
        <v>-2.3707584311665975E-2</v>
      </c>
      <c r="E704" s="7">
        <f>'Price Data'!E705/'Price Data'!E704-1</f>
        <v>-3.8033727626590741E-3</v>
      </c>
    </row>
    <row r="705" spans="1:5" ht="15" customHeight="1" x14ac:dyDescent="0.2">
      <c r="A705" s="4" t="s">
        <v>707</v>
      </c>
      <c r="B705" s="7">
        <f>'Price Data'!B706/'Price Data'!B705-1</f>
        <v>-1.2365072390312593E-2</v>
      </c>
      <c r="C705" s="7">
        <f>'Price Data'!C706/'Price Data'!C705-1</f>
        <v>-8.9324712536106299E-3</v>
      </c>
      <c r="D705" s="7">
        <f>'Price Data'!D706/'Price Data'!D705-1</f>
        <v>-6.7224298948674877E-3</v>
      </c>
      <c r="E705" s="7">
        <f>'Price Data'!E706/'Price Data'!E705-1</f>
        <v>3.5998074927752199E-3</v>
      </c>
    </row>
    <row r="706" spans="1:5" ht="15" customHeight="1" x14ac:dyDescent="0.2">
      <c r="A706" s="4" t="s">
        <v>708</v>
      </c>
      <c r="B706" s="7">
        <f>'Price Data'!B707/'Price Data'!B706-1</f>
        <v>-2.7341014639773453E-3</v>
      </c>
      <c r="C706" s="7">
        <f>'Price Data'!C707/'Price Data'!C706-1</f>
        <v>7.5110785260257273E-4</v>
      </c>
      <c r="D706" s="7">
        <f>'Price Data'!D707/'Price Data'!D706-1</f>
        <v>-9.8067653176582281E-3</v>
      </c>
      <c r="E706" s="7">
        <f>'Price Data'!E707/'Price Data'!E706-1</f>
        <v>3.9130353513832095E-3</v>
      </c>
    </row>
    <row r="707" spans="1:5" ht="15" customHeight="1" x14ac:dyDescent="0.2">
      <c r="A707" s="4" t="s">
        <v>709</v>
      </c>
      <c r="B707" s="7">
        <f>'Price Data'!B708/'Price Data'!B707-1</f>
        <v>7.5516772677082233E-3</v>
      </c>
      <c r="C707" s="7">
        <f>'Price Data'!C708/'Price Data'!C707-1</f>
        <v>5.7039465220019014E-3</v>
      </c>
      <c r="D707" s="7">
        <f>'Price Data'!D708/'Price Data'!D707-1</f>
        <v>1.2833004533018499E-2</v>
      </c>
      <c r="E707" s="7">
        <f>'Price Data'!E708/'Price Data'!E707-1</f>
        <v>3.5729144195502105E-3</v>
      </c>
    </row>
    <row r="708" spans="1:5" ht="15" customHeight="1" x14ac:dyDescent="0.2">
      <c r="A708" s="4" t="s">
        <v>710</v>
      </c>
      <c r="B708" s="7">
        <f>'Price Data'!B709/'Price Data'!B708-1</f>
        <v>-1.484686116807743E-2</v>
      </c>
      <c r="C708" s="7">
        <f>'Price Data'!C709/'Price Data'!C708-1</f>
        <v>-7.1642332570144296E-3</v>
      </c>
      <c r="D708" s="7">
        <f>'Price Data'!D709/'Price Data'!D708-1</f>
        <v>-2.1484515993546838E-2</v>
      </c>
      <c r="E708" s="7">
        <f>'Price Data'!E709/'Price Data'!E708-1</f>
        <v>-7.4441004736041094E-3</v>
      </c>
    </row>
    <row r="709" spans="1:5" ht="15" customHeight="1" x14ac:dyDescent="0.2">
      <c r="A709" s="4" t="s">
        <v>711</v>
      </c>
      <c r="B709" s="7">
        <f>'Price Data'!B710/'Price Data'!B709-1</f>
        <v>-1.0370395461038684E-2</v>
      </c>
      <c r="C709" s="7">
        <f>'Price Data'!C710/'Price Data'!C709-1</f>
        <v>-7.2158038478836728E-3</v>
      </c>
      <c r="D709" s="7">
        <f>'Price Data'!D710/'Price Data'!D709-1</f>
        <v>1.9141337750493648E-2</v>
      </c>
      <c r="E709" s="7">
        <f>'Price Data'!E710/'Price Data'!E709-1</f>
        <v>6.739182939213828E-3</v>
      </c>
    </row>
    <row r="710" spans="1:5" ht="15" customHeight="1" x14ac:dyDescent="0.2">
      <c r="A710" s="4" t="s">
        <v>712</v>
      </c>
      <c r="B710" s="7">
        <f>'Price Data'!B711/'Price Data'!B710-1</f>
        <v>-5.3863164470382419E-3</v>
      </c>
      <c r="C710" s="7">
        <f>'Price Data'!C711/'Price Data'!C710-1</f>
        <v>-3.0286067875673339E-3</v>
      </c>
      <c r="D710" s="7">
        <f>'Price Data'!D711/'Price Data'!D710-1</f>
        <v>-1.6019741264309828E-2</v>
      </c>
      <c r="E710" s="7">
        <f>'Price Data'!E711/'Price Data'!E710-1</f>
        <v>-3.2423117197832863E-4</v>
      </c>
    </row>
    <row r="711" spans="1:5" ht="15" customHeight="1" x14ac:dyDescent="0.2">
      <c r="A711" s="4" t="s">
        <v>713</v>
      </c>
      <c r="B711" s="7">
        <f>'Price Data'!B712/'Price Data'!B711-1</f>
        <v>1.1520316111095941E-2</v>
      </c>
      <c r="C711" s="7">
        <f>'Price Data'!C712/'Price Data'!C711-1</f>
        <v>1.2758331530231315E-2</v>
      </c>
      <c r="D711" s="7">
        <f>'Price Data'!D712/'Price Data'!D711-1</f>
        <v>6.3157404460447708E-3</v>
      </c>
      <c r="E711" s="7">
        <f>'Price Data'!E712/'Price Data'!E711-1</f>
        <v>-2.3757521949658855E-3</v>
      </c>
    </row>
    <row r="712" spans="1:5" ht="15" customHeight="1" x14ac:dyDescent="0.2">
      <c r="A712" s="4" t="s">
        <v>714</v>
      </c>
      <c r="B712" s="7">
        <f>'Price Data'!B713/'Price Data'!B712-1</f>
        <v>6.4731843910805775E-3</v>
      </c>
      <c r="C712" s="7">
        <f>'Price Data'!C713/'Price Data'!C712-1</f>
        <v>3.5993701856436022E-3</v>
      </c>
      <c r="D712" s="7">
        <f>'Price Data'!D713/'Price Data'!D712-1</f>
        <v>1.7015162974651776E-2</v>
      </c>
      <c r="E712" s="7">
        <f>'Price Data'!E713/'Price Data'!E712-1</f>
        <v>-6.4975887388574183E-4</v>
      </c>
    </row>
    <row r="713" spans="1:5" ht="15" customHeight="1" x14ac:dyDescent="0.2">
      <c r="A713" s="4" t="s">
        <v>715</v>
      </c>
      <c r="B713" s="7">
        <f>'Price Data'!B714/'Price Data'!B713-1</f>
        <v>1.0010278246824766E-2</v>
      </c>
      <c r="C713" s="7">
        <f>'Price Data'!C714/'Price Data'!C713-1</f>
        <v>9.4140848267210142E-3</v>
      </c>
      <c r="D713" s="7">
        <f>'Price Data'!D714/'Price Data'!D713-1</f>
        <v>6.1713333246984359E-3</v>
      </c>
      <c r="E713" s="7">
        <f>'Price Data'!E714/'Price Data'!E713-1</f>
        <v>1.1050513170645315E-2</v>
      </c>
    </row>
    <row r="714" spans="1:5" ht="15" customHeight="1" x14ac:dyDescent="0.2">
      <c r="A714" s="4" t="s">
        <v>716</v>
      </c>
      <c r="B714" s="7">
        <f>'Price Data'!B715/'Price Data'!B714-1</f>
        <v>1.9869530348019415E-2</v>
      </c>
      <c r="C714" s="7">
        <f>'Price Data'!C715/'Price Data'!C714-1</f>
        <v>2.0429389392311759E-2</v>
      </c>
      <c r="D714" s="7">
        <f>'Price Data'!D715/'Price Data'!D714-1</f>
        <v>3.2847399753367368E-2</v>
      </c>
      <c r="E714" s="7">
        <f>'Price Data'!E715/'Price Data'!E714-1</f>
        <v>6.0181293605547914E-3</v>
      </c>
    </row>
    <row r="715" spans="1:5" ht="15" customHeight="1" x14ac:dyDescent="0.2">
      <c r="A715" s="4" t="s">
        <v>717</v>
      </c>
      <c r="B715" s="7">
        <f>'Price Data'!B716/'Price Data'!B715-1</f>
        <v>1.1267255128150078E-2</v>
      </c>
      <c r="C715" s="7">
        <f>'Price Data'!C716/'Price Data'!C715-1</f>
        <v>1.0590536331999578E-2</v>
      </c>
      <c r="D715" s="7">
        <f>'Price Data'!D716/'Price Data'!D715-1</f>
        <v>2.3884718792472226E-2</v>
      </c>
      <c r="E715" s="7">
        <f>'Price Data'!E716/'Price Data'!E715-1</f>
        <v>6.0893127472732012E-3</v>
      </c>
    </row>
    <row r="716" spans="1:5" ht="15" customHeight="1" x14ac:dyDescent="0.2">
      <c r="A716" s="4" t="s">
        <v>718</v>
      </c>
      <c r="B716" s="7">
        <f>'Price Data'!B717/'Price Data'!B716-1</f>
        <v>4.1795026267155144E-4</v>
      </c>
      <c r="C716" s="7">
        <f>'Price Data'!C717/'Price Data'!C716-1</f>
        <v>-5.0245895691706233E-3</v>
      </c>
      <c r="D716" s="7">
        <f>'Price Data'!D717/'Price Data'!D716-1</f>
        <v>-1.4434804523182132E-2</v>
      </c>
      <c r="E716" s="7">
        <f>'Price Data'!E717/'Price Data'!E716-1</f>
        <v>-4.990506379912274E-3</v>
      </c>
    </row>
    <row r="717" spans="1:5" ht="15" customHeight="1" x14ac:dyDescent="0.2">
      <c r="A717" s="4" t="s">
        <v>719</v>
      </c>
      <c r="B717" s="7">
        <f>'Price Data'!B718/'Price Data'!B717-1</f>
        <v>2.9697075592431954E-3</v>
      </c>
      <c r="C717" s="7">
        <f>'Price Data'!C718/'Price Data'!C717-1</f>
        <v>-6.0597022994139937E-3</v>
      </c>
      <c r="D717" s="7">
        <f>'Price Data'!D718/'Price Data'!D717-1</f>
        <v>-8.2386168906847246E-3</v>
      </c>
      <c r="E717" s="7">
        <f>'Price Data'!E718/'Price Data'!E717-1</f>
        <v>5.3356655652920804E-3</v>
      </c>
    </row>
    <row r="718" spans="1:5" ht="15" customHeight="1" x14ac:dyDescent="0.2">
      <c r="A718" s="4" t="s">
        <v>720</v>
      </c>
      <c r="B718" s="7">
        <f>'Price Data'!B719/'Price Data'!B718-1</f>
        <v>-1.3872427372374485E-4</v>
      </c>
      <c r="C718" s="7">
        <f>'Price Data'!C719/'Price Data'!C718-1</f>
        <v>-1.3063416095476788E-3</v>
      </c>
      <c r="D718" s="7">
        <f>'Price Data'!D719/'Price Data'!D718-1</f>
        <v>3.2965004765632688E-3</v>
      </c>
      <c r="E718" s="7">
        <f>'Price Data'!E719/'Price Data'!E718-1</f>
        <v>3.3965875447399263E-3</v>
      </c>
    </row>
    <row r="719" spans="1:5" ht="15" customHeight="1" x14ac:dyDescent="0.2">
      <c r="A719" s="4" t="s">
        <v>721</v>
      </c>
      <c r="B719" s="7">
        <f>'Price Data'!B720/'Price Data'!B719-1</f>
        <v>-8.5142859359074174E-3</v>
      </c>
      <c r="C719" s="7">
        <f>'Price Data'!C720/'Price Data'!C719-1</f>
        <v>-1.454133864376983E-4</v>
      </c>
      <c r="D719" s="7">
        <f>'Price Data'!D720/'Price Data'!D719-1</f>
        <v>-1.577078752508021E-2</v>
      </c>
      <c r="E719" s="7">
        <f>'Price Data'!E720/'Price Data'!E719-1</f>
        <v>-8.3572084552552273E-3</v>
      </c>
    </row>
    <row r="720" spans="1:5" ht="15" customHeight="1" x14ac:dyDescent="0.2">
      <c r="A720" s="4" t="s">
        <v>722</v>
      </c>
      <c r="B720" s="7">
        <f>'Price Data'!B721/'Price Data'!B720-1</f>
        <v>1.4887796290703248E-2</v>
      </c>
      <c r="C720" s="7">
        <f>'Price Data'!C721/'Price Data'!C720-1</f>
        <v>4.5063990281288824E-3</v>
      </c>
      <c r="D720" s="7">
        <f>'Price Data'!D721/'Price Data'!D720-1</f>
        <v>9.3469698985613192E-3</v>
      </c>
      <c r="E720" s="7">
        <f>'Price Data'!E721/'Price Data'!E720-1</f>
        <v>2.3470426451783766E-3</v>
      </c>
    </row>
    <row r="721" spans="1:5" ht="15" customHeight="1" x14ac:dyDescent="0.2">
      <c r="A721" s="4" t="s">
        <v>723</v>
      </c>
      <c r="B721" s="7">
        <f>'Price Data'!B722/'Price Data'!B721-1</f>
        <v>-5.9770772288381124E-4</v>
      </c>
      <c r="C721" s="7">
        <f>'Price Data'!C722/'Price Data'!C721-1</f>
        <v>2.6049251627631165E-3</v>
      </c>
      <c r="D721" s="7">
        <f>'Price Data'!D722/'Price Data'!D721-1</f>
        <v>-8.3344168142736041E-3</v>
      </c>
      <c r="E721" s="7">
        <f>'Price Data'!E722/'Price Data'!E721-1</f>
        <v>-1.0642578006325731E-4</v>
      </c>
    </row>
    <row r="722" spans="1:5" ht="15" customHeight="1" x14ac:dyDescent="0.2">
      <c r="A722" s="4" t="s">
        <v>724</v>
      </c>
      <c r="B722" s="7">
        <f>'Price Data'!B723/'Price Data'!B722-1</f>
        <v>2.2178038600854544E-2</v>
      </c>
      <c r="C722" s="7">
        <f>'Price Data'!C723/'Price Data'!C722-1</f>
        <v>2.5548474805460852E-2</v>
      </c>
      <c r="D722" s="7">
        <f>'Price Data'!D723/'Price Data'!D722-1</f>
        <v>5.5496268914667413E-2</v>
      </c>
      <c r="E722" s="7">
        <f>'Price Data'!E723/'Price Data'!E722-1</f>
        <v>1.2559848399038565E-2</v>
      </c>
    </row>
    <row r="723" spans="1:5" ht="15" customHeight="1" x14ac:dyDescent="0.2">
      <c r="A723" s="4" t="s">
        <v>725</v>
      </c>
      <c r="B723" s="7">
        <f>'Price Data'!B724/'Price Data'!B723-1</f>
        <v>2.4758258340957795E-3</v>
      </c>
      <c r="C723" s="7">
        <f>'Price Data'!C724/'Price Data'!C723-1</f>
        <v>-1.5481264154574292E-3</v>
      </c>
      <c r="D723" s="7">
        <f>'Price Data'!D724/'Price Data'!D723-1</f>
        <v>2.9069973782176461E-3</v>
      </c>
      <c r="E723" s="7">
        <f>'Price Data'!E724/'Price Data'!E723-1</f>
        <v>-6.2018057193682363E-3</v>
      </c>
    </row>
    <row r="724" spans="1:5" ht="15" customHeight="1" x14ac:dyDescent="0.2">
      <c r="A724" s="4" t="s">
        <v>726</v>
      </c>
      <c r="B724" s="7">
        <f>'Price Data'!B725/'Price Data'!B724-1</f>
        <v>-6.7347369337134033E-4</v>
      </c>
      <c r="C724" s="7">
        <f>'Price Data'!C725/'Price Data'!C724-1</f>
        <v>-7.0472046915237563E-4</v>
      </c>
      <c r="D724" s="7">
        <f>'Price Data'!D725/'Price Data'!D724-1</f>
        <v>-2.1422403864591599E-3</v>
      </c>
      <c r="E724" s="7">
        <f>'Price Data'!E725/'Price Data'!E724-1</f>
        <v>5.4999195983489457E-3</v>
      </c>
    </row>
    <row r="725" spans="1:5" ht="15" customHeight="1" x14ac:dyDescent="0.2">
      <c r="A725" s="4" t="s">
        <v>727</v>
      </c>
      <c r="B725" s="7">
        <f>'Price Data'!B726/'Price Data'!B725-1</f>
        <v>2.516356280291232E-3</v>
      </c>
      <c r="C725" s="7">
        <f>'Price Data'!C726/'Price Data'!C725-1</f>
        <v>1.35419723811121E-2</v>
      </c>
      <c r="D725" s="7">
        <f>'Price Data'!D726/'Price Data'!D725-1</f>
        <v>-7.5795457366423236E-4</v>
      </c>
      <c r="E725" s="7">
        <f>'Price Data'!E726/'Price Data'!E725-1</f>
        <v>1.9986024442557593E-3</v>
      </c>
    </row>
    <row r="726" spans="1:5" ht="15" customHeight="1" x14ac:dyDescent="0.2">
      <c r="A726" s="4" t="s">
        <v>728</v>
      </c>
      <c r="B726" s="7">
        <f>'Price Data'!B727/'Price Data'!B726-1</f>
        <v>7.5296950888124048E-3</v>
      </c>
      <c r="C726" s="7">
        <f>'Price Data'!C727/'Price Data'!C726-1</f>
        <v>3.7579230682180942E-3</v>
      </c>
      <c r="D726" s="7">
        <f>'Price Data'!D727/'Price Data'!D726-1</f>
        <v>7.3305160302148398E-3</v>
      </c>
      <c r="E726" s="7">
        <f>'Price Data'!E727/'Price Data'!E726-1</f>
        <v>1.5752988598902729E-3</v>
      </c>
    </row>
    <row r="727" spans="1:5" ht="15" customHeight="1" x14ac:dyDescent="0.2">
      <c r="A727" s="4" t="s">
        <v>729</v>
      </c>
      <c r="B727" s="7">
        <f>'Price Data'!B728/'Price Data'!B727-1</f>
        <v>-2.7135214073105152E-3</v>
      </c>
      <c r="C727" s="7">
        <f>'Price Data'!C728/'Price Data'!C727-1</f>
        <v>-3.882631439655837E-3</v>
      </c>
      <c r="D727" s="7">
        <f>'Price Data'!D728/'Price Data'!D727-1</f>
        <v>-7.0261674290540421E-3</v>
      </c>
      <c r="E727" s="7">
        <f>'Price Data'!E728/'Price Data'!E727-1</f>
        <v>1.0479277553985256E-3</v>
      </c>
    </row>
    <row r="728" spans="1:5" ht="15" customHeight="1" x14ac:dyDescent="0.2">
      <c r="A728" s="4" t="s">
        <v>730</v>
      </c>
      <c r="B728" s="7">
        <f>'Price Data'!B729/'Price Data'!B728-1</f>
        <v>4.2822274580622821E-3</v>
      </c>
      <c r="C728" s="7">
        <f>'Price Data'!C729/'Price Data'!C728-1</f>
        <v>2.3665460329489463E-3</v>
      </c>
      <c r="D728" s="7">
        <f>'Price Data'!D729/'Price Data'!D728-1</f>
        <v>4.927851467727784E-3</v>
      </c>
      <c r="E728" s="7">
        <f>'Price Data'!E729/'Price Data'!E728-1</f>
        <v>9.4229802034306864E-4</v>
      </c>
    </row>
    <row r="729" spans="1:5" ht="15" customHeight="1" x14ac:dyDescent="0.2">
      <c r="A729" s="4" t="s">
        <v>731</v>
      </c>
      <c r="B729" s="7">
        <f>'Price Data'!B730/'Price Data'!B729-1</f>
        <v>1.0662027700025778E-3</v>
      </c>
      <c r="C729" s="7">
        <f>'Price Data'!C730/'Price Data'!C729-1</f>
        <v>7.6377864213559299E-3</v>
      </c>
      <c r="D729" s="7">
        <f>'Price Data'!D730/'Price Data'!D729-1</f>
        <v>2.8921181408485541E-3</v>
      </c>
      <c r="E729" s="7">
        <f>'Price Data'!E730/'Price Data'!E729-1</f>
        <v>-4.6029737452814024E-3</v>
      </c>
    </row>
    <row r="730" spans="1:5" ht="15" customHeight="1" x14ac:dyDescent="0.2">
      <c r="A730" s="4" t="s">
        <v>732</v>
      </c>
      <c r="B730" s="7">
        <f>'Price Data'!B731/'Price Data'!B730-1</f>
        <v>-1.2867953911118724E-3</v>
      </c>
      <c r="C730" s="7">
        <f>'Price Data'!C731/'Price Data'!C730-1</f>
        <v>-3.4455108488259389E-3</v>
      </c>
      <c r="D730" s="7">
        <f>'Price Data'!D731/'Price Data'!D730-1</f>
        <v>3.6357941372393565E-3</v>
      </c>
      <c r="E730" s="7">
        <f>'Price Data'!E731/'Price Data'!E730-1</f>
        <v>5.675384414781659E-3</v>
      </c>
    </row>
    <row r="731" spans="1:5" ht="15" customHeight="1" x14ac:dyDescent="0.2">
      <c r="A731" s="4" t="s">
        <v>733</v>
      </c>
      <c r="B731" s="7">
        <f>'Price Data'!B732/'Price Data'!B731-1</f>
        <v>6.2191990863036395E-4</v>
      </c>
      <c r="C731" s="7">
        <f>'Price Data'!C732/'Price Data'!C731-1</f>
        <v>2.7682572244347448E-4</v>
      </c>
      <c r="D731" s="7">
        <f>'Price Data'!D732/'Price Data'!D731-1</f>
        <v>6.621172700898903E-3</v>
      </c>
      <c r="E731" s="7">
        <f>'Price Data'!E732/'Price Data'!E731-1</f>
        <v>4.3893358846798236E-3</v>
      </c>
    </row>
    <row r="732" spans="1:5" ht="15" customHeight="1" x14ac:dyDescent="0.2">
      <c r="A732" s="4" t="s">
        <v>734</v>
      </c>
      <c r="B732" s="7">
        <f>'Price Data'!B733/'Price Data'!B732-1</f>
        <v>4.4396243388233891E-4</v>
      </c>
      <c r="C732" s="7">
        <f>'Price Data'!C733/'Price Data'!C732-1</f>
        <v>2.0737640683696767E-3</v>
      </c>
      <c r="D732" s="7">
        <f>'Price Data'!D733/'Price Data'!D732-1</f>
        <v>6.9493276389016589E-3</v>
      </c>
      <c r="E732" s="7">
        <f>'Price Data'!E733/'Price Data'!E732-1</f>
        <v>4.8900273302678876E-3</v>
      </c>
    </row>
    <row r="733" spans="1:5" ht="15" customHeight="1" x14ac:dyDescent="0.2">
      <c r="A733" s="4" t="s">
        <v>735</v>
      </c>
      <c r="B733" s="7">
        <f>'Price Data'!B734/'Price Data'!B733-1</f>
        <v>4.1273061431881253E-3</v>
      </c>
      <c r="C733" s="7">
        <f>'Price Data'!C734/'Price Data'!C733-1</f>
        <v>-8.2795090074339051E-4</v>
      </c>
      <c r="D733" s="7">
        <f>'Price Data'!D734/'Price Data'!D733-1</f>
        <v>7.2713479506270051E-3</v>
      </c>
      <c r="E733" s="7">
        <f>'Price Data'!E734/'Price Data'!E733-1</f>
        <v>-3.3130634179763252E-3</v>
      </c>
    </row>
    <row r="734" spans="1:5" ht="15" customHeight="1" x14ac:dyDescent="0.2">
      <c r="A734" s="4" t="s">
        <v>736</v>
      </c>
      <c r="B734" s="7">
        <f>'Price Data'!B735/'Price Data'!B734-1</f>
        <v>8.4416886536544666E-3</v>
      </c>
      <c r="C734" s="7">
        <f>'Price Data'!C735/'Price Data'!C734-1</f>
        <v>1.0494370674006159E-2</v>
      </c>
      <c r="D734" s="7">
        <f>'Price Data'!D735/'Price Data'!D734-1</f>
        <v>2.4593172106603722E-2</v>
      </c>
      <c r="E734" s="7">
        <f>'Price Data'!E735/'Price Data'!E734-1</f>
        <v>8.7930179482218485E-3</v>
      </c>
    </row>
    <row r="735" spans="1:5" ht="15" customHeight="1" x14ac:dyDescent="0.2">
      <c r="A735" s="4" t="s">
        <v>737</v>
      </c>
      <c r="B735" s="7">
        <f>'Price Data'!B736/'Price Data'!B735-1</f>
        <v>-3.5939577650708765E-3</v>
      </c>
      <c r="C735" s="7">
        <f>'Price Data'!C736/'Price Data'!C735-1</f>
        <v>-7.7888651461508474E-3</v>
      </c>
      <c r="D735" s="7">
        <f>'Price Data'!D736/'Price Data'!D735-1</f>
        <v>7.2844775027443021E-3</v>
      </c>
      <c r="E735" s="7">
        <f>'Price Data'!E736/'Price Data'!E735-1</f>
        <v>-3.8212959669220448E-3</v>
      </c>
    </row>
    <row r="736" spans="1:5" ht="15" customHeight="1" x14ac:dyDescent="0.2">
      <c r="A736" s="4" t="s">
        <v>738</v>
      </c>
      <c r="B736" s="7">
        <f>'Price Data'!B737/'Price Data'!B736-1</f>
        <v>-1.9352054996822909E-3</v>
      </c>
      <c r="C736" s="7">
        <f>'Price Data'!C737/'Price Data'!C736-1</f>
        <v>-3.5809787331255727E-3</v>
      </c>
      <c r="D736" s="7">
        <f>'Price Data'!D737/'Price Data'!D736-1</f>
        <v>-6.639033952568707E-3</v>
      </c>
      <c r="E736" s="7">
        <f>'Price Data'!E737/'Price Data'!E736-1</f>
        <v>6.6348668477893558E-3</v>
      </c>
    </row>
    <row r="737" spans="1:5" ht="15" customHeight="1" x14ac:dyDescent="0.2">
      <c r="A737" s="4" t="s">
        <v>739</v>
      </c>
      <c r="B737" s="7">
        <f>'Price Data'!B738/'Price Data'!B737-1</f>
        <v>-4.230846162262436E-3</v>
      </c>
      <c r="C737" s="7">
        <f>'Price Data'!C738/'Price Data'!C737-1</f>
        <v>3.0409663244865826E-3</v>
      </c>
      <c r="D737" s="7">
        <f>'Price Data'!D738/'Price Data'!D737-1</f>
        <v>-2.9836268147007683E-3</v>
      </c>
      <c r="E737" s="7">
        <f>'Price Data'!E738/'Price Data'!E737-1</f>
        <v>2.574735501132519E-3</v>
      </c>
    </row>
    <row r="738" spans="1:5" ht="15" customHeight="1" x14ac:dyDescent="0.2">
      <c r="A738" s="4" t="s">
        <v>740</v>
      </c>
      <c r="B738" s="7">
        <f>'Price Data'!B739/'Price Data'!B738-1</f>
        <v>8.0107930416326578E-3</v>
      </c>
      <c r="C738" s="7">
        <f>'Price Data'!C739/'Price Data'!C738-1</f>
        <v>4.8229344080226166E-3</v>
      </c>
      <c r="D738" s="7">
        <f>'Price Data'!D739/'Price Data'!D738-1</f>
        <v>2.8727717786336537E-3</v>
      </c>
      <c r="E738" s="7">
        <f>'Price Data'!E739/'Price Data'!E738-1</f>
        <v>3.0806059891985704E-4</v>
      </c>
    </row>
    <row r="739" spans="1:5" ht="15" customHeight="1" x14ac:dyDescent="0.2">
      <c r="A739" s="4" t="s">
        <v>741</v>
      </c>
      <c r="B739" s="7">
        <f>'Price Data'!B740/'Price Data'!B739-1</f>
        <v>4.7855949585424717E-3</v>
      </c>
      <c r="C739" s="7">
        <f>'Price Data'!C740/'Price Data'!C739-1</f>
        <v>3.0168502882870207E-3</v>
      </c>
      <c r="D739" s="7">
        <f>'Price Data'!D740/'Price Data'!D739-1</f>
        <v>-1.6709493291620081E-3</v>
      </c>
      <c r="E739" s="7">
        <f>'Price Data'!E740/'Price Data'!E739-1</f>
        <v>-5.0318365299584222E-3</v>
      </c>
    </row>
    <row r="740" spans="1:5" ht="15" customHeight="1" x14ac:dyDescent="0.2">
      <c r="A740" s="4" t="s">
        <v>742</v>
      </c>
      <c r="B740" s="7">
        <f>'Price Data'!B741/'Price Data'!B740-1</f>
        <v>4.1074961597606929E-3</v>
      </c>
      <c r="C740" s="7">
        <f>'Price Data'!C741/'Price Data'!C740-1</f>
        <v>2.461210012213888E-3</v>
      </c>
      <c r="D740" s="7">
        <f>'Price Data'!D741/'Price Data'!D740-1</f>
        <v>2.7499000961179743E-3</v>
      </c>
      <c r="E740" s="7">
        <f>'Price Data'!E741/'Price Data'!E740-1</f>
        <v>1.0300055837553224E-4</v>
      </c>
    </row>
    <row r="741" spans="1:5" ht="15" customHeight="1" x14ac:dyDescent="0.2">
      <c r="A741" s="4" t="s">
        <v>743</v>
      </c>
      <c r="B741" s="7">
        <f>'Price Data'!B742/'Price Data'!B741-1</f>
        <v>3.7861627056863245E-3</v>
      </c>
      <c r="C741" s="7">
        <f>'Price Data'!C742/'Price Data'!C741-1</f>
        <v>1.7728651819890473E-3</v>
      </c>
      <c r="D741" s="7">
        <f>'Price Data'!D742/'Price Data'!D741-1</f>
        <v>-5.9625760844717046E-4</v>
      </c>
      <c r="E741" s="7">
        <f>'Price Data'!E742/'Price Data'!E741-1</f>
        <v>2.9930530888426787E-3</v>
      </c>
    </row>
    <row r="742" spans="1:5" ht="15" customHeight="1" x14ac:dyDescent="0.2">
      <c r="A742" s="4" t="s">
        <v>744</v>
      </c>
      <c r="B742" s="7">
        <f>'Price Data'!B743/'Price Data'!B742-1</f>
        <v>1.5520626636295276E-2</v>
      </c>
      <c r="C742" s="7">
        <f>'Price Data'!C743/'Price Data'!C742-1</f>
        <v>1.4567870660488813E-2</v>
      </c>
      <c r="D742" s="7">
        <f>'Price Data'!D743/'Price Data'!D742-1</f>
        <v>3.8296445059544437E-2</v>
      </c>
      <c r="E742" s="7">
        <f>'Price Data'!E743/'Price Data'!E742-1</f>
        <v>1.2552581514615913E-2</v>
      </c>
    </row>
    <row r="743" spans="1:5" ht="15" customHeight="1" x14ac:dyDescent="0.2">
      <c r="A743" s="4" t="s">
        <v>745</v>
      </c>
      <c r="B743" s="7">
        <f>'Price Data'!B744/'Price Data'!B743-1</f>
        <v>5.9341335213778379E-3</v>
      </c>
      <c r="C743" s="7">
        <f>'Price Data'!C744/'Price Data'!C743-1</f>
        <v>7.380640795392468E-3</v>
      </c>
      <c r="D743" s="7">
        <f>'Price Data'!D744/'Price Data'!D743-1</f>
        <v>2.8840682356907843E-2</v>
      </c>
      <c r="E743" s="7">
        <f>'Price Data'!E744/'Price Data'!E743-1</f>
        <v>8.0712678013543648E-3</v>
      </c>
    </row>
    <row r="744" spans="1:5" ht="15" customHeight="1" x14ac:dyDescent="0.2">
      <c r="A744" s="4" t="s">
        <v>746</v>
      </c>
      <c r="B744" s="7">
        <f>'Price Data'!B745/'Price Data'!B744-1</f>
        <v>-1.3582033245845837E-3</v>
      </c>
      <c r="C744" s="7">
        <f>'Price Data'!C745/'Price Data'!C744-1</f>
        <v>-9.724499499086936E-3</v>
      </c>
      <c r="D744" s="7">
        <f>'Price Data'!D745/'Price Data'!D744-1</f>
        <v>-1.407198563275136E-2</v>
      </c>
      <c r="E744" s="7">
        <f>'Price Data'!E745/'Price Data'!E744-1</f>
        <v>-2.3249531902299614E-3</v>
      </c>
    </row>
    <row r="745" spans="1:5" ht="15" customHeight="1" x14ac:dyDescent="0.2">
      <c r="A745" s="4" t="s">
        <v>747</v>
      </c>
      <c r="B745" s="7">
        <f>'Price Data'!B746/'Price Data'!B745-1</f>
        <v>4.3347956940211763E-3</v>
      </c>
      <c r="C745" s="7">
        <f>'Price Data'!C746/'Price Data'!C745-1</f>
        <v>2.4214811481348963E-3</v>
      </c>
      <c r="D745" s="7">
        <f>'Price Data'!D746/'Price Data'!D745-1</f>
        <v>-2.2654050774263412E-3</v>
      </c>
      <c r="E745" s="7">
        <f>'Price Data'!E746/'Price Data'!E745-1</f>
        <v>-2.0268536840536422E-3</v>
      </c>
    </row>
    <row r="746" spans="1:5" ht="15" customHeight="1" x14ac:dyDescent="0.2">
      <c r="A746" s="4" t="s">
        <v>748</v>
      </c>
      <c r="B746" s="7">
        <f>'Price Data'!B747/'Price Data'!B746-1</f>
        <v>7.3202162673757787E-3</v>
      </c>
      <c r="C746" s="7">
        <f>'Price Data'!C747/'Price Data'!C746-1</f>
        <v>8.4539799374907521E-3</v>
      </c>
      <c r="D746" s="7">
        <f>'Price Data'!D747/'Price Data'!D746-1</f>
        <v>7.6068166506007007E-3</v>
      </c>
      <c r="E746" s="7">
        <f>'Price Data'!E747/'Price Data'!E746-1</f>
        <v>1.2184115715849764E-3</v>
      </c>
    </row>
    <row r="747" spans="1:5" ht="15" customHeight="1" x14ac:dyDescent="0.2">
      <c r="A747" s="4" t="s">
        <v>749</v>
      </c>
      <c r="B747" s="7">
        <f>'Price Data'!B748/'Price Data'!B747-1</f>
        <v>-1.4912158564181266E-2</v>
      </c>
      <c r="C747" s="7">
        <f>'Price Data'!C748/'Price Data'!C747-1</f>
        <v>-1.0091610086591096E-2</v>
      </c>
      <c r="D747" s="7">
        <f>'Price Data'!D748/'Price Data'!D747-1</f>
        <v>-1.2169148518184292E-2</v>
      </c>
      <c r="E747" s="7">
        <f>'Price Data'!E748/'Price Data'!E747-1</f>
        <v>3.6507013946998068E-3</v>
      </c>
    </row>
    <row r="748" spans="1:5" ht="15" customHeight="1" x14ac:dyDescent="0.2">
      <c r="A748" s="4" t="s">
        <v>750</v>
      </c>
      <c r="B748" s="7">
        <f>'Price Data'!B749/'Price Data'!B748-1</f>
        <v>1.1057381586144777E-2</v>
      </c>
      <c r="C748" s="7">
        <f>'Price Data'!C749/'Price Data'!C748-1</f>
        <v>1.6196947343667611E-2</v>
      </c>
      <c r="D748" s="7">
        <f>'Price Data'!D749/'Price Data'!D748-1</f>
        <v>8.8682408659641609E-3</v>
      </c>
      <c r="E748" s="7">
        <f>'Price Data'!E749/'Price Data'!E748-1</f>
        <v>-1.0114085527213046E-4</v>
      </c>
    </row>
    <row r="749" spans="1:5" ht="15" customHeight="1" x14ac:dyDescent="0.2">
      <c r="A749" s="4" t="s">
        <v>751</v>
      </c>
      <c r="B749" s="7">
        <f>'Price Data'!B750/'Price Data'!B749-1</f>
        <v>2.2873374455723017E-3</v>
      </c>
      <c r="C749" s="7">
        <f>'Price Data'!C750/'Price Data'!C749-1</f>
        <v>9.3774533067669807E-4</v>
      </c>
      <c r="D749" s="7">
        <f>'Price Data'!D750/'Price Data'!D749-1</f>
        <v>3.8914118217949767E-3</v>
      </c>
      <c r="E749" s="7">
        <f>'Price Data'!E750/'Price Data'!E749-1</f>
        <v>-1.3135215241362186E-3</v>
      </c>
    </row>
    <row r="750" spans="1:5" ht="15" customHeight="1" x14ac:dyDescent="0.2">
      <c r="A750" s="4" t="s">
        <v>752</v>
      </c>
      <c r="B750" s="7">
        <f>'Price Data'!B751/'Price Data'!B750-1</f>
        <v>4.9444104026297175E-3</v>
      </c>
      <c r="C750" s="7">
        <f>'Price Data'!C751/'Price Data'!C750-1</f>
        <v>4.549625413915459E-3</v>
      </c>
      <c r="D750" s="7">
        <f>'Price Data'!D751/'Price Data'!D750-1</f>
        <v>7.4109162954192342E-3</v>
      </c>
      <c r="E750" s="7">
        <f>'Price Data'!E751/'Price Data'!E750-1</f>
        <v>2.0235582455514489E-3</v>
      </c>
    </row>
    <row r="751" spans="1:5" ht="15" customHeight="1" x14ac:dyDescent="0.2">
      <c r="A751" s="4" t="s">
        <v>753</v>
      </c>
      <c r="B751" s="7">
        <f>'Price Data'!B752/'Price Data'!B751-1</f>
        <v>1.8924518657794653E-3</v>
      </c>
      <c r="C751" s="7">
        <f>'Price Data'!C752/'Price Data'!C751-1</f>
        <v>5.3283172874711848E-3</v>
      </c>
      <c r="D751" s="7">
        <f>'Price Data'!D752/'Price Data'!D751-1</f>
        <v>4.8662464758835178E-3</v>
      </c>
      <c r="E751" s="7">
        <f>'Price Data'!E752/'Price Data'!E751-1</f>
        <v>6.3618235299707226E-3</v>
      </c>
    </row>
    <row r="752" spans="1:5" ht="15" customHeight="1" x14ac:dyDescent="0.2">
      <c r="A752" s="4" t="s">
        <v>754</v>
      </c>
      <c r="B752" s="7">
        <f>'Price Data'!B753/'Price Data'!B752-1</f>
        <v>-5.0376228870940842E-4</v>
      </c>
      <c r="C752" s="7">
        <f>'Price Data'!C753/'Price Data'!C752-1</f>
        <v>-2.6502029390707005E-3</v>
      </c>
      <c r="D752" s="7">
        <f>'Price Data'!D753/'Price Data'!D752-1</f>
        <v>7.0954669364804435E-3</v>
      </c>
      <c r="E752" s="7">
        <f>'Price Data'!E753/'Price Data'!E752-1</f>
        <v>-2.2076708810996326E-3</v>
      </c>
    </row>
    <row r="753" spans="1:5" ht="15" customHeight="1" x14ac:dyDescent="0.2">
      <c r="A753" s="4" t="s">
        <v>755</v>
      </c>
      <c r="B753" s="7">
        <f>'Price Data'!B754/'Price Data'!B753-1</f>
        <v>-3.8213843847565432E-3</v>
      </c>
      <c r="C753" s="7">
        <f>'Price Data'!C754/'Price Data'!C753-1</f>
        <v>1.0628980712206193E-3</v>
      </c>
      <c r="D753" s="7">
        <f>'Price Data'!D754/'Price Data'!D753-1</f>
        <v>-1.1854037800720252E-2</v>
      </c>
      <c r="E753" s="7">
        <f>'Price Data'!E754/'Price Data'!E753-1</f>
        <v>-1.9103980902434037E-3</v>
      </c>
    </row>
    <row r="754" spans="1:5" ht="15" customHeight="1" x14ac:dyDescent="0.2">
      <c r="A754" s="4" t="s">
        <v>756</v>
      </c>
      <c r="B754" s="7">
        <f>'Price Data'!B755/'Price Data'!B754-1</f>
        <v>-6.7026708258712819E-3</v>
      </c>
      <c r="C754" s="7">
        <f>'Price Data'!C755/'Price Data'!C754-1</f>
        <v>-1.1147810863953334E-2</v>
      </c>
      <c r="D754" s="7">
        <f>'Price Data'!D755/'Price Data'!D754-1</f>
        <v>8.601046649662214E-3</v>
      </c>
      <c r="E754" s="7">
        <f>'Price Data'!E755/'Price Data'!E754-1</f>
        <v>-4.735639703529082E-3</v>
      </c>
    </row>
    <row r="755" spans="1:5" ht="15" customHeight="1" x14ac:dyDescent="0.2">
      <c r="A755" s="4" t="s">
        <v>757</v>
      </c>
      <c r="B755" s="7">
        <f>'Price Data'!B756/'Price Data'!B755-1</f>
        <v>-9.5913682697671421E-3</v>
      </c>
      <c r="C755" s="7">
        <f>'Price Data'!C756/'Price Data'!C755-1</f>
        <v>-7.5158422109786738E-3</v>
      </c>
      <c r="D755" s="7">
        <f>'Price Data'!D756/'Price Data'!D755-1</f>
        <v>-2.3900496339349986E-2</v>
      </c>
      <c r="E755" s="7">
        <f>'Price Data'!E756/'Price Data'!E755-1</f>
        <v>5.0616687915683301E-4</v>
      </c>
    </row>
    <row r="756" spans="1:5" ht="15" customHeight="1" x14ac:dyDescent="0.2">
      <c r="A756" s="4" t="s">
        <v>758</v>
      </c>
      <c r="B756" s="7">
        <f>'Price Data'!B757/'Price Data'!B756-1</f>
        <v>-2.5710103018526942E-3</v>
      </c>
      <c r="C756" s="7">
        <f>'Price Data'!C757/'Price Data'!C756-1</f>
        <v>2.2989748761759188E-3</v>
      </c>
      <c r="D756" s="7">
        <f>'Price Data'!D757/'Price Data'!D756-1</f>
        <v>-1.8390763281888045E-3</v>
      </c>
      <c r="E756" s="7">
        <f>'Price Data'!E757/'Price Data'!E756-1</f>
        <v>-4.0474563707165734E-3</v>
      </c>
    </row>
    <row r="757" spans="1:5" ht="15" customHeight="1" x14ac:dyDescent="0.2">
      <c r="A757" s="4" t="s">
        <v>759</v>
      </c>
      <c r="B757" s="7">
        <f>'Price Data'!B758/'Price Data'!B757-1</f>
        <v>1.5037063981451215E-3</v>
      </c>
      <c r="C757" s="7">
        <f>'Price Data'!C758/'Price Data'!C757-1</f>
        <v>6.7439476755448702E-4</v>
      </c>
      <c r="D757" s="7">
        <f>'Price Data'!D758/'Price Data'!D757-1</f>
        <v>-2.5336431567930529E-3</v>
      </c>
      <c r="E757" s="7">
        <f>'Price Data'!E758/'Price Data'!E757-1</f>
        <v>-2.3365277339703061E-3</v>
      </c>
    </row>
    <row r="758" spans="1:5" ht="15" customHeight="1" x14ac:dyDescent="0.2">
      <c r="A758" s="4" t="s">
        <v>760</v>
      </c>
      <c r="B758" s="7">
        <f>'Price Data'!B759/'Price Data'!B758-1</f>
        <v>1.4284499393388383E-2</v>
      </c>
      <c r="C758" s="7">
        <f>'Price Data'!C759/'Price Data'!C758-1</f>
        <v>1.0651225197285008E-2</v>
      </c>
      <c r="D758" s="7">
        <f>'Price Data'!D759/'Price Data'!D758-1</f>
        <v>1.4316851952119292E-2</v>
      </c>
      <c r="E758" s="7">
        <f>'Price Data'!E759/'Price Data'!E758-1</f>
        <v>3.768048372768007E-3</v>
      </c>
    </row>
    <row r="759" spans="1:5" ht="15" customHeight="1" x14ac:dyDescent="0.2">
      <c r="A759" s="4" t="s">
        <v>761</v>
      </c>
      <c r="B759" s="7">
        <f>'Price Data'!B760/'Price Data'!B759-1</f>
        <v>-1.8609013067646396E-3</v>
      </c>
      <c r="C759" s="7">
        <f>'Price Data'!C760/'Price Data'!C759-1</f>
        <v>-8.9380318107393775E-3</v>
      </c>
      <c r="D759" s="7">
        <f>'Price Data'!D760/'Price Data'!D759-1</f>
        <v>-6.7158575412680221E-3</v>
      </c>
      <c r="E759" s="7">
        <f>'Price Data'!E760/'Price Data'!E759-1</f>
        <v>-2.0318770411920095E-4</v>
      </c>
    </row>
    <row r="760" spans="1:5" ht="15" customHeight="1" x14ac:dyDescent="0.2">
      <c r="A760" s="4" t="s">
        <v>762</v>
      </c>
      <c r="B760" s="7">
        <f>'Price Data'!B761/'Price Data'!B760-1</f>
        <v>5.1692368623503793E-3</v>
      </c>
      <c r="C760" s="7">
        <f>'Price Data'!C761/'Price Data'!C760-1</f>
        <v>6.4610691609652271E-3</v>
      </c>
      <c r="D760" s="7">
        <f>'Price Data'!D761/'Price Data'!D760-1</f>
        <v>1.1459983830606202E-3</v>
      </c>
      <c r="E760" s="7">
        <f>'Price Data'!E761/'Price Data'!E760-1</f>
        <v>-1.9280765333989924E-3</v>
      </c>
    </row>
    <row r="761" spans="1:5" ht="15" customHeight="1" x14ac:dyDescent="0.2">
      <c r="A761" s="4" t="s">
        <v>763</v>
      </c>
      <c r="B761" s="7">
        <f>'Price Data'!B762/'Price Data'!B761-1</f>
        <v>-6.7432772167996813E-4</v>
      </c>
      <c r="C761" s="7">
        <f>'Price Data'!C762/'Price Data'!C761-1</f>
        <v>-1.3375072120824782E-4</v>
      </c>
      <c r="D761" s="7">
        <f>'Price Data'!D762/'Price Data'!D761-1</f>
        <v>-9.2717976823011305E-3</v>
      </c>
      <c r="E761" s="7">
        <f>'Price Data'!E762/'Price Data'!E761-1</f>
        <v>5.6936354719243631E-3</v>
      </c>
    </row>
    <row r="762" spans="1:5" ht="15" customHeight="1" x14ac:dyDescent="0.2">
      <c r="A762" s="4" t="s">
        <v>764</v>
      </c>
      <c r="B762" s="7">
        <f>'Price Data'!B763/'Price Data'!B762-1</f>
        <v>1.6857944781567546E-4</v>
      </c>
      <c r="C762" s="7">
        <f>'Price Data'!C763/'Price Data'!C762-1</f>
        <v>4.1467162629298393E-3</v>
      </c>
      <c r="D762" s="7">
        <f>'Price Data'!D763/'Price Data'!D762-1</f>
        <v>6.0077456517391159E-3</v>
      </c>
      <c r="E762" s="7">
        <f>'Price Data'!E763/'Price Data'!E762-1</f>
        <v>1.8194178542001449E-3</v>
      </c>
    </row>
    <row r="763" spans="1:5" ht="15" customHeight="1" x14ac:dyDescent="0.2">
      <c r="A763" s="4" t="s">
        <v>765</v>
      </c>
      <c r="B763" s="7">
        <f>'Price Data'!B764/'Price Data'!B763-1</f>
        <v>-4.6391380812838001E-3</v>
      </c>
      <c r="C763" s="7">
        <f>'Price Data'!C764/'Price Data'!C763-1</f>
        <v>-1.6784359359088064E-2</v>
      </c>
      <c r="D763" s="7">
        <f>'Price Data'!D764/'Price Data'!D763-1</f>
        <v>-7.3502218176261236E-3</v>
      </c>
      <c r="E763" s="7">
        <f>'Price Data'!E764/'Price Data'!E763-1</f>
        <v>-7.4672333519533174E-3</v>
      </c>
    </row>
    <row r="764" spans="1:5" ht="15" customHeight="1" x14ac:dyDescent="0.2">
      <c r="A764" s="4" t="s">
        <v>766</v>
      </c>
      <c r="B764" s="7">
        <f>'Price Data'!B765/'Price Data'!B764-1</f>
        <v>-6.0167872761877073E-3</v>
      </c>
      <c r="C764" s="7">
        <f>'Price Data'!C765/'Price Data'!C764-1</f>
        <v>-9.4838738477438511E-3</v>
      </c>
      <c r="D764" s="7">
        <f>'Price Data'!D765/'Price Data'!D764-1</f>
        <v>-1.8280792126813328E-2</v>
      </c>
      <c r="E764" s="7">
        <f>'Price Data'!E765/'Price Data'!E764-1</f>
        <v>-2.7449215621437872E-3</v>
      </c>
    </row>
    <row r="765" spans="1:5" ht="15" customHeight="1" x14ac:dyDescent="0.2">
      <c r="A765" s="4" t="s">
        <v>767</v>
      </c>
      <c r="B765" s="7">
        <f>'Price Data'!B766/'Price Data'!B765-1</f>
        <v>8.8239676943850931E-3</v>
      </c>
      <c r="C765" s="7">
        <f>'Price Data'!C766/'Price Data'!C765-1</f>
        <v>8.8907409063985199E-3</v>
      </c>
      <c r="D765" s="7">
        <f>'Price Data'!D766/'Price Data'!D765-1</f>
        <v>-5.4214016136509002E-3</v>
      </c>
      <c r="E765" s="7">
        <f>'Price Data'!E766/'Price Data'!E765-1</f>
        <v>-9.1740668751494336E-4</v>
      </c>
    </row>
    <row r="766" spans="1:5" ht="15" customHeight="1" x14ac:dyDescent="0.2">
      <c r="A766" s="4" t="s">
        <v>768</v>
      </c>
      <c r="B766" s="7">
        <f>'Price Data'!B767/'Price Data'!B766-1</f>
        <v>1.2169262495208111E-2</v>
      </c>
      <c r="C766" s="7">
        <f>'Price Data'!C767/'Price Data'!C766-1</f>
        <v>2.3047846813708528E-3</v>
      </c>
      <c r="D766" s="7">
        <f>'Price Data'!D767/'Price Data'!D766-1</f>
        <v>1.1968252656028744E-2</v>
      </c>
      <c r="E766" s="7">
        <f>'Price Data'!E767/'Price Data'!E766-1</f>
        <v>2.0394110181021219E-4</v>
      </c>
    </row>
    <row r="767" spans="1:5" ht="15" customHeight="1" x14ac:dyDescent="0.2">
      <c r="A767" s="4" t="s">
        <v>769</v>
      </c>
      <c r="B767" s="7">
        <f>'Price Data'!B768/'Price Data'!B767-1</f>
        <v>4.3418151282623718E-3</v>
      </c>
      <c r="C767" s="7">
        <f>'Price Data'!C768/'Price Data'!C767-1</f>
        <v>3.111107278947145E-3</v>
      </c>
      <c r="D767" s="7">
        <f>'Price Data'!D768/'Price Data'!D767-1</f>
        <v>5.9722117646019424E-3</v>
      </c>
      <c r="E767" s="7">
        <f>'Price Data'!E768/'Price Data'!E767-1</f>
        <v>1.8364664179209012E-3</v>
      </c>
    </row>
    <row r="768" spans="1:5" ht="15" customHeight="1" x14ac:dyDescent="0.2">
      <c r="A768" s="4" t="s">
        <v>770</v>
      </c>
      <c r="B768" s="7">
        <f>'Price Data'!B769/'Price Data'!B768-1</f>
        <v>1.8287591554986271E-3</v>
      </c>
      <c r="C768" s="7">
        <f>'Price Data'!C769/'Price Data'!C768-1</f>
        <v>-2.8317565754307772E-3</v>
      </c>
      <c r="D768" s="7">
        <f>'Price Data'!D769/'Price Data'!D768-1</f>
        <v>-6.867804882487949E-3</v>
      </c>
      <c r="E768" s="7">
        <f>'Price Data'!E769/'Price Data'!E768-1</f>
        <v>-2.4441048167879176E-3</v>
      </c>
    </row>
    <row r="769" spans="1:5" ht="15" customHeight="1" x14ac:dyDescent="0.2">
      <c r="A769" s="4" t="s">
        <v>771</v>
      </c>
      <c r="B769" s="7">
        <f>'Price Data'!B770/'Price Data'!B769-1</f>
        <v>-1.6588202097089777E-4</v>
      </c>
      <c r="C769" s="7">
        <f>'Price Data'!C770/'Price Data'!C769-1</f>
        <v>7.5727578641877624E-3</v>
      </c>
      <c r="D769" s="7">
        <f>'Price Data'!D770/'Price Data'!D769-1</f>
        <v>-1.4299240661012069E-2</v>
      </c>
      <c r="E769" s="7">
        <f>'Price Data'!E770/'Price Data'!E769-1</f>
        <v>-2.2456400712849156E-3</v>
      </c>
    </row>
    <row r="770" spans="1:5" ht="15" customHeight="1" x14ac:dyDescent="0.2">
      <c r="A770" s="4" t="s">
        <v>772</v>
      </c>
      <c r="B770" s="7">
        <f>'Price Data'!B771/'Price Data'!B770-1</f>
        <v>5.560681464135353E-3</v>
      </c>
      <c r="C770" s="7">
        <f>'Price Data'!C771/'Price Data'!C770-1</f>
        <v>2.8183436103732529E-3</v>
      </c>
      <c r="D770" s="7">
        <f>'Price Data'!D771/'Price Data'!D770-1</f>
        <v>1.2841973039741328E-2</v>
      </c>
      <c r="E770" s="7">
        <f>'Price Data'!E771/'Price Data'!E770-1</f>
        <v>4.5015604762406181E-3</v>
      </c>
    </row>
    <row r="771" spans="1:5" ht="15" customHeight="1" x14ac:dyDescent="0.2">
      <c r="A771" s="4" t="s">
        <v>773</v>
      </c>
      <c r="B771" s="7">
        <f>'Price Data'!B772/'Price Data'!B771-1</f>
        <v>-8.2535026862129435E-4</v>
      </c>
      <c r="C771" s="7">
        <f>'Price Data'!C772/'Price Data'!C771-1</f>
        <v>4.4165054231861678E-3</v>
      </c>
      <c r="D771" s="7">
        <f>'Price Data'!D772/'Price Data'!D771-1</f>
        <v>-2.8175774281180566E-3</v>
      </c>
      <c r="E771" s="7">
        <f>'Price Data'!E772/'Price Data'!E771-1</f>
        <v>-1.1203895763649552E-3</v>
      </c>
    </row>
    <row r="772" spans="1:5" ht="15" customHeight="1" x14ac:dyDescent="0.2">
      <c r="A772" s="4" t="s">
        <v>774</v>
      </c>
      <c r="B772" s="7">
        <f>'Price Data'!B773/'Price Data'!B772-1</f>
        <v>9.0863523782032107E-3</v>
      </c>
      <c r="C772" s="7">
        <f>'Price Data'!C773/'Price Data'!C772-1</f>
        <v>5.8626338170331138E-3</v>
      </c>
      <c r="D772" s="7">
        <f>'Price Data'!D773/'Price Data'!D772-1</f>
        <v>6.5929563903406319E-3</v>
      </c>
      <c r="E772" s="7">
        <f>'Price Data'!E773/'Price Data'!E772-1</f>
        <v>3.9765823483921547E-3</v>
      </c>
    </row>
    <row r="773" spans="1:5" ht="15" customHeight="1" x14ac:dyDescent="0.2">
      <c r="A773" s="4" t="s">
        <v>775</v>
      </c>
      <c r="B773" s="7">
        <f>'Price Data'!B774/'Price Data'!B773-1</f>
        <v>-1.3915646856212938E-3</v>
      </c>
      <c r="C773" s="7">
        <f>'Price Data'!C774/'Price Data'!C773-1</f>
        <v>-1.3245311995193632E-3</v>
      </c>
      <c r="D773" s="7">
        <f>'Price Data'!D774/'Price Data'!D773-1</f>
        <v>-9.3569042880058406E-3</v>
      </c>
      <c r="E773" s="7">
        <f>'Price Data'!E774/'Price Data'!E773-1</f>
        <v>1.9298393747959608E-3</v>
      </c>
    </row>
    <row r="774" spans="1:5" ht="15" customHeight="1" x14ac:dyDescent="0.2">
      <c r="A774" s="4" t="s">
        <v>776</v>
      </c>
      <c r="B774" s="7">
        <f>'Price Data'!B775/'Price Data'!B774-1</f>
        <v>-1.6845706512770064E-2</v>
      </c>
      <c r="C774" s="7">
        <f>'Price Data'!C775/'Price Data'!C774-1</f>
        <v>-5.0405089923604152E-3</v>
      </c>
      <c r="D774" s="7">
        <f>'Price Data'!D775/'Price Data'!D774-1</f>
        <v>-9.5631777465341461E-3</v>
      </c>
      <c r="E774" s="7">
        <f>'Price Data'!E775/'Price Data'!E774-1</f>
        <v>4.5615907537959188E-3</v>
      </c>
    </row>
    <row r="775" spans="1:5" ht="15" customHeight="1" x14ac:dyDescent="0.2">
      <c r="A775" s="4" t="s">
        <v>777</v>
      </c>
      <c r="B775" s="7">
        <f>'Price Data'!B776/'Price Data'!B775-1</f>
        <v>1.3465673832830927E-2</v>
      </c>
      <c r="C775" s="7">
        <f>'Price Data'!C776/'Price Data'!C775-1</f>
        <v>9.8652226015656375E-3</v>
      </c>
      <c r="D775" s="7">
        <f>'Price Data'!D776/'Price Data'!D775-1</f>
        <v>1.8119295700276927E-2</v>
      </c>
      <c r="E775" s="7">
        <f>'Price Data'!E776/'Price Data'!E775-1</f>
        <v>5.6982343227163224E-3</v>
      </c>
    </row>
    <row r="776" spans="1:5" ht="15" customHeight="1" x14ac:dyDescent="0.2">
      <c r="A776" s="4" t="s">
        <v>778</v>
      </c>
      <c r="B776" s="7">
        <f>'Price Data'!B777/'Price Data'!B776-1</f>
        <v>8.556011108062922E-3</v>
      </c>
      <c r="C776" s="7">
        <f>'Price Data'!C777/'Price Data'!C776-1</f>
        <v>-7.9207842883538548E-3</v>
      </c>
      <c r="D776" s="7">
        <f>'Price Data'!D777/'Price Data'!D776-1</f>
        <v>-1.2410975502222144E-2</v>
      </c>
      <c r="E776" s="7">
        <f>'Price Data'!E777/'Price Data'!E776-1</f>
        <v>-9.157948812922645E-3</v>
      </c>
    </row>
    <row r="777" spans="1:5" ht="15" customHeight="1" x14ac:dyDescent="0.2">
      <c r="A777" s="4" t="s">
        <v>779</v>
      </c>
      <c r="B777" s="7">
        <f>'Price Data'!B778/'Price Data'!B777-1</f>
        <v>-4.7310764168647657E-3</v>
      </c>
      <c r="C777" s="7">
        <f>'Price Data'!C778/'Price Data'!C777-1</f>
        <v>-5.3225357989998834E-3</v>
      </c>
      <c r="D777" s="7">
        <f>'Price Data'!D778/'Price Data'!D777-1</f>
        <v>-2.098416792914759E-2</v>
      </c>
      <c r="E777" s="7">
        <f>'Price Data'!E778/'Price Data'!E777-1</f>
        <v>-8.2266543533019432E-3</v>
      </c>
    </row>
    <row r="778" spans="1:5" ht="15" customHeight="1" x14ac:dyDescent="0.2">
      <c r="A778" s="4" t="s">
        <v>780</v>
      </c>
      <c r="B778" s="7">
        <f>'Price Data'!B779/'Price Data'!B778-1</f>
        <v>3.4013317908838658E-3</v>
      </c>
      <c r="C778" s="7">
        <f>'Price Data'!C779/'Price Data'!C778-1</f>
        <v>6.1538464946166993E-3</v>
      </c>
      <c r="D778" s="7">
        <f>'Price Data'!D779/'Price Data'!D778-1</f>
        <v>1.3441622513706175E-2</v>
      </c>
      <c r="E778" s="7">
        <f>'Price Data'!E779/'Price Data'!E778-1</f>
        <v>5.2229997535762074E-3</v>
      </c>
    </row>
    <row r="779" spans="1:5" ht="15" customHeight="1" x14ac:dyDescent="0.2">
      <c r="A779" s="4" t="s">
        <v>781</v>
      </c>
      <c r="B779" s="7">
        <f>'Price Data'!B780/'Price Data'!B779-1</f>
        <v>7.8823554985125721E-3</v>
      </c>
      <c r="C779" s="7">
        <f>'Price Data'!C780/'Price Data'!C779-1</f>
        <v>-5.3198298667078703E-4</v>
      </c>
      <c r="D779" s="7">
        <f>'Price Data'!D780/'Price Data'!D779-1</f>
        <v>-1.433820486801074E-3</v>
      </c>
      <c r="E779" s="7">
        <f>'Price Data'!E780/'Price Data'!E779-1</f>
        <v>-2.0376580775792741E-3</v>
      </c>
    </row>
    <row r="780" spans="1:5" ht="15" customHeight="1" x14ac:dyDescent="0.2">
      <c r="A780" s="4" t="s">
        <v>782</v>
      </c>
      <c r="B780" s="7">
        <f>'Price Data'!B781/'Price Data'!B780-1</f>
        <v>2.4717565270366837E-3</v>
      </c>
      <c r="C780" s="7">
        <f>'Price Data'!C781/'Price Data'!C780-1</f>
        <v>-1.7293969060059311E-3</v>
      </c>
      <c r="D780" s="7">
        <f>'Price Data'!D781/'Price Data'!D780-1</f>
        <v>8.1368168861657431E-3</v>
      </c>
      <c r="E780" s="7">
        <f>'Price Data'!E781/'Price Data'!E780-1</f>
        <v>-3.0623432887773028E-3</v>
      </c>
    </row>
    <row r="781" spans="1:5" ht="15" customHeight="1" x14ac:dyDescent="0.2">
      <c r="A781" s="4" t="s">
        <v>783</v>
      </c>
      <c r="B781" s="7">
        <f>'Price Data'!B782/'Price Data'!B781-1</f>
        <v>6.1037817298739139E-3</v>
      </c>
      <c r="C781" s="7">
        <f>'Price Data'!C782/'Price Data'!C781-1</f>
        <v>3.4648961242731424E-3</v>
      </c>
      <c r="D781" s="7">
        <f>'Price Data'!D782/'Price Data'!D781-1</f>
        <v>1.5430141893253424E-3</v>
      </c>
      <c r="E781" s="7">
        <f>'Price Data'!E782/'Price Data'!E781-1</f>
        <v>-3.0752651205179227E-4</v>
      </c>
    </row>
    <row r="782" spans="1:5" ht="15" customHeight="1" x14ac:dyDescent="0.2">
      <c r="A782" s="4" t="s">
        <v>784</v>
      </c>
      <c r="B782" s="7">
        <f>'Price Data'!B783/'Price Data'!B782-1</f>
        <v>9.6422467694123881E-4</v>
      </c>
      <c r="C782" s="7">
        <f>'Price Data'!C783/'Price Data'!C782-1</f>
        <v>1.7264110659176435E-3</v>
      </c>
      <c r="D782" s="7">
        <f>'Price Data'!D783/'Price Data'!D782-1</f>
        <v>2.3708237267694443E-4</v>
      </c>
      <c r="E782" s="7">
        <f>'Price Data'!E783/'Price Data'!E782-1</f>
        <v>2.0496639580236398E-4</v>
      </c>
    </row>
    <row r="783" spans="1:5" ht="15" customHeight="1" x14ac:dyDescent="0.2">
      <c r="A783" s="4" t="s">
        <v>785</v>
      </c>
      <c r="B783" s="7">
        <f>'Price Data'!B784/'Price Data'!B783-1</f>
        <v>-1.6015069913689173E-2</v>
      </c>
      <c r="C783" s="7">
        <f>'Price Data'!C784/'Price Data'!C783-1</f>
        <v>-1.5378450699015445E-2</v>
      </c>
      <c r="D783" s="7">
        <f>'Price Data'!D784/'Price Data'!D783-1</f>
        <v>-2.0616098758251766E-2</v>
      </c>
      <c r="E783" s="7">
        <f>'Price Data'!E784/'Price Data'!E783-1</f>
        <v>-9.2167103752968105E-3</v>
      </c>
    </row>
    <row r="784" spans="1:5" ht="15" customHeight="1" x14ac:dyDescent="0.2">
      <c r="A784" s="4" t="s">
        <v>786</v>
      </c>
      <c r="B784" s="7">
        <f>'Price Data'!B785/'Price Data'!B784-1</f>
        <v>1.1054488350296099E-2</v>
      </c>
      <c r="C784" s="7">
        <f>'Price Data'!C785/'Price Data'!C784-1</f>
        <v>1.1175487784365723E-2</v>
      </c>
      <c r="D784" s="7">
        <f>'Price Data'!D785/'Price Data'!D784-1</f>
        <v>7.8635747920217103E-3</v>
      </c>
      <c r="E784" s="7">
        <f>'Price Data'!E785/'Price Data'!E784-1</f>
        <v>4.4445232920355959E-3</v>
      </c>
    </row>
    <row r="785" spans="1:5" ht="15" customHeight="1" x14ac:dyDescent="0.2">
      <c r="A785" s="4" t="s">
        <v>787</v>
      </c>
      <c r="B785" s="7">
        <f>'Price Data'!B786/'Price Data'!B785-1</f>
        <v>7.7059486976125413E-3</v>
      </c>
      <c r="C785" s="7">
        <f>'Price Data'!C786/'Price Data'!C785-1</f>
        <v>1.1318082056177126E-2</v>
      </c>
      <c r="D785" s="7">
        <f>'Price Data'!D786/'Price Data'!D785-1</f>
        <v>2.3286600652500544E-2</v>
      </c>
      <c r="E785" s="7">
        <f>'Price Data'!E786/'Price Data'!E785-1</f>
        <v>2.3669081564334782E-3</v>
      </c>
    </row>
    <row r="786" spans="1:5" ht="15" customHeight="1" x14ac:dyDescent="0.2">
      <c r="A786" s="4" t="s">
        <v>788</v>
      </c>
      <c r="B786" s="7">
        <f>'Price Data'!B787/'Price Data'!B786-1</f>
        <v>-5.2447614169732759E-3</v>
      </c>
      <c r="C786" s="7">
        <f>'Price Data'!C787/'Price Data'!C786-1</f>
        <v>1.5799634259454631E-3</v>
      </c>
      <c r="D786" s="7">
        <f>'Price Data'!D787/'Price Data'!D786-1</f>
        <v>-1.0322601255288388E-2</v>
      </c>
      <c r="E786" s="7">
        <f>'Price Data'!E787/'Price Data'!E786-1</f>
        <v>-3.1824345086789441E-3</v>
      </c>
    </row>
    <row r="787" spans="1:5" ht="15" customHeight="1" x14ac:dyDescent="0.2">
      <c r="A787" s="4" t="s">
        <v>789</v>
      </c>
      <c r="B787" s="7">
        <f>'Price Data'!B788/'Price Data'!B787-1</f>
        <v>-6.2787174048609673E-3</v>
      </c>
      <c r="C787" s="7">
        <f>'Price Data'!C788/'Price Data'!C787-1</f>
        <v>4.0753059336200437E-3</v>
      </c>
      <c r="D787" s="7">
        <f>'Price Data'!D788/'Price Data'!D787-1</f>
        <v>-1.778029367222822E-3</v>
      </c>
      <c r="E787" s="7">
        <f>'Price Data'!E788/'Price Data'!E787-1</f>
        <v>9.2686565233690565E-4</v>
      </c>
    </row>
    <row r="788" spans="1:5" ht="15" customHeight="1" x14ac:dyDescent="0.2">
      <c r="A788" s="4" t="s">
        <v>790</v>
      </c>
      <c r="B788" s="7">
        <f>'Price Data'!B789/'Price Data'!B788-1</f>
        <v>2.024940635738659E-4</v>
      </c>
      <c r="C788" s="7">
        <f>'Price Data'!C789/'Price Data'!C788-1</f>
        <v>7.8548005382539365E-4</v>
      </c>
      <c r="D788" s="7">
        <f>'Price Data'!D789/'Price Data'!D788-1</f>
        <v>5.5807227184125896E-3</v>
      </c>
      <c r="E788" s="7">
        <f>'Price Data'!E789/'Price Data'!E788-1</f>
        <v>-2.984002531379204E-3</v>
      </c>
    </row>
    <row r="789" spans="1:5" ht="15" customHeight="1" x14ac:dyDescent="0.2">
      <c r="A789" s="4" t="s">
        <v>791</v>
      </c>
      <c r="B789" s="7">
        <f>'Price Data'!B790/'Price Data'!B789-1</f>
        <v>1.9761141087984324E-2</v>
      </c>
      <c r="C789" s="7">
        <f>'Price Data'!C790/'Price Data'!C789-1</f>
        <v>1.1250830133735956E-2</v>
      </c>
      <c r="D789" s="7">
        <f>'Price Data'!D790/'Price Data'!D789-1</f>
        <v>1.8892199531397313E-3</v>
      </c>
      <c r="E789" s="7">
        <f>'Price Data'!E790/'Price Data'!E789-1</f>
        <v>8.2586921698224458E-4</v>
      </c>
    </row>
    <row r="790" spans="1:5" ht="15" customHeight="1" x14ac:dyDescent="0.2">
      <c r="A790" s="4" t="s">
        <v>792</v>
      </c>
      <c r="B790" s="7">
        <f>'Price Data'!B791/'Price Data'!B790-1</f>
        <v>6.7493909978089128E-4</v>
      </c>
      <c r="C790" s="7">
        <f>'Price Data'!C791/'Price Data'!C790-1</f>
        <v>1.2935166946967946E-3</v>
      </c>
      <c r="D790" s="7">
        <f>'Price Data'!D791/'Price Data'!D790-1</f>
        <v>-4.7143914848879476E-4</v>
      </c>
      <c r="E790" s="7">
        <f>'Price Data'!E791/'Price Data'!E790-1</f>
        <v>3.7117907134693873E-3</v>
      </c>
    </row>
    <row r="791" spans="1:5" ht="15" customHeight="1" x14ac:dyDescent="0.2">
      <c r="A791" s="4" t="s">
        <v>793</v>
      </c>
      <c r="B791" s="7">
        <f>'Price Data'!B792/'Price Data'!B791-1</f>
        <v>-3.0158064425001019E-3</v>
      </c>
      <c r="C791" s="7">
        <f>'Price Data'!C792/'Price Data'!C791-1</f>
        <v>-1.4211585881209743E-3</v>
      </c>
      <c r="D791" s="7">
        <f>'Price Data'!D792/'Price Data'!D791-1</f>
        <v>-1.0965758405243164E-2</v>
      </c>
      <c r="E791" s="7">
        <f>'Price Data'!E792/'Price Data'!E791-1</f>
        <v>-2.1572686707812538E-3</v>
      </c>
    </row>
    <row r="792" spans="1:5" ht="15" customHeight="1" x14ac:dyDescent="0.2">
      <c r="A792" s="4" t="s">
        <v>794</v>
      </c>
      <c r="B792" s="7">
        <f>'Price Data'!B793/'Price Data'!B792-1</f>
        <v>2.7861336996937158E-3</v>
      </c>
      <c r="C792" s="7">
        <f>'Price Data'!C793/'Price Data'!C792-1</f>
        <v>2.7170795770021794E-3</v>
      </c>
      <c r="D792" s="7">
        <f>'Price Data'!D793/'Price Data'!D792-1</f>
        <v>1.1922775527544172E-3</v>
      </c>
      <c r="E792" s="7">
        <f>'Price Data'!E793/'Price Data'!E792-1</f>
        <v>-1.3383638204901294E-3</v>
      </c>
    </row>
    <row r="793" spans="1:5" ht="15" customHeight="1" x14ac:dyDescent="0.2">
      <c r="A793" s="4" t="s">
        <v>795</v>
      </c>
      <c r="B793" s="7">
        <f>'Price Data'!B794/'Price Data'!B793-1</f>
        <v>-1.6670481360149259E-3</v>
      </c>
      <c r="C793" s="7">
        <f>'Price Data'!C794/'Price Data'!C793-1</f>
        <v>-5.8064449969209564E-3</v>
      </c>
      <c r="D793" s="7">
        <f>'Price Data'!D794/'Price Data'!D793-1</f>
        <v>1.0121489907336301E-2</v>
      </c>
      <c r="E793" s="7">
        <f>'Price Data'!E794/'Price Data'!E793-1</f>
        <v>1.9587912377210248E-3</v>
      </c>
    </row>
    <row r="794" spans="1:5" ht="15" customHeight="1" x14ac:dyDescent="0.2">
      <c r="A794" s="4" t="s">
        <v>796</v>
      </c>
      <c r="B794" s="7">
        <f>'Price Data'!B795/'Price Data'!B794-1</f>
        <v>4.2144596968372028E-3</v>
      </c>
      <c r="C794" s="7">
        <f>'Price Data'!C795/'Price Data'!C794-1</f>
        <v>2.5956424623390095E-3</v>
      </c>
      <c r="D794" s="7">
        <f>'Price Data'!D795/'Price Data'!D794-1</f>
        <v>8.4877068457431815E-3</v>
      </c>
      <c r="E794" s="7">
        <f>'Price Data'!E795/'Price Data'!E794-1</f>
        <v>1.6462927528919646E-3</v>
      </c>
    </row>
    <row r="795" spans="1:5" ht="15" customHeight="1" x14ac:dyDescent="0.2">
      <c r="A795" s="4" t="s">
        <v>797</v>
      </c>
      <c r="B795" s="7">
        <f>'Price Data'!B796/'Price Data'!B795-1</f>
        <v>9.1852443329383249E-3</v>
      </c>
      <c r="C795" s="7">
        <f>'Price Data'!C796/'Price Data'!C795-1</f>
        <v>9.7088346258473734E-3</v>
      </c>
      <c r="D795" s="7">
        <f>'Price Data'!D796/'Price Data'!D795-1</f>
        <v>1.1922691737187519E-2</v>
      </c>
      <c r="E795" s="7">
        <f>'Price Data'!E796/'Price Data'!E795-1</f>
        <v>4.8009767602310571E-3</v>
      </c>
    </row>
    <row r="796" spans="1:5" ht="15" customHeight="1" x14ac:dyDescent="0.2">
      <c r="A796" s="4" t="s">
        <v>798</v>
      </c>
      <c r="B796" s="7">
        <f>'Price Data'!B797/'Price Data'!B796-1</f>
        <v>-9.808175633645444E-4</v>
      </c>
      <c r="C796" s="7">
        <f>'Price Data'!C797/'Price Data'!C796-1</f>
        <v>-2.5641349491311027E-3</v>
      </c>
      <c r="D796" s="7">
        <f>'Price Data'!D797/'Price Data'!D796-1</f>
        <v>9.3565056332736152E-3</v>
      </c>
      <c r="E796" s="7">
        <f>'Price Data'!E797/'Price Data'!E796-1</f>
        <v>-2.4607051544864866E-3</v>
      </c>
    </row>
    <row r="797" spans="1:5" ht="15" customHeight="1" x14ac:dyDescent="0.2">
      <c r="A797" s="4" t="s">
        <v>799</v>
      </c>
      <c r="B797" s="7">
        <f>'Price Data'!B798/'Price Data'!B797-1</f>
        <v>-1.0602759559495967E-2</v>
      </c>
      <c r="C797" s="7">
        <f>'Price Data'!C798/'Price Data'!C797-1</f>
        <v>-1.7994767248087351E-3</v>
      </c>
      <c r="D797" s="7">
        <f>'Price Data'!D798/'Price Data'!D797-1</f>
        <v>-1.2130882864469394E-2</v>
      </c>
      <c r="E797" s="7">
        <f>'Price Data'!E798/'Price Data'!E797-1</f>
        <v>5.447619126070169E-3</v>
      </c>
    </row>
    <row r="798" spans="1:5" ht="15" customHeight="1" x14ac:dyDescent="0.2">
      <c r="A798" s="4" t="s">
        <v>800</v>
      </c>
      <c r="B798" s="7">
        <f>'Price Data'!B799/'Price Data'!B798-1</f>
        <v>5.9138103177003298E-3</v>
      </c>
      <c r="C798" s="7">
        <f>'Price Data'!C799/'Price Data'!C798-1</f>
        <v>1.1846511088954514E-2</v>
      </c>
      <c r="D798" s="7">
        <f>'Price Data'!D799/'Price Data'!D798-1</f>
        <v>4.981738170904304E-3</v>
      </c>
      <c r="E798" s="7">
        <f>'Price Data'!E799/'Price Data'!E798-1</f>
        <v>1.5333385278126777E-3</v>
      </c>
    </row>
    <row r="799" spans="1:5" ht="15" customHeight="1" x14ac:dyDescent="0.2">
      <c r="A799" s="4" t="s">
        <v>801</v>
      </c>
      <c r="B799" s="7">
        <f>'Price Data'!B800/'Price Data'!B799-1</f>
        <v>9.745944605577872E-3</v>
      </c>
      <c r="C799" s="7">
        <f>'Price Data'!C800/'Price Data'!C799-1</f>
        <v>1.1835080058882674E-2</v>
      </c>
      <c r="D799" s="7">
        <f>'Price Data'!D800/'Price Data'!D799-1</f>
        <v>-2.3070212121933942E-4</v>
      </c>
      <c r="E799" s="7">
        <f>'Price Data'!E800/'Price Data'!E799-1</f>
        <v>2.1434044427119936E-3</v>
      </c>
    </row>
    <row r="800" spans="1:5" ht="15" customHeight="1" x14ac:dyDescent="0.2">
      <c r="A800" s="4" t="s">
        <v>802</v>
      </c>
      <c r="B800" s="7">
        <f>'Price Data'!B801/'Price Data'!B800-1</f>
        <v>-5.7832875615906332E-3</v>
      </c>
      <c r="C800" s="7">
        <f>'Price Data'!C801/'Price Data'!C800-1</f>
        <v>-3.2701015140205181E-3</v>
      </c>
      <c r="D800" s="7">
        <f>'Price Data'!D801/'Price Data'!D800-1</f>
        <v>1.1530111538862409E-2</v>
      </c>
      <c r="E800" s="7">
        <f>'Price Data'!E801/'Price Data'!E800-1</f>
        <v>9.1652785678353332E-4</v>
      </c>
    </row>
    <row r="801" spans="1:5" ht="15" customHeight="1" x14ac:dyDescent="0.2">
      <c r="A801" s="4" t="s">
        <v>803</v>
      </c>
      <c r="B801" s="7">
        <f>'Price Data'!B802/'Price Data'!B801-1</f>
        <v>-1.6114949261227807E-3</v>
      </c>
      <c r="C801" s="7">
        <f>'Price Data'!C802/'Price Data'!C801-1</f>
        <v>-5.6781228474362955E-3</v>
      </c>
      <c r="D801" s="7">
        <f>'Price Data'!D802/'Price Data'!D801-1</f>
        <v>-4.7876559149913067E-3</v>
      </c>
      <c r="E801" s="7">
        <f>'Price Data'!E802/'Price Data'!E801-1</f>
        <v>-1.1188068371080773E-3</v>
      </c>
    </row>
    <row r="802" spans="1:5" ht="15" customHeight="1" x14ac:dyDescent="0.2">
      <c r="A802" s="4" t="s">
        <v>804</v>
      </c>
      <c r="B802" s="7">
        <f>'Price Data'!B803/'Price Data'!B802-1</f>
        <v>9.8810845525205693E-3</v>
      </c>
      <c r="C802" s="7">
        <f>'Price Data'!C803/'Price Data'!C802-1</f>
        <v>7.9947252337184693E-3</v>
      </c>
      <c r="D802" s="7">
        <f>'Price Data'!D803/'Price Data'!D802-1</f>
        <v>-2.1761214284232722E-3</v>
      </c>
      <c r="E802" s="7">
        <f>'Price Data'!E803/'Price Data'!E802-1</f>
        <v>-2.5470520863604129E-3</v>
      </c>
    </row>
    <row r="803" spans="1:5" ht="15" customHeight="1" x14ac:dyDescent="0.2">
      <c r="A803" s="4" t="s">
        <v>805</v>
      </c>
      <c r="B803" s="7">
        <f>'Price Data'!B804/'Price Data'!B803-1</f>
        <v>-1.2474964747458683E-3</v>
      </c>
      <c r="C803" s="7">
        <f>'Price Data'!C804/'Price Data'!C803-1</f>
        <v>1.2600806451623647E-4</v>
      </c>
      <c r="D803" s="7">
        <f>'Price Data'!D804/'Price Data'!D803-1</f>
        <v>-5.0503228077193318E-3</v>
      </c>
      <c r="E803" s="7">
        <f>'Price Data'!E804/'Price Data'!E803-1</f>
        <v>-1.8384512740494685E-3</v>
      </c>
    </row>
    <row r="804" spans="1:5" ht="15" customHeight="1" x14ac:dyDescent="0.2">
      <c r="A804" s="4" t="s">
        <v>806</v>
      </c>
      <c r="B804" s="7">
        <f>'Price Data'!B805/'Price Data'!B804-1</f>
        <v>-3.8639382866311189E-3</v>
      </c>
      <c r="C804" s="7">
        <f>'Price Data'!C805/'Price Data'!C804-1</f>
        <v>-7.3010857942193974E-3</v>
      </c>
      <c r="D804" s="7">
        <f>'Price Data'!D805/'Price Data'!D804-1</f>
        <v>-1.4997761419596412E-2</v>
      </c>
      <c r="E804" s="7">
        <f>'Price Data'!E805/'Price Data'!E804-1</f>
        <v>-6.3441825375153416E-3</v>
      </c>
    </row>
    <row r="805" spans="1:5" ht="15" customHeight="1" x14ac:dyDescent="0.2">
      <c r="A805" s="4" t="s">
        <v>807</v>
      </c>
      <c r="B805" s="7">
        <f>'Price Data'!B806/'Price Data'!B805-1</f>
        <v>-5.9164591744416128E-3</v>
      </c>
      <c r="C805" s="7">
        <f>'Price Data'!C806/'Price Data'!C805-1</f>
        <v>3.8033658790692648E-4</v>
      </c>
      <c r="D805" s="7">
        <f>'Price Data'!D806/'Price Data'!D805-1</f>
        <v>-2.2252135010785157E-3</v>
      </c>
      <c r="E805" s="7">
        <f>'Price Data'!E806/'Price Data'!E805-1</f>
        <v>-1.0290119473699288E-4</v>
      </c>
    </row>
    <row r="806" spans="1:5" ht="15" customHeight="1" x14ac:dyDescent="0.2">
      <c r="A806" s="4" t="s">
        <v>808</v>
      </c>
      <c r="B806" s="7">
        <f>'Price Data'!B807/'Price Data'!B806-1</f>
        <v>5.0845512549329008E-3</v>
      </c>
      <c r="C806" s="7">
        <f>'Price Data'!C807/'Price Data'!C806-1</f>
        <v>-2.5342634517344642E-4</v>
      </c>
      <c r="D806" s="7">
        <f>'Price Data'!D807/'Price Data'!D806-1</f>
        <v>4.694588317759596E-4</v>
      </c>
      <c r="E806" s="7">
        <f>'Price Data'!E807/'Price Data'!E806-1</f>
        <v>-1.0299775923992005E-3</v>
      </c>
    </row>
    <row r="807" spans="1:5" ht="15" customHeight="1" x14ac:dyDescent="0.2">
      <c r="A807" s="4" t="s">
        <v>809</v>
      </c>
      <c r="B807" s="7">
        <f>'Price Data'!B808/'Price Data'!B807-1</f>
        <v>5.7646522309509063E-3</v>
      </c>
      <c r="C807" s="7">
        <f>'Price Data'!C808/'Price Data'!C807-1</f>
        <v>1.7750638948466069E-3</v>
      </c>
      <c r="D807" s="7">
        <f>'Price Data'!D808/'Price Data'!D807-1</f>
        <v>-3.5217546010646306E-4</v>
      </c>
      <c r="E807" s="7">
        <f>'Price Data'!E808/'Price Data'!E807-1</f>
        <v>2.4742367058507853E-3</v>
      </c>
    </row>
    <row r="808" spans="1:5" ht="15" customHeight="1" x14ac:dyDescent="0.2">
      <c r="A808" s="4" t="s">
        <v>810</v>
      </c>
      <c r="B808" s="7">
        <f>'Price Data'!B809/'Price Data'!B808-1</f>
        <v>1.0137643527437845E-2</v>
      </c>
      <c r="C808" s="7">
        <f>'Price Data'!C809/'Price Data'!C808-1</f>
        <v>1.0631511756419521E-2</v>
      </c>
      <c r="D808" s="7">
        <f>'Price Data'!D809/'Price Data'!D808-1</f>
        <v>6.5728378541161092E-3</v>
      </c>
      <c r="E808" s="7">
        <f>'Price Data'!E809/'Price Data'!E808-1</f>
        <v>2.0568178989002206E-3</v>
      </c>
    </row>
    <row r="809" spans="1:5" ht="15" customHeight="1" x14ac:dyDescent="0.2">
      <c r="A809" s="4" t="s">
        <v>811</v>
      </c>
      <c r="B809" s="7">
        <f>'Price Data'!B810/'Price Data'!B809-1</f>
        <v>4.1301138422273898E-3</v>
      </c>
      <c r="C809" s="7">
        <f>'Price Data'!C810/'Price Data'!C809-1</f>
        <v>-5.0086269477922496E-4</v>
      </c>
      <c r="D809" s="7">
        <f>'Price Data'!D810/'Price Data'!D809-1</f>
        <v>7.2294257947624896E-3</v>
      </c>
      <c r="E809" s="7">
        <f>'Price Data'!E810/'Price Data'!E809-1</f>
        <v>7.1872562552899311E-4</v>
      </c>
    </row>
    <row r="810" spans="1:5" ht="15" customHeight="1" x14ac:dyDescent="0.2">
      <c r="A810" s="4" t="s">
        <v>812</v>
      </c>
      <c r="B810" s="7">
        <f>'Price Data'!B811/'Price Data'!B810-1</f>
        <v>-2.8121192369565673E-3</v>
      </c>
      <c r="C810" s="7">
        <f>'Price Data'!C811/'Price Data'!C810-1</f>
        <v>-2.1301740039736394E-3</v>
      </c>
      <c r="D810" s="7">
        <f>'Price Data'!D811/'Price Data'!D810-1</f>
        <v>-1.2586304909208312E-2</v>
      </c>
      <c r="E810" s="7">
        <f>'Price Data'!E811/'Price Data'!E810-1</f>
        <v>3.1789906490649056E-3</v>
      </c>
    </row>
    <row r="811" spans="1:5" ht="15" customHeight="1" x14ac:dyDescent="0.2">
      <c r="A811" s="4" t="s">
        <v>813</v>
      </c>
      <c r="B811" s="7">
        <f>'Price Data'!B812/'Price Data'!B811-1</f>
        <v>-2.2436199391225875E-3</v>
      </c>
      <c r="C811" s="7">
        <f>'Price Data'!C812/'Price Data'!C811-1</f>
        <v>-2.1345134314576519E-3</v>
      </c>
      <c r="D811" s="7">
        <f>'Price Data'!D812/'Price Data'!D811-1</f>
        <v>-6.1488271610363743E-3</v>
      </c>
      <c r="E811" s="7">
        <f>'Price Data'!E812/'Price Data'!E811-1</f>
        <v>-1.8403988062711818E-3</v>
      </c>
    </row>
    <row r="812" spans="1:5" ht="15" customHeight="1" x14ac:dyDescent="0.2">
      <c r="A812" s="4" t="s">
        <v>814</v>
      </c>
      <c r="B812" s="7">
        <f>'Price Data'!B813/'Price Data'!B812-1</f>
        <v>-1.7837345240372393E-3</v>
      </c>
      <c r="C812" s="7">
        <f>'Price Data'!C813/'Price Data'!C812-1</f>
        <v>1.1323557155369368E-3</v>
      </c>
      <c r="D812" s="7">
        <f>'Price Data'!D813/'Price Data'!D812-1</f>
        <v>-4.045153812523461E-3</v>
      </c>
      <c r="E812" s="7">
        <f>'Price Data'!E813/'Price Data'!E812-1</f>
        <v>1.0244524540183875E-3</v>
      </c>
    </row>
    <row r="813" spans="1:5" ht="15" customHeight="1" x14ac:dyDescent="0.2">
      <c r="A813" s="4" t="s">
        <v>815</v>
      </c>
      <c r="B813" s="7">
        <f>'Price Data'!B814/'Price Data'!B813-1</f>
        <v>8.817163616928303E-3</v>
      </c>
      <c r="C813" s="7">
        <f>'Price Data'!C814/'Price Data'!C813-1</f>
        <v>6.0333014683067177E-3</v>
      </c>
      <c r="D813" s="7">
        <f>'Price Data'!D814/'Price Data'!D813-1</f>
        <v>2.5803376147139456E-2</v>
      </c>
      <c r="E813" s="7">
        <f>'Price Data'!E814/'Price Data'!E813-1</f>
        <v>3.2738337746558432E-3</v>
      </c>
    </row>
    <row r="814" spans="1:5" ht="15" customHeight="1" x14ac:dyDescent="0.2">
      <c r="A814" s="4" t="s">
        <v>816</v>
      </c>
      <c r="B814" s="7">
        <f>'Price Data'!B815/'Price Data'!B814-1</f>
        <v>6.5447445936506199E-4</v>
      </c>
      <c r="C814" s="7">
        <f>'Price Data'!C815/'Price Data'!C814-1</f>
        <v>-2.2488937827704891E-3</v>
      </c>
      <c r="D814" s="7">
        <f>'Price Data'!D815/'Price Data'!D814-1</f>
        <v>7.1038515486909759E-3</v>
      </c>
      <c r="E814" s="7">
        <f>'Price Data'!E815/'Price Data'!E814-1</f>
        <v>-1.2237879518989248E-3</v>
      </c>
    </row>
    <row r="815" spans="1:5" ht="15" customHeight="1" x14ac:dyDescent="0.2">
      <c r="A815" s="4" t="s">
        <v>817</v>
      </c>
      <c r="B815" s="7">
        <f>'Price Data'!B816/'Price Data'!B815-1</f>
        <v>-7.6942373820554355E-4</v>
      </c>
      <c r="C815" s="7">
        <f>'Price Data'!C816/'Price Data'!C815-1</f>
        <v>-4.2573699283247057E-3</v>
      </c>
      <c r="D815" s="7">
        <f>'Price Data'!D816/'Price Data'!D815-1</f>
        <v>-1.6766962428577226E-2</v>
      </c>
      <c r="E815" s="7">
        <f>'Price Data'!E816/'Price Data'!E815-1</f>
        <v>-7.2707491454320206E-3</v>
      </c>
    </row>
    <row r="816" spans="1:5" ht="15" customHeight="1" x14ac:dyDescent="0.2">
      <c r="A816" s="4" t="s">
        <v>818</v>
      </c>
      <c r="B816" s="7">
        <f>'Price Data'!B817/'Price Data'!B816-1</f>
        <v>-9.2416446081574621E-3</v>
      </c>
      <c r="C816" s="7">
        <f>'Price Data'!C817/'Price Data'!C816-1</f>
        <v>-7.042217596861633E-3</v>
      </c>
      <c r="D816" s="7">
        <f>'Price Data'!D817/'Price Data'!D816-1</f>
        <v>-1.2583882667915991E-2</v>
      </c>
      <c r="E816" s="7">
        <f>'Price Data'!E817/'Price Data'!E816-1</f>
        <v>-7.221824730404558E-4</v>
      </c>
    </row>
    <row r="817" spans="1:5" ht="15" customHeight="1" x14ac:dyDescent="0.2">
      <c r="A817" s="4" t="s">
        <v>819</v>
      </c>
      <c r="B817" s="7">
        <f>'Price Data'!B818/'Price Data'!B817-1</f>
        <v>1.5548245024263885E-3</v>
      </c>
      <c r="C817" s="7">
        <f>'Price Data'!C818/'Price Data'!C817-1</f>
        <v>5.5723232471711626E-3</v>
      </c>
      <c r="D817" s="7">
        <f>'Price Data'!D818/'Price Data'!D817-1</f>
        <v>1.0719559488532315E-3</v>
      </c>
      <c r="E817" s="7">
        <f>'Price Data'!E818/'Price Data'!E817-1</f>
        <v>6.1925224024594883E-4</v>
      </c>
    </row>
    <row r="818" spans="1:5" ht="15" customHeight="1" x14ac:dyDescent="0.2">
      <c r="A818" s="4" t="s">
        <v>820</v>
      </c>
      <c r="B818" s="7">
        <f>'Price Data'!B819/'Price Data'!B818-1</f>
        <v>-1.1990736805392754E-2</v>
      </c>
      <c r="C818" s="7">
        <f>'Price Data'!C819/'Price Data'!C818-1</f>
        <v>-8.5640695898163699E-3</v>
      </c>
      <c r="D818" s="7">
        <f>'Price Data'!D819/'Price Data'!D818-1</f>
        <v>-6.4247493804344691E-3</v>
      </c>
      <c r="E818" s="7">
        <f>'Price Data'!E819/'Price Data'!E818-1</f>
        <v>2.3730324589794627E-3</v>
      </c>
    </row>
    <row r="819" spans="1:5" ht="15" customHeight="1" x14ac:dyDescent="0.2">
      <c r="A819" s="4" t="s">
        <v>821</v>
      </c>
      <c r="B819" s="7">
        <f>'Price Data'!B820/'Price Data'!B819-1</f>
        <v>1.0093786966311136E-2</v>
      </c>
      <c r="C819" s="7">
        <f>'Price Data'!C820/'Price Data'!C819-1</f>
        <v>3.1755636820087751E-3</v>
      </c>
      <c r="D819" s="7">
        <f>'Price Data'!D820/'Price Data'!D819-1</f>
        <v>5.1491430137415861E-3</v>
      </c>
      <c r="E819" s="7">
        <f>'Price Data'!E820/'Price Data'!E819-1</f>
        <v>-4.9403447524358768E-3</v>
      </c>
    </row>
    <row r="820" spans="1:5" ht="15" customHeight="1" x14ac:dyDescent="0.2">
      <c r="A820" s="4" t="s">
        <v>822</v>
      </c>
      <c r="B820" s="7">
        <f>'Price Data'!B821/'Price Data'!B820-1</f>
        <v>1.1665861181255899E-3</v>
      </c>
      <c r="C820" s="7">
        <f>'Price Data'!C821/'Price Data'!C820-1</f>
        <v>4.9386422706896305E-3</v>
      </c>
      <c r="D820" s="7">
        <f>'Price Data'!D821/'Price Data'!D820-1</f>
        <v>1.0721814937266316E-2</v>
      </c>
      <c r="E820" s="7">
        <f>'Price Data'!E821/'Price Data'!E820-1</f>
        <v>-9.3083296378015934E-4</v>
      </c>
    </row>
    <row r="821" spans="1:5" ht="15" customHeight="1" x14ac:dyDescent="0.2">
      <c r="A821" s="4" t="s">
        <v>823</v>
      </c>
      <c r="B821" s="7">
        <f>'Price Data'!B822/'Price Data'!B821-1</f>
        <v>1.4368489440119703E-3</v>
      </c>
      <c r="C821" s="7">
        <f>'Price Data'!C822/'Price Data'!C821-1</f>
        <v>-1.2591056969646353E-4</v>
      </c>
      <c r="D821" s="7">
        <f>'Price Data'!D822/'Price Data'!D821-1</f>
        <v>1.331925825682867E-2</v>
      </c>
      <c r="E821" s="7">
        <f>'Price Data'!E822/'Price Data'!E821-1</f>
        <v>3.4164064894657287E-3</v>
      </c>
    </row>
    <row r="822" spans="1:5" ht="15" customHeight="1" x14ac:dyDescent="0.2">
      <c r="A822" s="4" t="s">
        <v>824</v>
      </c>
      <c r="B822" s="7">
        <f>'Price Data'!B823/'Price Data'!B822-1</f>
        <v>-1.1169214478712552E-2</v>
      </c>
      <c r="C822" s="7">
        <f>'Price Data'!C823/'Price Data'!C822-1</f>
        <v>-1.3232498991650576E-2</v>
      </c>
      <c r="D822" s="7">
        <f>'Price Data'!D823/'Price Data'!D822-1</f>
        <v>-4.1409628936949994E-2</v>
      </c>
      <c r="E822" s="7">
        <f>'Price Data'!E823/'Price Data'!E822-1</f>
        <v>-1.1968495660127698E-2</v>
      </c>
    </row>
    <row r="823" spans="1:5" ht="15" customHeight="1" x14ac:dyDescent="0.2">
      <c r="A823" s="4" t="s">
        <v>825</v>
      </c>
      <c r="B823" s="7">
        <f>'Price Data'!B824/'Price Data'!B823-1</f>
        <v>6.7852132176888791E-3</v>
      </c>
      <c r="C823" s="7">
        <f>'Price Data'!C824/'Price Data'!C823-1</f>
        <v>2.6820315096158787E-3</v>
      </c>
      <c r="D823" s="7">
        <f>'Price Data'!D824/'Price Data'!D823-1</f>
        <v>3.3974067897568627E-3</v>
      </c>
      <c r="E823" s="7">
        <f>'Price Data'!E824/'Price Data'!E823-1</f>
        <v>2.0860725711613348E-4</v>
      </c>
    </row>
    <row r="824" spans="1:5" ht="15" customHeight="1" x14ac:dyDescent="0.2">
      <c r="A824" s="4" t="s">
        <v>826</v>
      </c>
      <c r="B824" s="7">
        <f>'Price Data'!B825/'Price Data'!B824-1</f>
        <v>-1.4413860407487822E-2</v>
      </c>
      <c r="C824" s="7">
        <f>'Price Data'!C825/'Price Data'!C824-1</f>
        <v>-1.6176418485335908E-2</v>
      </c>
      <c r="D824" s="7">
        <f>'Price Data'!D825/'Price Data'!D824-1</f>
        <v>-1.1851468555263311E-2</v>
      </c>
      <c r="E824" s="7">
        <f>'Price Data'!E825/'Price Data'!E824-1</f>
        <v>1.8794200850187348E-3</v>
      </c>
    </row>
    <row r="825" spans="1:5" ht="15" customHeight="1" x14ac:dyDescent="0.2">
      <c r="A825" s="4" t="s">
        <v>827</v>
      </c>
      <c r="B825" s="7">
        <f>'Price Data'!B826/'Price Data'!B825-1</f>
        <v>-1.2292383757014358E-2</v>
      </c>
      <c r="C825" s="7">
        <f>'Price Data'!C826/'Price Data'!C825-1</f>
        <v>-2.9776785575528208E-3</v>
      </c>
      <c r="D825" s="7">
        <f>'Price Data'!D826/'Price Data'!D825-1</f>
        <v>-1.7011288193953034E-2</v>
      </c>
      <c r="E825" s="7">
        <f>'Price Data'!E826/'Price Data'!E825-1</f>
        <v>-6.0442887005695001E-3</v>
      </c>
    </row>
    <row r="826" spans="1:5" ht="15" customHeight="1" x14ac:dyDescent="0.2">
      <c r="A826" s="4" t="s">
        <v>828</v>
      </c>
      <c r="B826" s="7">
        <f>'Price Data'!B827/'Price Data'!B826-1</f>
        <v>-3.0014210879234504E-3</v>
      </c>
      <c r="C826" s="7">
        <f>'Price Data'!C827/'Price Data'!C826-1</f>
        <v>-9.8688443348174948E-3</v>
      </c>
      <c r="D826" s="7">
        <f>'Price Data'!D827/'Price Data'!D826-1</f>
        <v>-1.4068796462432753E-2</v>
      </c>
      <c r="E826" s="7">
        <f>'Price Data'!E827/'Price Data'!E826-1</f>
        <v>-2.8307346680612744E-3</v>
      </c>
    </row>
    <row r="827" spans="1:5" ht="15" customHeight="1" x14ac:dyDescent="0.2">
      <c r="A827" s="4" t="s">
        <v>829</v>
      </c>
      <c r="B827" s="7">
        <f>'Price Data'!B828/'Price Data'!B827-1</f>
        <v>-5.8601811073329957E-3</v>
      </c>
      <c r="C827" s="7">
        <f>'Price Data'!C828/'Price Data'!C827-1</f>
        <v>6.5588173152786311E-4</v>
      </c>
      <c r="D827" s="7">
        <f>'Price Data'!D828/'Price Data'!D827-1</f>
        <v>-7.3242143305933816E-3</v>
      </c>
      <c r="E827" s="7">
        <f>'Price Data'!E828/'Price Data'!E827-1</f>
        <v>4.6263259862053818E-3</v>
      </c>
    </row>
    <row r="828" spans="1:5" ht="15" customHeight="1" x14ac:dyDescent="0.2">
      <c r="A828" s="4" t="s">
        <v>830</v>
      </c>
      <c r="B828" s="7">
        <f>'Price Data'!B829/'Price Data'!B828-1</f>
        <v>-2.0590738342813886E-3</v>
      </c>
      <c r="C828" s="7">
        <f>'Price Data'!C829/'Price Data'!C828-1</f>
        <v>-2.7524419947919654E-3</v>
      </c>
      <c r="D828" s="7">
        <f>'Price Data'!D829/'Price Data'!D828-1</f>
        <v>1.274361157561632E-4</v>
      </c>
      <c r="E828" s="7">
        <f>'Price Data'!E829/'Price Data'!E828-1</f>
        <v>-2.825697874550559E-3</v>
      </c>
    </row>
    <row r="829" spans="1:5" ht="15" customHeight="1" x14ac:dyDescent="0.2">
      <c r="A829" s="4" t="s">
        <v>831</v>
      </c>
      <c r="B829" s="7">
        <f>'Price Data'!B830/'Price Data'!B829-1</f>
        <v>-7.8488272436509909E-3</v>
      </c>
      <c r="C829" s="7">
        <f>'Price Data'!C830/'Price Data'!C829-1</f>
        <v>3.9429126308720974E-4</v>
      </c>
      <c r="D829" s="7">
        <f>'Price Data'!D830/'Price Data'!D829-1</f>
        <v>4.8332628213072493E-3</v>
      </c>
      <c r="E829" s="7">
        <f>'Price Data'!E830/'Price Data'!E829-1</f>
        <v>1.0493392098196441E-3</v>
      </c>
    </row>
    <row r="830" spans="1:5" ht="15" customHeight="1" x14ac:dyDescent="0.2">
      <c r="A830" s="4" t="s">
        <v>832</v>
      </c>
      <c r="B830" s="7">
        <f>'Price Data'!B831/'Price Data'!B830-1</f>
        <v>9.8274606708010914E-3</v>
      </c>
      <c r="C830" s="7">
        <f>'Price Data'!C831/'Price Data'!C830-1</f>
        <v>1.1692044600430274E-2</v>
      </c>
      <c r="D830" s="7">
        <f>'Price Data'!D831/'Price Data'!D830-1</f>
        <v>8.8606645466760003E-3</v>
      </c>
      <c r="E830" s="7">
        <f>'Price Data'!E831/'Price Data'!E830-1</f>
        <v>6.291878955766439E-4</v>
      </c>
    </row>
    <row r="831" spans="1:5" ht="15" customHeight="1" x14ac:dyDescent="0.2">
      <c r="A831" s="4" t="s">
        <v>833</v>
      </c>
      <c r="B831" s="7">
        <f>'Price Data'!B832/'Price Data'!B831-1</f>
        <v>1.1912444084084317E-2</v>
      </c>
      <c r="C831" s="7">
        <f>'Price Data'!C832/'Price Data'!C831-1</f>
        <v>1.0907619133107227E-2</v>
      </c>
      <c r="D831" s="7">
        <f>'Price Data'!D832/'Price Data'!D831-1</f>
        <v>9.1593996546883716E-3</v>
      </c>
      <c r="E831" s="7">
        <f>'Price Data'!E832/'Price Data'!E831-1</f>
        <v>2.0955090976040314E-3</v>
      </c>
    </row>
    <row r="832" spans="1:5" ht="15" customHeight="1" x14ac:dyDescent="0.2">
      <c r="A832" s="4" t="s">
        <v>834</v>
      </c>
      <c r="B832" s="7">
        <f>'Price Data'!B833/'Price Data'!B832-1</f>
        <v>2.39453000178802E-4</v>
      </c>
      <c r="C832" s="7">
        <f>'Price Data'!C833/'Price Data'!C832-1</f>
        <v>-1.9268865649741951E-3</v>
      </c>
      <c r="D832" s="7">
        <f>'Price Data'!D833/'Price Data'!D832-1</f>
        <v>1.8651778954865694E-3</v>
      </c>
      <c r="E832" s="7">
        <f>'Price Data'!E833/'Price Data'!E832-1</f>
        <v>-2.613908902120099E-3</v>
      </c>
    </row>
    <row r="833" spans="1:5" ht="15" customHeight="1" x14ac:dyDescent="0.2">
      <c r="A833" s="4" t="s">
        <v>835</v>
      </c>
      <c r="B833" s="7">
        <f>'Price Data'!B834/'Price Data'!B833-1</f>
        <v>-4.7475968874814978E-3</v>
      </c>
      <c r="C833" s="7">
        <f>'Price Data'!C834/'Price Data'!C833-1</f>
        <v>-4.6330297173847734E-3</v>
      </c>
      <c r="D833" s="7">
        <f>'Price Data'!D834/'Price Data'!D833-1</f>
        <v>-5.7088164372877115E-3</v>
      </c>
      <c r="E833" s="7">
        <f>'Price Data'!E834/'Price Data'!E833-1</f>
        <v>-2.8303502690438798E-3</v>
      </c>
    </row>
    <row r="834" spans="1:5" ht="15" customHeight="1" x14ac:dyDescent="0.2">
      <c r="A834" s="4" t="s">
        <v>836</v>
      </c>
      <c r="B834" s="7">
        <f>'Price Data'!B835/'Price Data'!B834-1</f>
        <v>9.3000134170209137E-3</v>
      </c>
      <c r="C834" s="7">
        <f>'Price Data'!C835/'Price Data'!C834-1</f>
        <v>8.0163413906000347E-3</v>
      </c>
      <c r="D834" s="7">
        <f>'Price Data'!D835/'Price Data'!D834-1</f>
        <v>4.9930523756636092E-4</v>
      </c>
      <c r="E834" s="7">
        <f>'Price Data'!E835/'Price Data'!E834-1</f>
        <v>2.2076513596189784E-3</v>
      </c>
    </row>
    <row r="835" spans="1:5" ht="15" customHeight="1" x14ac:dyDescent="0.2">
      <c r="A835" s="4" t="s">
        <v>837</v>
      </c>
      <c r="B835" s="7">
        <f>'Price Data'!B836/'Price Data'!B835-1</f>
        <v>3.931989194772445E-3</v>
      </c>
      <c r="C835" s="7">
        <f>'Price Data'!C836/'Price Data'!C835-1</f>
        <v>3.8483360565833014E-3</v>
      </c>
      <c r="D835" s="7">
        <f>'Price Data'!D836/'Price Data'!D835-1</f>
        <v>1.0229609453286326E-2</v>
      </c>
      <c r="E835" s="7">
        <f>'Price Data'!E836/'Price Data'!E835-1</f>
        <v>3.0420289995531924E-3</v>
      </c>
    </row>
    <row r="836" spans="1:5" ht="15" customHeight="1" x14ac:dyDescent="0.2">
      <c r="A836" s="4" t="s">
        <v>838</v>
      </c>
      <c r="B836" s="7">
        <f>'Price Data'!B837/'Price Data'!B836-1</f>
        <v>-1.6457546217843455E-2</v>
      </c>
      <c r="C836" s="7">
        <f>'Price Data'!C837/'Price Data'!C836-1</f>
        <v>-1.2650295447186544E-2</v>
      </c>
      <c r="D836" s="7">
        <f>'Price Data'!D837/'Price Data'!D836-1</f>
        <v>-1.6917942462693514E-2</v>
      </c>
      <c r="E836" s="7">
        <f>'Price Data'!E837/'Price Data'!E836-1</f>
        <v>-4.0785852988823867E-3</v>
      </c>
    </row>
    <row r="837" spans="1:5" ht="15" customHeight="1" x14ac:dyDescent="0.2">
      <c r="A837" s="4" t="s">
        <v>839</v>
      </c>
      <c r="B837" s="7">
        <f>'Price Data'!B838/'Price Data'!B837-1</f>
        <v>-2.4939486415624934E-3</v>
      </c>
      <c r="C837" s="7">
        <f>'Price Data'!C838/'Price Data'!C837-1</f>
        <v>-2.1998755050234298E-3</v>
      </c>
      <c r="D837" s="7">
        <f>'Price Data'!D838/'Price Data'!D837-1</f>
        <v>3.7698263974617063E-4</v>
      </c>
      <c r="E837" s="7">
        <f>'Price Data'!E838/'Price Data'!E837-1</f>
        <v>3.5287391695122405E-3</v>
      </c>
    </row>
    <row r="838" spans="1:5" ht="15" customHeight="1" x14ac:dyDescent="0.2">
      <c r="A838" s="4" t="s">
        <v>840</v>
      </c>
      <c r="B838" s="7">
        <f>'Price Data'!B839/'Price Data'!B838-1</f>
        <v>1.0363428027916788E-2</v>
      </c>
      <c r="C838" s="7">
        <f>'Price Data'!C839/'Price Data'!C838-1</f>
        <v>1.348884489149027E-2</v>
      </c>
      <c r="D838" s="7">
        <f>'Price Data'!D839/'Price Data'!D838-1</f>
        <v>1.4063133616199153E-2</v>
      </c>
      <c r="E838" s="7">
        <f>'Price Data'!E839/'Price Data'!E838-1</f>
        <v>4.5134071385706243E-3</v>
      </c>
    </row>
    <row r="839" spans="1:5" ht="15" customHeight="1" x14ac:dyDescent="0.2">
      <c r="A839" s="4" t="s">
        <v>841</v>
      </c>
      <c r="B839" s="7">
        <f>'Price Data'!B840/'Price Data'!B839-1</f>
        <v>1.1853339287806852E-2</v>
      </c>
      <c r="C839" s="7">
        <f>'Price Data'!C840/'Price Data'!C839-1</f>
        <v>9.9820941240320593E-3</v>
      </c>
      <c r="D839" s="7">
        <f>'Price Data'!D840/'Price Data'!D839-1</f>
        <v>6.6865844890515724E-3</v>
      </c>
      <c r="E839" s="7">
        <f>'Price Data'!E840/'Price Data'!E839-1</f>
        <v>5.1202634160236737E-3</v>
      </c>
    </row>
    <row r="840" spans="1:5" ht="15" customHeight="1" x14ac:dyDescent="0.2">
      <c r="A840" s="4" t="s">
        <v>842</v>
      </c>
      <c r="B840" s="7">
        <f>'Price Data'!B841/'Price Data'!B840-1</f>
        <v>1.0728476960553124E-2</v>
      </c>
      <c r="C840" s="7">
        <f>'Price Data'!C841/'Price Data'!C840-1</f>
        <v>6.8424276881826618E-3</v>
      </c>
      <c r="D840" s="7">
        <f>'Price Data'!D841/'Price Data'!D840-1</f>
        <v>8.6110190495225503E-4</v>
      </c>
      <c r="E840" s="7">
        <f>'Price Data'!E841/'Price Data'!E840-1</f>
        <v>7.2762907221046724E-4</v>
      </c>
    </row>
    <row r="841" spans="1:5" ht="15" customHeight="1" x14ac:dyDescent="0.2">
      <c r="A841" s="4" t="s">
        <v>843</v>
      </c>
      <c r="B841" s="7">
        <f>'Price Data'!B842/'Price Data'!B841-1</f>
        <v>8.9777160851811644E-4</v>
      </c>
      <c r="C841" s="7">
        <f>'Price Data'!C842/'Price Data'!C841-1</f>
        <v>2.642773697577816E-3</v>
      </c>
      <c r="D841" s="7">
        <f>'Price Data'!D842/'Price Data'!D841-1</f>
        <v>9.4629472712370877E-3</v>
      </c>
      <c r="E841" s="7">
        <f>'Price Data'!E842/'Price Data'!E841-1</f>
        <v>2.0777734102936929E-3</v>
      </c>
    </row>
    <row r="842" spans="1:5" ht="15" customHeight="1" x14ac:dyDescent="0.2">
      <c r="A842" s="4" t="s">
        <v>844</v>
      </c>
      <c r="B842" s="7">
        <f>'Price Data'!B843/'Price Data'!B842-1</f>
        <v>-7.0198429559398257E-4</v>
      </c>
      <c r="C842" s="7">
        <f>'Price Data'!C843/'Price Data'!C842-1</f>
        <v>-1.1296170929527838E-3</v>
      </c>
      <c r="D842" s="7">
        <f>'Price Data'!D843/'Price Data'!D842-1</f>
        <v>-8.4004913688309202E-3</v>
      </c>
      <c r="E842" s="7">
        <f>'Price Data'!E843/'Price Data'!E842-1</f>
        <v>-2.0734652193936665E-3</v>
      </c>
    </row>
    <row r="843" spans="1:5" ht="15" customHeight="1" x14ac:dyDescent="0.2">
      <c r="A843" s="4" t="s">
        <v>845</v>
      </c>
      <c r="B843" s="7">
        <f>'Price Data'!B844/'Price Data'!B843-1</f>
        <v>5.8915901134253268E-3</v>
      </c>
      <c r="C843" s="7">
        <f>'Price Data'!C844/'Price Data'!C843-1</f>
        <v>7.6652410591602216E-3</v>
      </c>
      <c r="D843" s="7">
        <f>'Price Data'!D844/'Price Data'!D843-1</f>
        <v>2.0503451366732373E-2</v>
      </c>
      <c r="E843" s="7">
        <f>'Price Data'!E844/'Price Data'!E843-1</f>
        <v>1.8698581486924493E-3</v>
      </c>
    </row>
    <row r="844" spans="1:5" ht="15" customHeight="1" x14ac:dyDescent="0.2">
      <c r="A844" s="4" t="s">
        <v>846</v>
      </c>
      <c r="B844" s="7">
        <f>'Price Data'!B845/'Price Data'!B844-1</f>
        <v>9.3074484176836059E-4</v>
      </c>
      <c r="C844" s="7">
        <f>'Price Data'!C845/'Price Data'!C844-1</f>
        <v>1.8704521419043996E-3</v>
      </c>
      <c r="D844" s="7">
        <f>'Price Data'!D845/'Price Data'!D844-1</f>
        <v>-2.7669825862387532E-3</v>
      </c>
      <c r="E844" s="7">
        <f>'Price Data'!E845/'Price Data'!E844-1</f>
        <v>-2.0736374014294068E-3</v>
      </c>
    </row>
    <row r="845" spans="1:5" ht="15" customHeight="1" x14ac:dyDescent="0.2">
      <c r="A845" s="4" t="s">
        <v>847</v>
      </c>
      <c r="B845" s="7">
        <f>'Price Data'!B846/'Price Data'!B845-1</f>
        <v>5.4265259093799756E-4</v>
      </c>
      <c r="C845" s="7">
        <f>'Price Data'!C846/'Price Data'!C845-1</f>
        <v>0</v>
      </c>
      <c r="D845" s="7">
        <f>'Price Data'!D846/'Price Data'!D845-1</f>
        <v>3.257380081871597E-3</v>
      </c>
      <c r="E845" s="7">
        <f>'Price Data'!E846/'Price Data'!E845-1</f>
        <v>5.194650225881503E-4</v>
      </c>
    </row>
    <row r="846" spans="1:5" ht="15" customHeight="1" x14ac:dyDescent="0.2">
      <c r="A846" s="4" t="s">
        <v>848</v>
      </c>
      <c r="B846" s="7">
        <f>'Price Data'!B847/'Price Data'!B846-1</f>
        <v>4.8801913301939059E-3</v>
      </c>
      <c r="C846" s="7">
        <f>'Price Data'!C847/'Price Data'!C846-1</f>
        <v>7.4683555521297684E-3</v>
      </c>
      <c r="D846" s="7">
        <f>'Price Data'!D847/'Price Data'!D846-1</f>
        <v>7.6958384946248515E-3</v>
      </c>
      <c r="E846" s="7">
        <f>'Price Data'!E847/'Price Data'!E846-1</f>
        <v>2.7003326986374532E-3</v>
      </c>
    </row>
    <row r="847" spans="1:5" ht="15" customHeight="1" x14ac:dyDescent="0.2">
      <c r="A847" s="4" t="s">
        <v>849</v>
      </c>
      <c r="B847" s="7">
        <f>'Price Data'!B848/'Price Data'!B847-1</f>
        <v>1.2295299844258034E-2</v>
      </c>
      <c r="C847" s="7">
        <f>'Price Data'!C848/'Price Data'!C847-1</f>
        <v>1.0625217921651053E-2</v>
      </c>
      <c r="D847" s="7">
        <f>'Price Data'!D848/'Price Data'!D847-1</f>
        <v>1.3842490882564729E-2</v>
      </c>
      <c r="E847" s="7">
        <f>'Price Data'!E848/'Price Data'!E847-1</f>
        <v>6.6285762805777804E-3</v>
      </c>
    </row>
    <row r="848" spans="1:5" ht="15" customHeight="1" x14ac:dyDescent="0.2">
      <c r="A848" s="4" t="s">
        <v>850</v>
      </c>
      <c r="B848" s="7">
        <f>'Price Data'!B849/'Price Data'!B848-1</f>
        <v>-2.7035436609955665E-3</v>
      </c>
      <c r="C848" s="7">
        <f>'Price Data'!C849/'Price Data'!C848-1</f>
        <v>-5.3789601884683957E-3</v>
      </c>
      <c r="D848" s="7">
        <f>'Price Data'!D849/'Price Data'!D848-1</f>
        <v>-7.059969521568954E-4</v>
      </c>
      <c r="E848" s="7">
        <f>'Price Data'!E849/'Price Data'!E848-1</f>
        <v>-1.131908490090483E-3</v>
      </c>
    </row>
    <row r="849" spans="1:5" ht="15" customHeight="1" x14ac:dyDescent="0.2">
      <c r="A849" s="4" t="s">
        <v>851</v>
      </c>
      <c r="B849" s="7">
        <f>'Price Data'!B850/'Price Data'!B849-1</f>
        <v>1.4127977078928211E-3</v>
      </c>
      <c r="C849" s="7">
        <f>'Price Data'!C850/'Price Data'!C849-1</f>
        <v>3.441375280239134E-3</v>
      </c>
      <c r="D849" s="7">
        <f>'Price Data'!D850/'Price Data'!D849-1</f>
        <v>-1.1789653729810112E-4</v>
      </c>
      <c r="E849" s="7">
        <f>'Price Data'!E850/'Price Data'!E849-1</f>
        <v>-3.1934998691848238E-3</v>
      </c>
    </row>
    <row r="850" spans="1:5" ht="15" customHeight="1" x14ac:dyDescent="0.2">
      <c r="A850" s="4" t="s">
        <v>852</v>
      </c>
      <c r="B850" s="7">
        <f>'Price Data'!B851/'Price Data'!B850-1</f>
        <v>1.0293136022887506E-3</v>
      </c>
      <c r="C850" s="7">
        <f>'Price Data'!C851/'Price Data'!C850-1</f>
        <v>7.3497365228969436E-4</v>
      </c>
      <c r="D850" s="7">
        <f>'Price Data'!D851/'Price Data'!D850-1</f>
        <v>-5.8900240209381893E-3</v>
      </c>
      <c r="E850" s="7">
        <f>'Price Data'!E851/'Price Data'!E850-1</f>
        <v>-9.3008778684133819E-4</v>
      </c>
    </row>
    <row r="851" spans="1:5" ht="15" customHeight="1" x14ac:dyDescent="0.2">
      <c r="A851" s="4" t="s">
        <v>853</v>
      </c>
      <c r="B851" s="7">
        <f>'Price Data'!B852/'Price Data'!B851-1</f>
        <v>2.0564506490103884E-3</v>
      </c>
      <c r="C851" s="7">
        <f>'Price Data'!C852/'Price Data'!C851-1</f>
        <v>-1.5911720401188267E-3</v>
      </c>
      <c r="D851" s="7">
        <f>'Price Data'!D852/'Price Data'!D851-1</f>
        <v>-3.557283874504602E-4</v>
      </c>
      <c r="E851" s="7">
        <f>'Price Data'!E852/'Price Data'!E851-1</f>
        <v>1.8622506145773432E-3</v>
      </c>
    </row>
    <row r="852" spans="1:5" ht="15" customHeight="1" x14ac:dyDescent="0.2">
      <c r="A852" s="4" t="s">
        <v>854</v>
      </c>
      <c r="B852" s="7">
        <f>'Price Data'!B853/'Price Data'!B852-1</f>
        <v>-3.38259278557973E-3</v>
      </c>
      <c r="C852" s="7">
        <f>'Price Data'!C853/'Price Data'!C852-1</f>
        <v>-9.4396466988185823E-3</v>
      </c>
      <c r="D852" s="7">
        <f>'Price Data'!D853/'Price Data'!D852-1</f>
        <v>-9.0088016312037666E-3</v>
      </c>
      <c r="E852" s="7">
        <f>'Price Data'!E853/'Price Data'!E852-1</f>
        <v>-1.2391641668499931E-3</v>
      </c>
    </row>
    <row r="853" spans="1:5" ht="15" customHeight="1" x14ac:dyDescent="0.2">
      <c r="A853" s="4" t="s">
        <v>855</v>
      </c>
      <c r="B853" s="7">
        <f>'Price Data'!B854/'Price Data'!B853-1</f>
        <v>-8.5040937070212097E-3</v>
      </c>
      <c r="C853" s="7">
        <f>'Price Data'!C854/'Price Data'!C853-1</f>
        <v>-5.0743264960151357E-3</v>
      </c>
      <c r="D853" s="7">
        <f>'Price Data'!D854/'Price Data'!D853-1</f>
        <v>-2.1531041092669678E-2</v>
      </c>
      <c r="E853" s="7">
        <f>'Price Data'!E854/'Price Data'!E853-1</f>
        <v>-2.7907852024313673E-3</v>
      </c>
    </row>
    <row r="854" spans="1:5" ht="15" customHeight="1" x14ac:dyDescent="0.2">
      <c r="A854" s="4" t="s">
        <v>856</v>
      </c>
      <c r="B854" s="7">
        <f>'Price Data'!B855/'Price Data'!B854-1</f>
        <v>7.2310082901685391E-3</v>
      </c>
      <c r="C854" s="7">
        <f>'Price Data'!C855/'Price Data'!C854-1</f>
        <v>8.2099053332211902E-3</v>
      </c>
      <c r="D854" s="7">
        <f>'Price Data'!D855/'Price Data'!D854-1</f>
        <v>7.3337200228551502E-4</v>
      </c>
      <c r="E854" s="7">
        <f>'Price Data'!E855/'Price Data'!E854-1</f>
        <v>1.1400984449845275E-3</v>
      </c>
    </row>
    <row r="855" spans="1:5" ht="15" customHeight="1" x14ac:dyDescent="0.2">
      <c r="A855" s="4" t="s">
        <v>857</v>
      </c>
      <c r="B855" s="7">
        <f>'Price Data'!B856/'Price Data'!B855-1</f>
        <v>0</v>
      </c>
      <c r="C855" s="7">
        <f>'Price Data'!C856/'Price Data'!C855-1</f>
        <v>-3.7016192541472481E-4</v>
      </c>
      <c r="D855" s="7">
        <f>'Price Data'!D856/'Price Data'!D855-1</f>
        <v>-6.5967327877287651E-3</v>
      </c>
      <c r="E855" s="7">
        <f>'Price Data'!E856/'Price Data'!E855-1</f>
        <v>-4.6592431734708839E-3</v>
      </c>
    </row>
    <row r="856" spans="1:5" ht="15" customHeight="1" x14ac:dyDescent="0.2">
      <c r="A856" s="4" t="s">
        <v>858</v>
      </c>
      <c r="B856" s="7">
        <f>'Price Data'!B857/'Price Data'!B856-1</f>
        <v>-8.2102197842842672E-3</v>
      </c>
      <c r="C856" s="7">
        <f>'Price Data'!C857/'Price Data'!C856-1</f>
        <v>-1.5798504212763742E-2</v>
      </c>
      <c r="D856" s="7">
        <f>'Price Data'!D857/'Price Data'!D856-1</f>
        <v>-9.7147368325040118E-3</v>
      </c>
      <c r="E856" s="7">
        <f>'Price Data'!E857/'Price Data'!E856-1</f>
        <v>-3.8488718334307448E-3</v>
      </c>
    </row>
    <row r="857" spans="1:5" ht="15" customHeight="1" x14ac:dyDescent="0.2">
      <c r="A857" s="4" t="s">
        <v>859</v>
      </c>
      <c r="B857" s="7">
        <f>'Price Data'!B858/'Price Data'!B857-1</f>
        <v>-4.8898068546215923E-3</v>
      </c>
      <c r="C857" s="7">
        <f>'Price Data'!C858/'Price Data'!C857-1</f>
        <v>8.4023467019704867E-3</v>
      </c>
      <c r="D857" s="7">
        <f>'Price Data'!D858/'Price Data'!D857-1</f>
        <v>1.4653066255485125E-2</v>
      </c>
      <c r="E857" s="7">
        <f>'Price Data'!E858/'Price Data'!E857-1</f>
        <v>4.698966424948825E-3</v>
      </c>
    </row>
    <row r="858" spans="1:5" ht="15" customHeight="1" x14ac:dyDescent="0.2">
      <c r="A858" s="4" t="s">
        <v>860</v>
      </c>
      <c r="B858" s="7">
        <f>'Price Data'!B859/'Price Data'!B858-1</f>
        <v>7.6995793727503425E-3</v>
      </c>
      <c r="C858" s="7">
        <f>'Price Data'!C859/'Price Data'!C858-1</f>
        <v>9.5758232546623301E-3</v>
      </c>
      <c r="D858" s="7">
        <f>'Price Data'!D859/'Price Data'!D858-1</f>
        <v>1.8724748542375824E-2</v>
      </c>
      <c r="E858" s="7">
        <f>'Price Data'!E859/'Price Data'!E858-1</f>
        <v>3.2223783451486021E-3</v>
      </c>
    </row>
    <row r="859" spans="1:5" ht="15" customHeight="1" x14ac:dyDescent="0.2">
      <c r="A859" s="4" t="s">
        <v>861</v>
      </c>
      <c r="B859" s="7">
        <f>'Price Data'!B860/'Price Data'!B859-1</f>
        <v>3.0709523754324231E-4</v>
      </c>
      <c r="C859" s="7">
        <f>'Price Data'!C860/'Price Data'!C859-1</f>
        <v>2.8333635698836179E-3</v>
      </c>
      <c r="D859" s="7">
        <f>'Price Data'!D860/'Price Data'!D859-1</f>
        <v>-2.2824034761901313E-3</v>
      </c>
      <c r="E859" s="7">
        <f>'Price Data'!E860/'Price Data'!E859-1</f>
        <v>6.0488049782436715E-3</v>
      </c>
    </row>
    <row r="860" spans="1:5" ht="15" customHeight="1" x14ac:dyDescent="0.2">
      <c r="A860" s="4" t="s">
        <v>862</v>
      </c>
      <c r="B860" s="7">
        <f>'Price Data'!B861/'Price Data'!B860-1</f>
        <v>-1.1498230935103049E-4</v>
      </c>
      <c r="C860" s="7">
        <f>'Price Data'!C861/'Price Data'!C860-1</f>
        <v>-1.2284166533028662E-3</v>
      </c>
      <c r="D860" s="7">
        <f>'Price Data'!D861/'Price Data'!D860-1</f>
        <v>7.7060319896165019E-3</v>
      </c>
      <c r="E860" s="7">
        <f>'Price Data'!E861/'Price Data'!E860-1</f>
        <v>3.6154433006887476E-3</v>
      </c>
    </row>
    <row r="861" spans="1:5" ht="15" customHeight="1" x14ac:dyDescent="0.2">
      <c r="A861" s="4" t="s">
        <v>863</v>
      </c>
      <c r="B861" s="7">
        <f>'Price Data'!B862/'Price Data'!B861-1</f>
        <v>1.2246090438053026E-2</v>
      </c>
      <c r="C861" s="7">
        <f>'Price Data'!C862/'Price Data'!C861-1</f>
        <v>7.0100777694981353E-3</v>
      </c>
      <c r="D861" s="7">
        <f>'Price Data'!D862/'Price Data'!D861-1</f>
        <v>-1.1947167171011408E-3</v>
      </c>
      <c r="E861" s="7">
        <f>'Price Data'!E862/'Price Data'!E861-1</f>
        <v>3.0883228666502838E-3</v>
      </c>
    </row>
    <row r="862" spans="1:5" ht="15" customHeight="1" x14ac:dyDescent="0.2">
      <c r="A862" s="4" t="s">
        <v>864</v>
      </c>
      <c r="B862" s="7">
        <f>'Price Data'!B863/'Price Data'!B862-1</f>
        <v>-8.7229552977363678E-4</v>
      </c>
      <c r="C862" s="7">
        <f>'Price Data'!C863/'Price Data'!C862-1</f>
        <v>3.4199249224102779E-3</v>
      </c>
      <c r="D862" s="7">
        <f>'Price Data'!D863/'Price Data'!D862-1</f>
        <v>1.9142121101349829E-3</v>
      </c>
      <c r="E862" s="7">
        <f>'Price Data'!E863/'Price Data'!E862-1</f>
        <v>3.0794935438471782E-4</v>
      </c>
    </row>
    <row r="863" spans="1:5" ht="15" customHeight="1" x14ac:dyDescent="0.2">
      <c r="A863" s="4" t="s">
        <v>865</v>
      </c>
      <c r="B863" s="7">
        <f>'Price Data'!B864/'Price Data'!B863-1</f>
        <v>-1.8975798843063885E-3</v>
      </c>
      <c r="C863" s="7">
        <f>'Price Data'!C864/'Price Data'!C863-1</f>
        <v>-1.0832803578012862E-2</v>
      </c>
      <c r="D863" s="7">
        <f>'Price Data'!D864/'Price Data'!D863-1</f>
        <v>-9.4330600732630554E-3</v>
      </c>
      <c r="E863" s="7">
        <f>'Price Data'!E864/'Price Data'!E863-1</f>
        <v>-8.8226464188663201E-3</v>
      </c>
    </row>
    <row r="864" spans="1:5" ht="15" customHeight="1" x14ac:dyDescent="0.2">
      <c r="A864" s="4" t="s">
        <v>866</v>
      </c>
      <c r="B864" s="7">
        <f>'Price Data'!B865/'Price Data'!B864-1</f>
        <v>3.3463979928660681E-3</v>
      </c>
      <c r="C864" s="7">
        <f>'Price Data'!C865/'Price Data'!C864-1</f>
        <v>-7.3821795184614292E-4</v>
      </c>
      <c r="D864" s="7">
        <f>'Price Data'!D865/'Price Data'!D864-1</f>
        <v>3.3750845504092464E-3</v>
      </c>
      <c r="E864" s="7">
        <f>'Price Data'!E865/'Price Data'!E864-1</f>
        <v>-8.2768211424988358E-4</v>
      </c>
    </row>
    <row r="865" spans="1:5" ht="15" customHeight="1" x14ac:dyDescent="0.2">
      <c r="A865" s="4" t="s">
        <v>867</v>
      </c>
      <c r="B865" s="7">
        <f>'Price Data'!B866/'Price Data'!B865-1</f>
        <v>1.7056533982384714E-3</v>
      </c>
      <c r="C865" s="7">
        <f>'Price Data'!C866/'Price Data'!C865-1</f>
        <v>-1.1363519363662533E-2</v>
      </c>
      <c r="D865" s="7">
        <f>'Price Data'!D866/'Price Data'!D865-1</f>
        <v>-3.6039267031702238E-3</v>
      </c>
      <c r="E865" s="7">
        <f>'Price Data'!E866/'Price Data'!E865-1</f>
        <v>3.4180879425276256E-3</v>
      </c>
    </row>
    <row r="866" spans="1:5" ht="15" customHeight="1" x14ac:dyDescent="0.2">
      <c r="A866" s="4" t="s">
        <v>868</v>
      </c>
      <c r="B866" s="7">
        <f>'Price Data'!B867/'Price Data'!B866-1</f>
        <v>9.4215854293431267E-3</v>
      </c>
      <c r="C866" s="7">
        <f>'Price Data'!C867/'Price Data'!C866-1</f>
        <v>1.1785631611752834E-2</v>
      </c>
      <c r="D866" s="7">
        <f>'Price Data'!D867/'Price Data'!D866-1</f>
        <v>8.9221744739249598E-3</v>
      </c>
      <c r="E866" s="7">
        <f>'Price Data'!E867/'Price Data'!E866-1</f>
        <v>4.7485116178440645E-3</v>
      </c>
    </row>
    <row r="867" spans="1:5" ht="15" customHeight="1" x14ac:dyDescent="0.2">
      <c r="A867" s="4" t="s">
        <v>869</v>
      </c>
      <c r="B867" s="7">
        <f>'Price Data'!B868/'Price Data'!B867-1</f>
        <v>4.4997734231699837E-4</v>
      </c>
      <c r="C867" s="7">
        <f>'Price Data'!C868/'Price Data'!C867-1</f>
        <v>-1.4278574678083245E-2</v>
      </c>
      <c r="D867" s="7">
        <f>'Price Data'!D868/'Price Data'!D867-1</f>
        <v>4.0629398119396143E-3</v>
      </c>
      <c r="E867" s="7">
        <f>'Price Data'!E868/'Price Data'!E867-1</f>
        <v>5.0346538793366591E-3</v>
      </c>
    </row>
    <row r="868" spans="1:5" ht="15" customHeight="1" x14ac:dyDescent="0.2">
      <c r="A868" s="4" t="s">
        <v>870</v>
      </c>
      <c r="B868" s="7">
        <f>'Price Data'!B869/'Price Data'!B868-1</f>
        <v>-7.4927215829734273E-4</v>
      </c>
      <c r="C868" s="7">
        <f>'Price Data'!C869/'Price Data'!C868-1</f>
        <v>-1.1054597246005882E-2</v>
      </c>
      <c r="D868" s="7">
        <f>'Price Data'!D869/'Price Data'!D868-1</f>
        <v>-2.3806437002660275E-4</v>
      </c>
      <c r="E868" s="7">
        <f>'Price Data'!E869/'Price Data'!E868-1</f>
        <v>1.0219950483216778E-3</v>
      </c>
    </row>
    <row r="869" spans="1:5" ht="15" customHeight="1" x14ac:dyDescent="0.2">
      <c r="A869" s="4" t="s">
        <v>871</v>
      </c>
      <c r="B869" s="7">
        <f>'Price Data'!B870/'Price Data'!B869-1</f>
        <v>7.6117799249033613E-3</v>
      </c>
      <c r="C869" s="7">
        <f>'Price Data'!C870/'Price Data'!C869-1</f>
        <v>3.9829879089607889E-3</v>
      </c>
      <c r="D869" s="7">
        <f>'Price Data'!D870/'Price Data'!D869-1</f>
        <v>-3.9285013742059727E-3</v>
      </c>
      <c r="E869" s="7">
        <f>'Price Data'!E870/'Price Data'!E869-1</f>
        <v>-3.5741754818706672E-3</v>
      </c>
    </row>
    <row r="870" spans="1:5" ht="15" customHeight="1" x14ac:dyDescent="0.2">
      <c r="A870" s="4" t="s">
        <v>872</v>
      </c>
      <c r="B870" s="7">
        <f>'Price Data'!B871/'Price Data'!B870-1</f>
        <v>2.5305501330481484E-3</v>
      </c>
      <c r="C870" s="7">
        <f>'Price Data'!C871/'Price Data'!C870-1</f>
        <v>3.9671866524926269E-3</v>
      </c>
      <c r="D870" s="7">
        <f>'Price Data'!D871/'Price Data'!D870-1</f>
        <v>3.9439953654190063E-3</v>
      </c>
      <c r="E870" s="7">
        <f>'Price Data'!E871/'Price Data'!E870-1</f>
        <v>3.5869960351531116E-3</v>
      </c>
    </row>
    <row r="871" spans="1:5" ht="15" customHeight="1" x14ac:dyDescent="0.2">
      <c r="A871" s="4" t="s">
        <v>873</v>
      </c>
      <c r="B871" s="7">
        <f>'Price Data'!B872/'Price Data'!B871-1</f>
        <v>-2.5241626130119155E-3</v>
      </c>
      <c r="C871" s="7">
        <f>'Price Data'!C872/'Price Data'!C871-1</f>
        <v>6.3754780052760474E-4</v>
      </c>
      <c r="D871" s="7">
        <f>'Price Data'!D872/'Price Data'!D871-1</f>
        <v>-2.8571550466731654E-3</v>
      </c>
      <c r="E871" s="7">
        <f>'Price Data'!E872/'Price Data'!E871-1</f>
        <v>-1.7360232641138174E-3</v>
      </c>
    </row>
    <row r="872" spans="1:5" ht="15" customHeight="1" x14ac:dyDescent="0.2">
      <c r="A872" s="4" t="s">
        <v>874</v>
      </c>
      <c r="B872" s="7">
        <f>'Price Data'!B873/'Price Data'!B872-1</f>
        <v>-1.5257110456972089E-3</v>
      </c>
      <c r="C872" s="7">
        <f>'Price Data'!C873/'Price Data'!C872-1</f>
        <v>-7.0064844989680131E-3</v>
      </c>
      <c r="D872" s="7">
        <f>'Price Data'!D873/'Price Data'!D872-1</f>
        <v>2.5071367378068921E-3</v>
      </c>
      <c r="E872" s="7">
        <f>'Price Data'!E873/'Price Data'!E872-1</f>
        <v>1.0247580183242455E-4</v>
      </c>
    </row>
    <row r="873" spans="1:5" ht="15" customHeight="1" x14ac:dyDescent="0.2">
      <c r="A873" s="4" t="s">
        <v>875</v>
      </c>
      <c r="B873" s="7">
        <f>'Price Data'!B874/'Price Data'!B873-1</f>
        <v>-1.6771739075789327E-3</v>
      </c>
      <c r="C873" s="7">
        <f>'Price Data'!C874/'Price Data'!C873-1</f>
        <v>7.9538171516608802E-3</v>
      </c>
      <c r="D873" s="7">
        <f>'Price Data'!D874/'Price Data'!D873-1</f>
        <v>7.7411040675992027E-3</v>
      </c>
      <c r="E873" s="7">
        <f>'Price Data'!E874/'Price Data'!E873-1</f>
        <v>8.1811478229121271E-4</v>
      </c>
    </row>
    <row r="874" spans="1:5" ht="15" customHeight="1" x14ac:dyDescent="0.2">
      <c r="A874" s="4" t="s">
        <v>876</v>
      </c>
      <c r="B874" s="7">
        <f>'Price Data'!B875/'Price Data'!B874-1</f>
        <v>3.2851163223386326E-3</v>
      </c>
      <c r="C874" s="7">
        <f>'Price Data'!C875/'Price Data'!C874-1</f>
        <v>2.4181942320211647E-3</v>
      </c>
      <c r="D874" s="7">
        <f>'Price Data'!D875/'Price Data'!D874-1</f>
        <v>-1.2290387136164815E-2</v>
      </c>
      <c r="E874" s="7">
        <f>'Price Data'!E875/'Price Data'!E874-1</f>
        <v>-1.021279128430308E-4</v>
      </c>
    </row>
    <row r="875" spans="1:5" ht="15" customHeight="1" x14ac:dyDescent="0.2">
      <c r="A875" s="4" t="s">
        <v>877</v>
      </c>
      <c r="B875" s="7">
        <f>'Price Data'!B876/'Price Data'!B875-1</f>
        <v>-3.7135645888697333E-5</v>
      </c>
      <c r="C875" s="7">
        <f>'Price Data'!C876/'Price Data'!C875-1</f>
        <v>-7.3641516860493139E-3</v>
      </c>
      <c r="D875" s="7">
        <f>'Price Data'!D876/'Price Data'!D875-1</f>
        <v>-3.1107303744822845E-3</v>
      </c>
      <c r="E875" s="7">
        <f>'Price Data'!E876/'Price Data'!E875-1</f>
        <v>-4.4977228560593163E-3</v>
      </c>
    </row>
    <row r="876" spans="1:5" ht="15" customHeight="1" x14ac:dyDescent="0.2">
      <c r="A876" s="4" t="s">
        <v>878</v>
      </c>
      <c r="B876" s="7">
        <f>'Price Data'!B877/'Price Data'!B876-1</f>
        <v>2.4189282978677173E-3</v>
      </c>
      <c r="C876" s="7">
        <f>'Price Data'!C877/'Price Data'!C876-1</f>
        <v>7.6744972418496538E-4</v>
      </c>
      <c r="D876" s="7">
        <f>'Price Data'!D877/'Price Data'!D876-1</f>
        <v>9.7214082538341628E-3</v>
      </c>
      <c r="E876" s="7">
        <f>'Price Data'!E877/'Price Data'!E876-1</f>
        <v>1.6429558903203745E-3</v>
      </c>
    </row>
    <row r="877" spans="1:5" ht="15" customHeight="1" x14ac:dyDescent="0.2">
      <c r="A877" s="4" t="s">
        <v>879</v>
      </c>
      <c r="B877" s="7">
        <f>'Price Data'!B878/'Price Data'!B877-1</f>
        <v>-3.4200118458530548E-3</v>
      </c>
      <c r="C877" s="7">
        <f>'Price Data'!C878/'Price Data'!C877-1</f>
        <v>1.1503957904375195E-3</v>
      </c>
      <c r="D877" s="7">
        <f>'Price Data'!D878/'Price Data'!D877-1</f>
        <v>7.97869732096812E-3</v>
      </c>
      <c r="E877" s="7">
        <f>'Price Data'!E878/'Price Data'!E877-1</f>
        <v>-4.9205286585668473E-3</v>
      </c>
    </row>
    <row r="878" spans="1:5" ht="15" customHeight="1" x14ac:dyDescent="0.2">
      <c r="A878" s="4" t="s">
        <v>880</v>
      </c>
      <c r="B878" s="7">
        <f>'Price Data'!B879/'Price Data'!B878-1</f>
        <v>2.0185311611535806E-3</v>
      </c>
      <c r="C878" s="7">
        <f>'Price Data'!C879/'Price Data'!C878-1</f>
        <v>1.7872867053647656E-3</v>
      </c>
      <c r="D878" s="7">
        <f>'Price Data'!D879/'Price Data'!D878-1</f>
        <v>-9.431701832109618E-3</v>
      </c>
      <c r="E878" s="7">
        <f>'Price Data'!E879/'Price Data'!E878-1</f>
        <v>-5.3631735453355533E-3</v>
      </c>
    </row>
    <row r="879" spans="1:5" ht="15" customHeight="1" x14ac:dyDescent="0.2">
      <c r="A879" s="4" t="s">
        <v>881</v>
      </c>
      <c r="B879" s="7">
        <f>'Price Data'!B880/'Price Data'!B879-1</f>
        <v>5.7826470887802905E-3</v>
      </c>
      <c r="C879" s="7">
        <f>'Price Data'!C880/'Price Data'!C879-1</f>
        <v>2.4213795621332856E-3</v>
      </c>
      <c r="D879" s="7">
        <f>'Price Data'!D880/'Price Data'!D879-1</f>
        <v>4.7004299401194327E-3</v>
      </c>
      <c r="E879" s="7">
        <f>'Price Data'!E880/'Price Data'!E879-1</f>
        <v>3.3246295196192044E-3</v>
      </c>
    </row>
    <row r="880" spans="1:5" ht="15" customHeight="1" x14ac:dyDescent="0.2">
      <c r="A880" s="4" t="s">
        <v>882</v>
      </c>
      <c r="B880" s="7">
        <f>'Price Data'!B881/'Price Data'!B880-1</f>
        <v>4.1171209198678227E-3</v>
      </c>
      <c r="C880" s="7">
        <f>'Price Data'!C881/'Price Data'!C880-1</f>
        <v>1.1441600729707124E-2</v>
      </c>
      <c r="D880" s="7">
        <f>'Price Data'!D881/'Price Data'!D880-1</f>
        <v>-9.597634078027939E-4</v>
      </c>
      <c r="E880" s="7">
        <f>'Price Data'!E881/'Price Data'!E880-1</f>
        <v>5.3844716680360172E-3</v>
      </c>
    </row>
    <row r="881" spans="1:5" ht="15" customHeight="1" x14ac:dyDescent="0.2">
      <c r="A881" s="4" t="s">
        <v>883</v>
      </c>
      <c r="B881" s="7">
        <f>'Price Data'!B882/'Price Data'!B881-1</f>
        <v>5.2087623188259435E-3</v>
      </c>
      <c r="C881" s="7">
        <f>'Price Data'!C882/'Price Data'!C881-1</f>
        <v>6.6615518101160731E-3</v>
      </c>
      <c r="D881" s="7">
        <f>'Price Data'!D882/'Price Data'!D881-1</f>
        <v>2.7619582800184617E-3</v>
      </c>
      <c r="E881" s="7">
        <f>'Price Data'!E882/'Price Data'!E881-1</f>
        <v>5.0469070272811667E-3</v>
      </c>
    </row>
    <row r="882" spans="1:5" ht="15" customHeight="1" x14ac:dyDescent="0.2">
      <c r="A882" s="4" t="s">
        <v>884</v>
      </c>
      <c r="B882" s="7">
        <f>'Price Data'!B883/'Price Data'!B882-1</f>
        <v>1.3595111827560125E-3</v>
      </c>
      <c r="C882" s="7">
        <f>'Price Data'!C883/'Price Data'!C882-1</f>
        <v>-4.9942147814099336E-3</v>
      </c>
      <c r="D882" s="7">
        <f>'Price Data'!D883/'Price Data'!D882-1</f>
        <v>3.2331241300231905E-3</v>
      </c>
      <c r="E882" s="7">
        <f>'Price Data'!E883/'Price Data'!E882-1</f>
        <v>3.0743060100646424E-4</v>
      </c>
    </row>
    <row r="883" spans="1:5" ht="15" customHeight="1" x14ac:dyDescent="0.2">
      <c r="A883" s="4" t="s">
        <v>885</v>
      </c>
      <c r="B883" s="7">
        <f>'Price Data'!B884/'Price Data'!B883-1</f>
        <v>-2.569579779029274E-4</v>
      </c>
      <c r="C883" s="7">
        <f>'Price Data'!C884/'Price Data'!C883-1</f>
        <v>-4.0155074060422846E-3</v>
      </c>
      <c r="D883" s="7">
        <f>'Price Data'!D884/'Price Data'!D883-1</f>
        <v>-2.3876253798038594E-4</v>
      </c>
      <c r="E883" s="7">
        <f>'Price Data'!E884/'Price Data'!E883-1</f>
        <v>-9.2192387002187903E-4</v>
      </c>
    </row>
    <row r="884" spans="1:5" ht="15" customHeight="1" x14ac:dyDescent="0.2">
      <c r="A884" s="4" t="s">
        <v>886</v>
      </c>
      <c r="B884" s="7">
        <f>'Price Data'!B885/'Price Data'!B884-1</f>
        <v>9.6909191427010377E-3</v>
      </c>
      <c r="C884" s="7">
        <f>'Price Data'!C885/'Price Data'!C884-1</f>
        <v>1.4110938499197534E-2</v>
      </c>
      <c r="D884" s="7">
        <f>'Price Data'!D885/'Price Data'!D884-1</f>
        <v>7.4020304183388674E-3</v>
      </c>
      <c r="E884" s="7">
        <f>'Price Data'!E885/'Price Data'!E884-1</f>
        <v>1.0255118046318401E-3</v>
      </c>
    </row>
    <row r="885" spans="1:5" ht="15" customHeight="1" x14ac:dyDescent="0.2">
      <c r="A885" s="4" t="s">
        <v>887</v>
      </c>
      <c r="B885" s="7">
        <f>'Price Data'!B886/'Price Data'!B885-1</f>
        <v>-4.4717467735272409E-3</v>
      </c>
      <c r="C885" s="7">
        <f>'Price Data'!C886/'Price Data'!C885-1</f>
        <v>2.8575616511752333E-3</v>
      </c>
      <c r="D885" s="7">
        <f>'Price Data'!D886/'Price Data'!D885-1</f>
        <v>2.8679865159884743E-2</v>
      </c>
      <c r="E885" s="7">
        <f>'Price Data'!E886/'Price Data'!E885-1</f>
        <v>5.1218836841202542E-3</v>
      </c>
    </row>
    <row r="886" spans="1:5" ht="15" customHeight="1" x14ac:dyDescent="0.2">
      <c r="A886" s="4" t="s">
        <v>888</v>
      </c>
      <c r="B886" s="7">
        <f>'Price Data'!B887/'Price Data'!B886-1</f>
        <v>6.6100706962364253E-3</v>
      </c>
      <c r="C886" s="7">
        <f>'Price Data'!C887/'Price Data'!C886-1</f>
        <v>1.0654174971760799E-2</v>
      </c>
      <c r="D886" s="7">
        <f>'Price Data'!D887/'Price Data'!D886-1</f>
        <v>7.6036994630579446E-3</v>
      </c>
      <c r="E886" s="7">
        <f>'Price Data'!E887/'Price Data'!E886-1</f>
        <v>2.7513954261737528E-3</v>
      </c>
    </row>
    <row r="887" spans="1:5" ht="15" customHeight="1" x14ac:dyDescent="0.2">
      <c r="A887" s="4" t="s">
        <v>889</v>
      </c>
      <c r="B887" s="7">
        <f>'Price Data'!B888/'Price Data'!B887-1</f>
        <v>4.2808118158230712E-3</v>
      </c>
      <c r="C887" s="7">
        <f>'Price Data'!C888/'Price Data'!C887-1</f>
        <v>-8.8257758534191488E-3</v>
      </c>
      <c r="D887" s="7">
        <f>'Price Data'!D888/'Price Data'!D887-1</f>
        <v>6.7460007829052149E-3</v>
      </c>
      <c r="E887" s="7">
        <f>'Price Data'!E888/'Price Data'!E887-1</f>
        <v>-3.4553904392566892E-3</v>
      </c>
    </row>
    <row r="888" spans="1:5" ht="15" customHeight="1" x14ac:dyDescent="0.2">
      <c r="A888" s="4" t="s">
        <v>890</v>
      </c>
      <c r="B888" s="7">
        <f>'Price Data'!B889/'Price Data'!B888-1</f>
        <v>8.2364921257986889E-3</v>
      </c>
      <c r="C888" s="7">
        <f>'Price Data'!C889/'Price Data'!C888-1</f>
        <v>4.8230880321480374E-3</v>
      </c>
      <c r="D888" s="7">
        <f>'Price Data'!D889/'Price Data'!D888-1</f>
        <v>1.2265582417665399E-2</v>
      </c>
      <c r="E888" s="7">
        <f>'Price Data'!E889/'Price Data'!E888-1</f>
        <v>4.0796217975549443E-3</v>
      </c>
    </row>
    <row r="889" spans="1:5" ht="15" customHeight="1" x14ac:dyDescent="0.2">
      <c r="A889" s="4" t="s">
        <v>891</v>
      </c>
      <c r="B889" s="7">
        <f>'Price Data'!B890/'Price Data'!B889-1</f>
        <v>-1.4116752795031773E-2</v>
      </c>
      <c r="C889" s="7">
        <f>'Price Data'!C890/'Price Data'!C889-1</f>
        <v>-5.2921386515085711E-3</v>
      </c>
      <c r="D889" s="7">
        <f>'Price Data'!D890/'Price Data'!D889-1</f>
        <v>6.8440348246596727E-3</v>
      </c>
      <c r="E889" s="7">
        <f>'Price Data'!E890/'Price Data'!E889-1</f>
        <v>7.1085926946401479E-4</v>
      </c>
    </row>
    <row r="890" spans="1:5" ht="15" customHeight="1" x14ac:dyDescent="0.2">
      <c r="A890" s="4" t="s">
        <v>892</v>
      </c>
      <c r="B890" s="7">
        <f>'Price Data'!B891/'Price Data'!B890-1</f>
        <v>-8.7222593545271954E-3</v>
      </c>
      <c r="C890" s="7">
        <f>'Price Data'!C891/'Price Data'!C890-1</f>
        <v>-9.8987114449555769E-3</v>
      </c>
      <c r="D890" s="7">
        <f>'Price Data'!D891/'Price Data'!D890-1</f>
        <v>-8.8032936421152952E-3</v>
      </c>
      <c r="E890" s="7">
        <f>'Price Data'!E891/'Price Data'!E890-1</f>
        <v>-2.7403087107582547E-3</v>
      </c>
    </row>
    <row r="891" spans="1:5" ht="15" customHeight="1" x14ac:dyDescent="0.2">
      <c r="A891" s="4" t="s">
        <v>893</v>
      </c>
      <c r="B891" s="7">
        <f>'Price Data'!B892/'Price Data'!B891-1</f>
        <v>-6.2326583178555772E-3</v>
      </c>
      <c r="C891" s="7">
        <f>'Price Data'!C892/'Price Data'!C891-1</f>
        <v>-6.1233894339830508E-3</v>
      </c>
      <c r="D891" s="7">
        <f>'Price Data'!D892/'Price Data'!D891-1</f>
        <v>-1.7986179099780397E-3</v>
      </c>
      <c r="E891" s="7">
        <f>'Price Data'!E892/'Price Data'!E891-1</f>
        <v>-2.0357841776698082E-3</v>
      </c>
    </row>
    <row r="892" spans="1:5" ht="15" customHeight="1" x14ac:dyDescent="0.2">
      <c r="A892" s="4" t="s">
        <v>894</v>
      </c>
      <c r="B892" s="7">
        <f>'Price Data'!B893/'Price Data'!B892-1</f>
        <v>1.0440760985624076E-2</v>
      </c>
      <c r="C892" s="7">
        <f>'Price Data'!C893/'Price Data'!C892-1</f>
        <v>1.0562118357560824E-2</v>
      </c>
      <c r="D892" s="7">
        <f>'Price Data'!D893/'Price Data'!D892-1</f>
        <v>1.0361499131658958E-2</v>
      </c>
      <c r="E892" s="7">
        <f>'Price Data'!E893/'Price Data'!E892-1</f>
        <v>-4.0771828886487782E-4</v>
      </c>
    </row>
    <row r="893" spans="1:5" ht="15" customHeight="1" x14ac:dyDescent="0.2">
      <c r="A893" s="4" t="s">
        <v>895</v>
      </c>
      <c r="B893" s="7">
        <f>'Price Data'!B894/'Price Data'!B893-1</f>
        <v>-7.3039647043693368E-4</v>
      </c>
      <c r="C893" s="7">
        <f>'Price Data'!C894/'Price Data'!C893-1</f>
        <v>-5.5992329313085953E-3</v>
      </c>
      <c r="D893" s="7">
        <f>'Price Data'!D894/'Price Data'!D893-1</f>
        <v>-7.8033783562991843E-4</v>
      </c>
      <c r="E893" s="7">
        <f>'Price Data'!E894/'Price Data'!E893-1</f>
        <v>-1.0205528232820615E-4</v>
      </c>
    </row>
    <row r="894" spans="1:5" ht="15" customHeight="1" x14ac:dyDescent="0.2">
      <c r="A894" s="4" t="s">
        <v>896</v>
      </c>
      <c r="B894" s="7">
        <f>'Price Data'!B895/'Price Data'!B894-1</f>
        <v>-2.2507329870451898E-2</v>
      </c>
      <c r="C894" s="7">
        <f>'Price Data'!C895/'Price Data'!C894-1</f>
        <v>-1.2637676567678446E-2</v>
      </c>
      <c r="D894" s="7">
        <f>'Price Data'!D895/'Price Data'!D894-1</f>
        <v>-1.4725502188379092E-2</v>
      </c>
      <c r="E894" s="7">
        <f>'Price Data'!E895/'Price Data'!E894-1</f>
        <v>-3.061550244174871E-3</v>
      </c>
    </row>
    <row r="895" spans="1:5" ht="15" customHeight="1" x14ac:dyDescent="0.2">
      <c r="A895" s="4" t="s">
        <v>897</v>
      </c>
      <c r="B895" s="7">
        <f>'Price Data'!B896/'Price Data'!B895-1</f>
        <v>-3.8498498926756719E-3</v>
      </c>
      <c r="C895" s="7">
        <f>'Price Data'!C896/'Price Data'!C895-1</f>
        <v>-6.3362502081590888E-3</v>
      </c>
      <c r="D895" s="7">
        <f>'Price Data'!D896/'Price Data'!D895-1</f>
        <v>-3.2836271898495362E-3</v>
      </c>
      <c r="E895" s="7">
        <f>'Price Data'!E896/'Price Data'!E895-1</f>
        <v>2.7636459025510707E-3</v>
      </c>
    </row>
    <row r="896" spans="1:5" ht="15" customHeight="1" x14ac:dyDescent="0.2">
      <c r="A896" s="4" t="s">
        <v>898</v>
      </c>
      <c r="B896" s="7">
        <f>'Price Data'!B897/'Price Data'!B896-1</f>
        <v>1.1969804072874402E-2</v>
      </c>
      <c r="C896" s="7">
        <f>'Price Data'!C897/'Price Data'!C896-1</f>
        <v>1.2753619879804612E-2</v>
      </c>
      <c r="D896" s="7">
        <f>'Price Data'!D897/'Price Data'!D896-1</f>
        <v>1.7494222564768735E-2</v>
      </c>
      <c r="E896" s="7">
        <f>'Price Data'!E897/'Price Data'!E896-1</f>
        <v>3.5727208659375176E-3</v>
      </c>
    </row>
    <row r="897" spans="1:5" ht="15" customHeight="1" x14ac:dyDescent="0.2">
      <c r="A897" s="4" t="s">
        <v>899</v>
      </c>
      <c r="B897" s="7">
        <f>'Price Data'!B898/'Price Data'!B897-1</f>
        <v>7.4327889191927454E-5</v>
      </c>
      <c r="C897" s="7">
        <f>'Price Data'!C898/'Price Data'!C897-1</f>
        <v>-4.4075495577805546E-3</v>
      </c>
      <c r="D897" s="7">
        <f>'Price Data'!D898/'Price Data'!D897-1</f>
        <v>5.1355419499856669E-3</v>
      </c>
      <c r="E897" s="7">
        <f>'Price Data'!E898/'Price Data'!E897-1</f>
        <v>1.6271491099619784E-3</v>
      </c>
    </row>
    <row r="898" spans="1:5" ht="15" customHeight="1" x14ac:dyDescent="0.2">
      <c r="A898" s="4" t="s">
        <v>900</v>
      </c>
      <c r="B898" s="7">
        <f>'Price Data'!B899/'Price Data'!B898-1</f>
        <v>-4.1527766360167639E-3</v>
      </c>
      <c r="C898" s="7">
        <f>'Price Data'!C899/'Price Data'!C898-1</f>
        <v>2.2766189250111868E-3</v>
      </c>
      <c r="D898" s="7">
        <f>'Price Data'!D899/'Price Data'!D898-1</f>
        <v>7.7752766209460145E-3</v>
      </c>
      <c r="E898" s="7">
        <f>'Price Data'!E899/'Price Data'!E898-1</f>
        <v>1.0155987221991403E-3</v>
      </c>
    </row>
    <row r="899" spans="1:5" ht="15" customHeight="1" x14ac:dyDescent="0.2">
      <c r="A899" s="4" t="s">
        <v>901</v>
      </c>
      <c r="B899" s="7">
        <f>'Price Data'!B900/'Price Data'!B899-1</f>
        <v>1.4818178378174895E-2</v>
      </c>
      <c r="C899" s="7">
        <f>'Price Data'!C900/'Price Data'!C899-1</f>
        <v>1.413429666292032E-2</v>
      </c>
      <c r="D899" s="7">
        <f>'Price Data'!D900/'Price Data'!D899-1</f>
        <v>-3.5270251474514014E-3</v>
      </c>
      <c r="E899" s="7">
        <f>'Price Data'!E900/'Price Data'!E899-1</f>
        <v>5.3763171027492174E-3</v>
      </c>
    </row>
    <row r="900" spans="1:5" ht="15" customHeight="1" x14ac:dyDescent="0.2">
      <c r="A900" s="4" t="s">
        <v>902</v>
      </c>
      <c r="B900" s="7">
        <f>'Price Data'!B901/'Price Data'!B900-1</f>
        <v>-1.5665820908451034E-2</v>
      </c>
      <c r="C900" s="7">
        <f>'Price Data'!C901/'Price Data'!C900-1</f>
        <v>-2.6505580540548634E-2</v>
      </c>
      <c r="D900" s="7">
        <f>'Price Data'!D901/'Price Data'!D900-1</f>
        <v>1.0065393600348527E-2</v>
      </c>
      <c r="E900" s="7">
        <f>'Price Data'!E901/'Price Data'!E900-1</f>
        <v>4.1901601541076694E-3</v>
      </c>
    </row>
    <row r="901" spans="1:5" ht="15" customHeight="1" x14ac:dyDescent="0.2">
      <c r="A901" s="4" t="s">
        <v>903</v>
      </c>
      <c r="B901" s="7">
        <f>'Price Data'!B902/'Price Data'!B901-1</f>
        <v>-2.0126578457187239E-2</v>
      </c>
      <c r="C901" s="7">
        <f>'Price Data'!C902/'Price Data'!C901-1</f>
        <v>-1.5722972805716551E-2</v>
      </c>
      <c r="D901" s="7">
        <f>'Price Data'!D902/'Price Data'!D901-1</f>
        <v>-5.4762162744015352E-4</v>
      </c>
      <c r="E901" s="7">
        <f>'Price Data'!E902/'Price Data'!E901-1</f>
        <v>1.1187315303659906E-2</v>
      </c>
    </row>
    <row r="902" spans="1:5" ht="15" customHeight="1" x14ac:dyDescent="0.2">
      <c r="A902" s="4" t="s">
        <v>904</v>
      </c>
      <c r="B902" s="7">
        <f>'Price Data'!B903/'Price Data'!B902-1</f>
        <v>-2.9364831550555248E-2</v>
      </c>
      <c r="C902" s="7">
        <f>'Price Data'!C903/'Price Data'!C902-1</f>
        <v>-2.1818107272800868E-2</v>
      </c>
      <c r="D902" s="7">
        <f>'Price Data'!D903/'Price Data'!D902-1</f>
        <v>-2.8596460958077552E-2</v>
      </c>
      <c r="E902" s="7">
        <f>'Price Data'!E903/'Price Data'!E902-1</f>
        <v>-7.9741092177743056E-4</v>
      </c>
    </row>
    <row r="903" spans="1:5" ht="15" customHeight="1" x14ac:dyDescent="0.2">
      <c r="A903" s="4" t="s">
        <v>905</v>
      </c>
      <c r="B903" s="7">
        <f>'Price Data'!B904/'Price Data'!B903-1</f>
        <v>1.0149743381096199E-2</v>
      </c>
      <c r="C903" s="7">
        <f>'Price Data'!C904/'Price Data'!C903-1</f>
        <v>1.7258384241021218E-3</v>
      </c>
      <c r="D903" s="7">
        <f>'Price Data'!D904/'Price Data'!D903-1</f>
        <v>1.9738276362424312E-2</v>
      </c>
      <c r="E903" s="7">
        <f>'Price Data'!E904/'Price Data'!E903-1</f>
        <v>-5.9852726981383109E-3</v>
      </c>
    </row>
    <row r="904" spans="1:5" ht="15" customHeight="1" x14ac:dyDescent="0.2">
      <c r="A904" s="4" t="s">
        <v>906</v>
      </c>
      <c r="B904" s="7">
        <f>'Price Data'!B905/'Price Data'!B904-1</f>
        <v>-7.6424444830934801E-3</v>
      </c>
      <c r="C904" s="7">
        <f>'Price Data'!C905/'Price Data'!C904-1</f>
        <v>4.7714173498210055E-3</v>
      </c>
      <c r="D904" s="7">
        <f>'Price Data'!D905/'Price Data'!D904-1</f>
        <v>-6.8576736573356945E-3</v>
      </c>
      <c r="E904" s="7">
        <f>'Price Data'!E905/'Price Data'!E904-1</f>
        <v>-3.0106146978292614E-3</v>
      </c>
    </row>
    <row r="905" spans="1:5" ht="15" customHeight="1" x14ac:dyDescent="0.2">
      <c r="A905" s="4" t="s">
        <v>907</v>
      </c>
      <c r="B905" s="7">
        <f>'Price Data'!B906/'Price Data'!B905-1</f>
        <v>2.3416686975876733E-2</v>
      </c>
      <c r="C905" s="7">
        <f>'Price Data'!C906/'Price Data'!C905-1</f>
        <v>1.6752509962519868E-2</v>
      </c>
      <c r="D905" s="7">
        <f>'Price Data'!D906/'Price Data'!D905-1</f>
        <v>9.8005402123770846E-3</v>
      </c>
      <c r="E905" s="7">
        <f>'Price Data'!E906/'Price Data'!E905-1</f>
        <v>-1.5096874438113028E-3</v>
      </c>
    </row>
    <row r="906" spans="1:5" ht="15" customHeight="1" x14ac:dyDescent="0.2">
      <c r="A906" s="4" t="s">
        <v>908</v>
      </c>
      <c r="B906" s="7">
        <f>'Price Data'!B907/'Price Data'!B906-1</f>
        <v>4.3165184026916492E-3</v>
      </c>
      <c r="C906" s="7">
        <f>'Price Data'!C907/'Price Data'!C906-1</f>
        <v>3.891903280993203E-3</v>
      </c>
      <c r="D906" s="7">
        <f>'Price Data'!D907/'Price Data'!D906-1</f>
        <v>4.6323642498384832E-3</v>
      </c>
      <c r="E906" s="7">
        <f>'Price Data'!E907/'Price Data'!E906-1</f>
        <v>3.5284549530718579E-3</v>
      </c>
    </row>
    <row r="907" spans="1:5" ht="15" customHeight="1" x14ac:dyDescent="0.2">
      <c r="A907" s="4" t="s">
        <v>909</v>
      </c>
      <c r="B907" s="7">
        <f>'Price Data'!B908/'Price Data'!B907-1</f>
        <v>-6.4656825808773188E-4</v>
      </c>
      <c r="C907" s="7">
        <f>'Price Data'!C908/'Price Data'!C907-1</f>
        <v>-9.0461472329539383E-4</v>
      </c>
      <c r="D907" s="7">
        <f>'Price Data'!D908/'Price Data'!D907-1</f>
        <v>-7.3553938214190318E-3</v>
      </c>
      <c r="E907" s="7">
        <f>'Price Data'!E908/'Price Data'!E907-1</f>
        <v>1.7075685967251619E-3</v>
      </c>
    </row>
    <row r="908" spans="1:5" ht="15" customHeight="1" x14ac:dyDescent="0.2">
      <c r="A908" s="4" t="s">
        <v>910</v>
      </c>
      <c r="B908" s="7">
        <f>'Price Data'!B909/'Price Data'!B908-1</f>
        <v>1.6631696938915974E-2</v>
      </c>
      <c r="C908" s="7">
        <f>'Price Data'!C909/'Price Data'!C908-1</f>
        <v>1.7203557787524915E-2</v>
      </c>
      <c r="D908" s="7">
        <f>'Price Data'!D909/'Price Data'!D908-1</f>
        <v>8.7370883752460049E-3</v>
      </c>
      <c r="E908" s="7">
        <f>'Price Data'!E909/'Price Data'!E908-1</f>
        <v>4.0111146522912033E-3</v>
      </c>
    </row>
    <row r="909" spans="1:5" ht="15" customHeight="1" x14ac:dyDescent="0.2">
      <c r="A909" s="4" t="s">
        <v>911</v>
      </c>
      <c r="B909" s="7">
        <f>'Price Data'!B910/'Price Data'!B909-1</f>
        <v>2.8451951814669751E-3</v>
      </c>
      <c r="C909" s="7">
        <f>'Price Data'!C910/'Price Data'!C909-1</f>
        <v>3.6877457518547097E-3</v>
      </c>
      <c r="D909" s="7">
        <f>'Price Data'!D910/'Price Data'!D909-1</f>
        <v>2.6311222237631604E-3</v>
      </c>
      <c r="E909" s="7">
        <f>'Price Data'!E910/'Price Data'!E909-1</f>
        <v>1.7978561370226576E-3</v>
      </c>
    </row>
    <row r="910" spans="1:5" ht="15" customHeight="1" x14ac:dyDescent="0.2">
      <c r="A910" s="4" t="s">
        <v>912</v>
      </c>
      <c r="B910" s="7">
        <f>'Price Data'!B911/'Price Data'!B910-1</f>
        <v>1.7321124548101752E-2</v>
      </c>
      <c r="C910" s="7">
        <f>'Price Data'!C911/'Price Data'!C910-1</f>
        <v>1.2162515301849197E-2</v>
      </c>
      <c r="D910" s="7">
        <f>'Price Data'!D911/'Price Data'!D910-1</f>
        <v>-7.6549056206964838E-4</v>
      </c>
      <c r="E910" s="7">
        <f>'Price Data'!E911/'Price Data'!E910-1</f>
        <v>-4.1874145448594913E-3</v>
      </c>
    </row>
    <row r="911" spans="1:5" ht="15" customHeight="1" x14ac:dyDescent="0.2">
      <c r="A911" s="4" t="s">
        <v>913</v>
      </c>
      <c r="B911" s="7">
        <f>'Price Data'!B912/'Price Data'!B911-1</f>
        <v>2.3852348158439618E-3</v>
      </c>
      <c r="C911" s="7">
        <f>'Price Data'!C912/'Price Data'!C911-1</f>
        <v>5.507602960867386E-3</v>
      </c>
      <c r="D911" s="7">
        <f>'Price Data'!D912/'Price Data'!D911-1</f>
        <v>-5.4699194069784962E-4</v>
      </c>
      <c r="E911" s="7">
        <f>'Price Data'!E912/'Price Data'!E911-1</f>
        <v>2.4028466086065681E-3</v>
      </c>
    </row>
    <row r="912" spans="1:5" ht="15" customHeight="1" x14ac:dyDescent="0.2">
      <c r="A912" s="4" t="s">
        <v>914</v>
      </c>
      <c r="B912" s="7">
        <f>'Price Data'!B913/'Price Data'!B912-1</f>
        <v>9.4445116054178158E-3</v>
      </c>
      <c r="C912" s="7">
        <f>'Price Data'!C913/'Price Data'!C912-1</f>
        <v>1.21996182193993E-2</v>
      </c>
      <c r="D912" s="7">
        <f>'Price Data'!D913/'Price Data'!D912-1</f>
        <v>8.3214957853519067E-3</v>
      </c>
      <c r="E912" s="7">
        <f>'Price Data'!E913/'Price Data'!E912-1</f>
        <v>1.0986989847230344E-3</v>
      </c>
    </row>
    <row r="913" spans="1:5" ht="15" customHeight="1" x14ac:dyDescent="0.2">
      <c r="A913" s="4" t="s">
        <v>915</v>
      </c>
      <c r="B913" s="7">
        <f>'Price Data'!B914/'Price Data'!B913-1</f>
        <v>-2.4297631182292889E-3</v>
      </c>
      <c r="C913" s="7">
        <f>'Price Data'!C914/'Price Data'!C913-1</f>
        <v>-3.0746125662948209E-3</v>
      </c>
      <c r="D913" s="7">
        <f>'Price Data'!D914/'Price Data'!D913-1</f>
        <v>-1.1945153305221723E-3</v>
      </c>
      <c r="E913" s="7">
        <f>'Price Data'!E914/'Price Data'!E913-1</f>
        <v>2.993110997397741E-3</v>
      </c>
    </row>
    <row r="914" spans="1:5" ht="15" customHeight="1" x14ac:dyDescent="0.2">
      <c r="A914" s="4" t="s">
        <v>916</v>
      </c>
      <c r="B914" s="7">
        <f>'Price Data'!B915/'Price Data'!B914-1</f>
        <v>5.0167644217089524E-3</v>
      </c>
      <c r="C914" s="7">
        <f>'Price Data'!C915/'Price Data'!C914-1</f>
        <v>9.2523852676522633E-3</v>
      </c>
      <c r="D914" s="7">
        <f>'Price Data'!D915/'Price Data'!D914-1</f>
        <v>5.3271098547371665E-3</v>
      </c>
      <c r="E914" s="7">
        <f>'Price Data'!E915/'Price Data'!E914-1</f>
        <v>1.8898791903454448E-3</v>
      </c>
    </row>
    <row r="915" spans="1:5" ht="15" customHeight="1" x14ac:dyDescent="0.2">
      <c r="A915" s="4" t="s">
        <v>917</v>
      </c>
      <c r="B915" s="7">
        <f>'Price Data'!B916/'Price Data'!B915-1</f>
        <v>-8.4640621797413829E-3</v>
      </c>
      <c r="C915" s="7">
        <f>'Price Data'!C916/'Price Data'!C915-1</f>
        <v>-5.8671769482165903E-3</v>
      </c>
      <c r="D915" s="7">
        <f>'Price Data'!D916/'Price Data'!D915-1</f>
        <v>2.9199357186833197E-3</v>
      </c>
      <c r="E915" s="7">
        <f>'Price Data'!E916/'Price Data'!E915-1</f>
        <v>-4.0705406941842215E-3</v>
      </c>
    </row>
    <row r="916" spans="1:5" ht="15" customHeight="1" x14ac:dyDescent="0.2">
      <c r="A916" s="4" t="s">
        <v>918</v>
      </c>
      <c r="B916" s="7">
        <f>'Price Data'!B917/'Price Data'!B916-1</f>
        <v>1.2658674068318554E-2</v>
      </c>
      <c r="C916" s="7">
        <f>'Price Data'!C917/'Price Data'!C916-1</f>
        <v>1.832028290882004E-2</v>
      </c>
      <c r="D916" s="7">
        <f>'Price Data'!D917/'Price Data'!D916-1</f>
        <v>2.1996952935241509E-2</v>
      </c>
      <c r="E916" s="7">
        <f>'Price Data'!E917/'Price Data'!E916-1</f>
        <v>4.5856999754878558E-3</v>
      </c>
    </row>
    <row r="917" spans="1:5" ht="15" customHeight="1" x14ac:dyDescent="0.2">
      <c r="A917" s="4" t="s">
        <v>919</v>
      </c>
      <c r="B917" s="7">
        <f>'Price Data'!B918/'Price Data'!B917-1</f>
        <v>-2.521581813514473E-3</v>
      </c>
      <c r="C917" s="7">
        <f>'Price Data'!C918/'Price Data'!C917-1</f>
        <v>-4.4673637425567403E-3</v>
      </c>
      <c r="D917" s="7">
        <f>'Price Data'!D918/'Price Data'!D917-1</f>
        <v>-4.2201751993764525E-4</v>
      </c>
      <c r="E917" s="7">
        <f>'Price Data'!E918/'Price Data'!E917-1</f>
        <v>-8.9312970498256483E-4</v>
      </c>
    </row>
    <row r="918" spans="1:5" ht="15" customHeight="1" x14ac:dyDescent="0.2">
      <c r="A918" s="4" t="s">
        <v>920</v>
      </c>
      <c r="B918" s="7">
        <f>'Price Data'!B919/'Price Data'!B918-1</f>
        <v>9.0273664846463042E-4</v>
      </c>
      <c r="C918" s="7">
        <f>'Price Data'!C919/'Price Data'!C918-1</f>
        <v>4.6089907293207499E-3</v>
      </c>
      <c r="D918" s="7">
        <f>'Price Data'!D919/'Price Data'!D918-1</f>
        <v>1.4777283734190849E-3</v>
      </c>
      <c r="E918" s="7">
        <f>'Price Data'!E919/'Price Data'!E918-1</f>
        <v>2.9794881551326036E-4</v>
      </c>
    </row>
    <row r="919" spans="1:5" ht="15" customHeight="1" x14ac:dyDescent="0.2">
      <c r="A919" s="4" t="s">
        <v>921</v>
      </c>
      <c r="B919" s="7">
        <f>'Price Data'!B920/'Price Data'!B919-1</f>
        <v>-6.0978217438799609E-3</v>
      </c>
      <c r="C919" s="7">
        <f>'Price Data'!C920/'Price Data'!C919-1</f>
        <v>-3.5012969622034706E-3</v>
      </c>
      <c r="D919" s="7">
        <f>'Price Data'!D920/'Price Data'!D919-1</f>
        <v>-3.8995693867583947E-3</v>
      </c>
      <c r="E919" s="7">
        <f>'Price Data'!E920/'Price Data'!E919-1</f>
        <v>-8.9374346109849512E-4</v>
      </c>
    </row>
    <row r="920" spans="1:5" ht="15" customHeight="1" x14ac:dyDescent="0.2">
      <c r="A920" s="4" t="s">
        <v>922</v>
      </c>
      <c r="B920" s="7">
        <f>'Price Data'!B921/'Price Data'!B920-1</f>
        <v>9.801160085873839E-4</v>
      </c>
      <c r="C920" s="7">
        <f>'Price Data'!C921/'Price Data'!C920-1</f>
        <v>3.7557055445625043E-3</v>
      </c>
      <c r="D920" s="7">
        <f>'Price Data'!D921/'Price Data'!D920-1</f>
        <v>-3.0686506385966261E-3</v>
      </c>
      <c r="E920" s="7">
        <f>'Price Data'!E921/'Price Data'!E920-1</f>
        <v>-1.2917726395185181E-3</v>
      </c>
    </row>
    <row r="921" spans="1:5" ht="15" customHeight="1" x14ac:dyDescent="0.2">
      <c r="A921" s="4" t="s">
        <v>923</v>
      </c>
      <c r="B921" s="7">
        <f>'Price Data'!B922/'Price Data'!B921-1</f>
        <v>9.6474061828044633E-3</v>
      </c>
      <c r="C921" s="7">
        <f>'Price Data'!C922/'Price Data'!C921-1</f>
        <v>1.5691784980329526E-3</v>
      </c>
      <c r="D921" s="7">
        <f>'Price Data'!D922/'Price Data'!D921-1</f>
        <v>9.6583777102183799E-3</v>
      </c>
      <c r="E921" s="7">
        <f>'Price Data'!E922/'Price Data'!E921-1</f>
        <v>-2.3881788216079114E-3</v>
      </c>
    </row>
    <row r="922" spans="1:5" ht="15" customHeight="1" x14ac:dyDescent="0.2">
      <c r="A922" s="4" t="s">
        <v>924</v>
      </c>
      <c r="B922" s="7">
        <f>'Price Data'!B923/'Price Data'!B922-1</f>
        <v>-2.1517253806042413E-2</v>
      </c>
      <c r="C922" s="7">
        <f>'Price Data'!C923/'Price Data'!C922-1</f>
        <v>-1.5787023345679052E-2</v>
      </c>
      <c r="D922" s="7">
        <f>'Price Data'!D923/'Price Data'!D922-1</f>
        <v>-5.2560266480705664E-4</v>
      </c>
      <c r="E922" s="7">
        <f>'Price Data'!E923/'Price Data'!E922-1</f>
        <v>4.2223032405874772E-3</v>
      </c>
    </row>
    <row r="923" spans="1:5" ht="15" customHeight="1" x14ac:dyDescent="0.2">
      <c r="A923" s="4" t="s">
        <v>925</v>
      </c>
      <c r="B923" s="7">
        <f>'Price Data'!B924/'Price Data'!B923-1</f>
        <v>-2.2394202718845069E-3</v>
      </c>
      <c r="C923" s="7">
        <f>'Price Data'!C924/'Price Data'!C923-1</f>
        <v>-4.4080254456985157E-3</v>
      </c>
      <c r="D923" s="7">
        <f>'Price Data'!D924/'Price Data'!D923-1</f>
        <v>2.8396084426010049E-3</v>
      </c>
      <c r="E923" s="7">
        <f>'Price Data'!E924/'Price Data'!E923-1</f>
        <v>4.3842787542571759E-3</v>
      </c>
    </row>
    <row r="924" spans="1:5" ht="15" customHeight="1" x14ac:dyDescent="0.2">
      <c r="A924" s="4" t="s">
        <v>926</v>
      </c>
      <c r="B924" s="7">
        <f>'Price Data'!B925/'Price Data'!B924-1</f>
        <v>-3.09074532286302E-3</v>
      </c>
      <c r="C924" s="7">
        <f>'Price Data'!C925/'Price Data'!C924-1</f>
        <v>2.4606907406021783E-4</v>
      </c>
      <c r="D924" s="7">
        <f>'Price Data'!D925/'Price Data'!D924-1</f>
        <v>-3.2510626365475082E-3</v>
      </c>
      <c r="E924" s="7">
        <f>'Price Data'!E925/'Price Data'!E924-1</f>
        <v>2.5793607078150593E-3</v>
      </c>
    </row>
    <row r="925" spans="1:5" ht="15" customHeight="1" x14ac:dyDescent="0.2">
      <c r="A925" s="4" t="s">
        <v>927</v>
      </c>
      <c r="B925" s="7">
        <f>'Price Data'!B926/'Price Data'!B925-1</f>
        <v>-1.6608988791796397E-2</v>
      </c>
      <c r="C925" s="7">
        <f>'Price Data'!C926/'Price Data'!C925-1</f>
        <v>-1.8812099898475432E-2</v>
      </c>
      <c r="D925" s="7">
        <f>'Price Data'!D926/'Price Data'!D925-1</f>
        <v>-9.4696338128141821E-4</v>
      </c>
      <c r="E925" s="7">
        <f>'Price Data'!E926/'Price Data'!E925-1</f>
        <v>1.2864434533745861E-3</v>
      </c>
    </row>
    <row r="926" spans="1:5" ht="15" customHeight="1" x14ac:dyDescent="0.2">
      <c r="A926" s="4" t="s">
        <v>928</v>
      </c>
      <c r="B926" s="7">
        <f>'Price Data'!B927/'Price Data'!B926-1</f>
        <v>1.0696800854081756E-2</v>
      </c>
      <c r="C926" s="7">
        <f>'Price Data'!C927/'Price Data'!C926-1</f>
        <v>1.0024827811227599E-2</v>
      </c>
      <c r="D926" s="7">
        <f>'Price Data'!D927/'Price Data'!D926-1</f>
        <v>1.1163657347521561E-2</v>
      </c>
      <c r="E926" s="7">
        <f>'Price Data'!E927/'Price Data'!E926-1</f>
        <v>1.4824009031113583E-3</v>
      </c>
    </row>
    <row r="927" spans="1:5" ht="15" customHeight="1" x14ac:dyDescent="0.2">
      <c r="A927" s="4" t="s">
        <v>929</v>
      </c>
      <c r="B927" s="7">
        <f>'Price Data'!B928/'Price Data'!B927-1</f>
        <v>3.8990096689637266E-3</v>
      </c>
      <c r="C927" s="7">
        <f>'Price Data'!C928/'Price Data'!C927-1</f>
        <v>-4.9628154783799561E-3</v>
      </c>
      <c r="D927" s="7">
        <f>'Price Data'!D928/'Price Data'!D927-1</f>
        <v>1.4477811241175198E-2</v>
      </c>
      <c r="E927" s="7">
        <f>'Price Data'!E928/'Price Data'!E927-1</f>
        <v>3.0588295612079541E-3</v>
      </c>
    </row>
    <row r="928" spans="1:5" ht="15" customHeight="1" x14ac:dyDescent="0.2">
      <c r="A928" s="4" t="s">
        <v>930</v>
      </c>
      <c r="B928" s="7">
        <f>'Price Data'!B929/'Price Data'!B928-1</f>
        <v>9.950217103217085E-3</v>
      </c>
      <c r="C928" s="7">
        <f>'Price Data'!C929/'Price Data'!C928-1</f>
        <v>5.9851625918110329E-3</v>
      </c>
      <c r="D928" s="7">
        <f>'Price Data'!D929/'Price Data'!D928-1</f>
        <v>-1.9507243694334431E-3</v>
      </c>
      <c r="E928" s="7">
        <f>'Price Data'!E929/'Price Data'!E928-1</f>
        <v>-2.9523529575925522E-4</v>
      </c>
    </row>
    <row r="929" spans="1:5" ht="15" customHeight="1" x14ac:dyDescent="0.2">
      <c r="A929" s="4" t="s">
        <v>931</v>
      </c>
      <c r="B929" s="7">
        <f>'Price Data'!B930/'Price Data'!B929-1</f>
        <v>8.3141740466154967E-3</v>
      </c>
      <c r="C929" s="7">
        <f>'Price Data'!C930/'Price Data'!C929-1</f>
        <v>8.1803587885151963E-3</v>
      </c>
      <c r="D929" s="7">
        <f>'Price Data'!D930/'Price Data'!D929-1</f>
        <v>4.2176541930027955E-3</v>
      </c>
      <c r="E929" s="7">
        <f>'Price Data'!E930/'Price Data'!E929-1</f>
        <v>-8.8540294019257004E-4</v>
      </c>
    </row>
    <row r="930" spans="1:5" ht="15" customHeight="1" x14ac:dyDescent="0.2">
      <c r="A930" s="4" t="s">
        <v>932</v>
      </c>
      <c r="B930" s="7">
        <f>'Price Data'!B931/'Price Data'!B930-1</f>
        <v>6.9743967688644659E-3</v>
      </c>
      <c r="C930" s="7">
        <f>'Price Data'!C931/'Price Data'!C930-1</f>
        <v>2.3359437644954184E-3</v>
      </c>
      <c r="D930" s="7">
        <f>'Price Data'!D931/'Price Data'!D930-1</f>
        <v>1.0448664866588686E-2</v>
      </c>
      <c r="E930" s="7">
        <f>'Price Data'!E931/'Price Data'!E930-1</f>
        <v>2.0683629260576097E-3</v>
      </c>
    </row>
    <row r="931" spans="1:5" ht="15" customHeight="1" x14ac:dyDescent="0.2">
      <c r="A931" s="4" t="s">
        <v>933</v>
      </c>
      <c r="B931" s="7">
        <f>'Price Data'!B932/'Price Data'!B931-1</f>
        <v>1.9839273345847452E-3</v>
      </c>
      <c r="C931" s="7">
        <f>'Price Data'!C932/'Price Data'!C931-1</f>
        <v>8.0951736537742125E-3</v>
      </c>
      <c r="D931" s="7">
        <f>'Price Data'!D932/'Price Data'!D931-1</f>
        <v>3.3454208118268713E-3</v>
      </c>
      <c r="E931" s="7">
        <f>'Price Data'!E932/'Price Data'!E931-1</f>
        <v>2.3589871643583393E-3</v>
      </c>
    </row>
    <row r="932" spans="1:5" ht="15" customHeight="1" x14ac:dyDescent="0.2">
      <c r="A932" s="4" t="s">
        <v>934</v>
      </c>
      <c r="B932" s="7">
        <f>'Price Data'!B933/'Price Data'!B932-1</f>
        <v>1.0079565861509376E-3</v>
      </c>
      <c r="C932" s="7">
        <f>'Price Data'!C933/'Price Data'!C932-1</f>
        <v>-5.5967147935563899E-3</v>
      </c>
      <c r="D932" s="7">
        <f>'Price Data'!D933/'Price Data'!D932-1</f>
        <v>-6.971708184535963E-3</v>
      </c>
      <c r="E932" s="7">
        <f>'Price Data'!E933/'Price Data'!E932-1</f>
        <v>-9.808793616420397E-4</v>
      </c>
    </row>
    <row r="933" spans="1:5" ht="15" customHeight="1" x14ac:dyDescent="0.2">
      <c r="A933" s="4" t="s">
        <v>935</v>
      </c>
      <c r="B933" s="7">
        <f>'Price Data'!B934/'Price Data'!B933-1</f>
        <v>-2.5175227863705185E-3</v>
      </c>
      <c r="C933" s="7">
        <f>'Price Data'!C934/'Price Data'!C933-1</f>
        <v>-3.1812641610060588E-3</v>
      </c>
      <c r="D933" s="7">
        <f>'Price Data'!D934/'Price Data'!D933-1</f>
        <v>-1.2210488791436491E-3</v>
      </c>
      <c r="E933" s="7">
        <f>'Price Data'!E934/'Price Data'!E933-1</f>
        <v>-3.1407535395319153E-3</v>
      </c>
    </row>
    <row r="934" spans="1:5" ht="15" customHeight="1" x14ac:dyDescent="0.2">
      <c r="A934" s="4" t="s">
        <v>936</v>
      </c>
      <c r="B934" s="7">
        <f>'Price Data'!B935/'Price Data'!B934-1</f>
        <v>1.6946190371384118E-2</v>
      </c>
      <c r="C934" s="7">
        <f>'Price Data'!C935/'Price Data'!C934-1</f>
        <v>1.9761916603896923E-2</v>
      </c>
      <c r="D934" s="7">
        <f>'Price Data'!D935/'Price Data'!D934-1</f>
        <v>2.0378489774386388E-4</v>
      </c>
      <c r="E934" s="7">
        <f>'Price Data'!E935/'Price Data'!E934-1</f>
        <v>9.8525864250298412E-5</v>
      </c>
    </row>
    <row r="935" spans="1:5" ht="15" customHeight="1" x14ac:dyDescent="0.2">
      <c r="A935" s="4" t="s">
        <v>937</v>
      </c>
      <c r="B935" s="7">
        <f>'Price Data'!B936/'Price Data'!B935-1</f>
        <v>-2.0919838699500204E-3</v>
      </c>
      <c r="C935" s="7">
        <f>'Price Data'!C936/'Price Data'!C935-1</f>
        <v>-9.8699732221183556E-3</v>
      </c>
      <c r="D935" s="7">
        <f>'Price Data'!D936/'Price Data'!D935-1</f>
        <v>-3.9724089543793362E-3</v>
      </c>
      <c r="E935" s="7">
        <f>'Price Data'!E936/'Price Data'!E935-1</f>
        <v>-8.8616131185847991E-4</v>
      </c>
    </row>
    <row r="936" spans="1:5" ht="15" customHeight="1" x14ac:dyDescent="0.2">
      <c r="A936" s="4" t="s">
        <v>938</v>
      </c>
      <c r="B936" s="7">
        <f>'Price Data'!B937/'Price Data'!B936-1</f>
        <v>2.4872443452605975E-3</v>
      </c>
      <c r="C936" s="7">
        <f>'Price Data'!C937/'Price Data'!C936-1</f>
        <v>3.7684892026985661E-3</v>
      </c>
      <c r="D936" s="7">
        <f>'Price Data'!D937/'Price Data'!D936-1</f>
        <v>9.9192803670902219E-3</v>
      </c>
      <c r="E936" s="7">
        <f>'Price Data'!E937/'Price Data'!E936-1</f>
        <v>-3.9401036411113033E-4</v>
      </c>
    </row>
    <row r="937" spans="1:5" ht="15" customHeight="1" x14ac:dyDescent="0.2">
      <c r="A937" s="4" t="s">
        <v>939</v>
      </c>
      <c r="B937" s="7">
        <f>'Price Data'!B938/'Price Data'!B937-1</f>
        <v>2.516206886000294E-3</v>
      </c>
      <c r="C937" s="7">
        <f>'Price Data'!C938/'Price Data'!C937-1</f>
        <v>5.9341824082126404E-3</v>
      </c>
      <c r="D937" s="7">
        <f>'Price Data'!D938/'Price Data'!D937-1</f>
        <v>1.4175778148701745E-3</v>
      </c>
      <c r="E937" s="7">
        <f>'Price Data'!E938/'Price Data'!E937-1</f>
        <v>1.3799433900867353E-3</v>
      </c>
    </row>
    <row r="938" spans="1:5" ht="15" customHeight="1" x14ac:dyDescent="0.2">
      <c r="A938" s="4" t="s">
        <v>940</v>
      </c>
      <c r="B938" s="7">
        <f>'Price Data'!B939/'Price Data'!B938-1</f>
        <v>-3.2878550239434645E-3</v>
      </c>
      <c r="C938" s="7">
        <f>'Price Data'!C939/'Price Data'!C938-1</f>
        <v>-5.4176022701728499E-3</v>
      </c>
      <c r="D938" s="7">
        <f>'Price Data'!D939/'Price Data'!D938-1</f>
        <v>-6.6733354241873544E-3</v>
      </c>
      <c r="E938" s="7">
        <f>'Price Data'!E939/'Price Data'!E938-1</f>
        <v>-3.8392513185624422E-3</v>
      </c>
    </row>
    <row r="939" spans="1:5" ht="15" customHeight="1" x14ac:dyDescent="0.2">
      <c r="A939" s="4" t="s">
        <v>941</v>
      </c>
      <c r="B939" s="7">
        <f>'Price Data'!B940/'Price Data'!B939-1</f>
        <v>4.4692180981329432E-3</v>
      </c>
      <c r="C939" s="7">
        <f>'Price Data'!C940/'Price Data'!C939-1</f>
        <v>2.2031237965263184E-2</v>
      </c>
      <c r="D939" s="7">
        <f>'Price Data'!D940/'Price Data'!D939-1</f>
        <v>-9.0596182002483649E-3</v>
      </c>
      <c r="E939" s="7">
        <f>'Price Data'!E940/'Price Data'!E939-1</f>
        <v>1.9769124805923965E-4</v>
      </c>
    </row>
    <row r="940" spans="1:5" ht="15" customHeight="1" x14ac:dyDescent="0.2">
      <c r="A940" s="4" t="s">
        <v>942</v>
      </c>
      <c r="B940" s="7">
        <f>'Price Data'!B941/'Price Data'!B940-1</f>
        <v>-9.8829898175489816E-4</v>
      </c>
      <c r="C940" s="7">
        <f>'Price Data'!C941/'Price Data'!C940-1</f>
        <v>-6.0405241301491053E-3</v>
      </c>
      <c r="D940" s="7">
        <f>'Price Data'!D941/'Price Data'!D940-1</f>
        <v>1.2743174136116142E-3</v>
      </c>
      <c r="E940" s="7">
        <f>'Price Data'!E941/'Price Data'!E940-1</f>
        <v>2.8651872902123454E-3</v>
      </c>
    </row>
    <row r="941" spans="1:5" ht="15" customHeight="1" x14ac:dyDescent="0.2">
      <c r="A941" s="4" t="s">
        <v>943</v>
      </c>
      <c r="B941" s="7">
        <f>'Price Data'!B942/'Price Data'!B941-1</f>
        <v>3.9356631922984331E-3</v>
      </c>
      <c r="C941" s="7">
        <f>'Price Data'!C942/'Price Data'!C941-1</f>
        <v>-3.455626836901815E-3</v>
      </c>
      <c r="D941" s="7">
        <f>'Price Data'!D942/'Price Data'!D941-1</f>
        <v>7.8624211838698166E-3</v>
      </c>
      <c r="E941" s="7">
        <f>'Price Data'!E942/'Price Data'!E941-1</f>
        <v>-2.2660619636252211E-3</v>
      </c>
    </row>
    <row r="942" spans="1:5" ht="15" customHeight="1" x14ac:dyDescent="0.2">
      <c r="A942" s="4" t="s">
        <v>944</v>
      </c>
      <c r="B942" s="7">
        <f>'Price Data'!B943/'Price Data'!B942-1</f>
        <v>-9.1115779367642036E-3</v>
      </c>
      <c r="C942" s="7">
        <f>'Price Data'!C943/'Price Data'!C942-1</f>
        <v>-7.4136074756605552E-3</v>
      </c>
      <c r="D942" s="7">
        <f>'Price Data'!D943/'Price Data'!D942-1</f>
        <v>-6.4667589735234454E-3</v>
      </c>
      <c r="E942" s="7">
        <f>'Price Data'!E943/'Price Data'!E942-1</f>
        <v>2.6447531365463295E-3</v>
      </c>
    </row>
    <row r="943" spans="1:5" ht="15" customHeight="1" x14ac:dyDescent="0.2">
      <c r="A943" s="4" t="s">
        <v>945</v>
      </c>
      <c r="B943" s="7">
        <f>'Price Data'!B944/'Price Data'!B943-1</f>
        <v>2.1378103199820586E-4</v>
      </c>
      <c r="C943" s="7">
        <f>'Price Data'!C944/'Price Data'!C943-1</f>
        <v>-2.0480171510416367E-3</v>
      </c>
      <c r="D943" s="7">
        <f>'Price Data'!D944/'Price Data'!D943-1</f>
        <v>-3.5127971120356705E-3</v>
      </c>
      <c r="E943" s="7">
        <f>'Price Data'!E944/'Price Data'!E943-1</f>
        <v>-2.07457978742287E-3</v>
      </c>
    </row>
    <row r="944" spans="1:5" ht="15" customHeight="1" x14ac:dyDescent="0.2">
      <c r="A944" s="4" t="s">
        <v>946</v>
      </c>
      <c r="B944" s="7">
        <f>'Price Data'!B945/'Price Data'!B944-1</f>
        <v>-2.1379088396537016E-3</v>
      </c>
      <c r="C944" s="7">
        <f>'Price Data'!C945/'Price Data'!C944-1</f>
        <v>-9.2951015742882559E-3</v>
      </c>
      <c r="D944" s="7">
        <f>'Price Data'!D945/'Price Data'!D944-1</f>
        <v>-9.1237771557215464E-3</v>
      </c>
      <c r="E944" s="7">
        <f>'Price Data'!E945/'Price Data'!E944-1</f>
        <v>-4.0587094673967261E-3</v>
      </c>
    </row>
    <row r="945" spans="1:5" ht="15" customHeight="1" x14ac:dyDescent="0.2">
      <c r="A945" s="4" t="s">
        <v>947</v>
      </c>
      <c r="B945" s="7">
        <f>'Price Data'!B946/'Price Data'!B945-1</f>
        <v>9.677216093173735E-3</v>
      </c>
      <c r="C945" s="7">
        <f>'Price Data'!C946/'Price Data'!C945-1</f>
        <v>5.8487880970812256E-3</v>
      </c>
      <c r="D945" s="7">
        <f>'Price Data'!D946/'Price Data'!D945-1</f>
        <v>-4.8132467767196818E-3</v>
      </c>
      <c r="E945" s="7">
        <f>'Price Data'!E946/'Price Data'!E945-1</f>
        <v>-6.4604032518196242E-3</v>
      </c>
    </row>
    <row r="946" spans="1:5" ht="15" customHeight="1" x14ac:dyDescent="0.2">
      <c r="A946" s="4" t="s">
        <v>948</v>
      </c>
      <c r="B946" s="7">
        <f>'Price Data'!B947/'Price Data'!B946-1</f>
        <v>-9.1246807420255482E-3</v>
      </c>
      <c r="C946" s="7">
        <f>'Price Data'!C947/'Price Data'!C946-1</f>
        <v>-5.5725044571369731E-3</v>
      </c>
      <c r="D946" s="7">
        <f>'Price Data'!D947/'Price Data'!D946-1</f>
        <v>-8.8320181105163709E-3</v>
      </c>
      <c r="E946" s="7">
        <f>'Price Data'!E947/'Price Data'!E946-1</f>
        <v>-3.4011909562914333E-3</v>
      </c>
    </row>
    <row r="947" spans="1:5" ht="15" customHeight="1" x14ac:dyDescent="0.2">
      <c r="A947" s="4" t="s">
        <v>949</v>
      </c>
      <c r="B947" s="7">
        <f>'Price Data'!B948/'Price Data'!B947-1</f>
        <v>8.4234367363711371E-3</v>
      </c>
      <c r="C947" s="7">
        <f>'Price Data'!C948/'Price Data'!C947-1</f>
        <v>-1.5835080452033523E-3</v>
      </c>
      <c r="D947" s="7">
        <f>'Price Data'!D948/'Price Data'!D947-1</f>
        <v>2.0156339137051837E-3</v>
      </c>
      <c r="E947" s="7">
        <f>'Price Data'!E948/'Price Data'!E947-1</f>
        <v>1.7061532235989052E-3</v>
      </c>
    </row>
    <row r="948" spans="1:5" ht="15" customHeight="1" x14ac:dyDescent="0.2">
      <c r="A948" s="4" t="s">
        <v>950</v>
      </c>
      <c r="B948" s="7">
        <f>'Price Data'!B949/'Price Data'!B948-1</f>
        <v>6.972647786556152E-3</v>
      </c>
      <c r="C948" s="7">
        <f>'Price Data'!C949/'Price Data'!C948-1</f>
        <v>2.4401827615472271E-4</v>
      </c>
      <c r="D948" s="7">
        <f>'Price Data'!D949/'Price Data'!D948-1</f>
        <v>1.058634983089668E-3</v>
      </c>
      <c r="E948" s="7">
        <f>'Price Data'!E949/'Price Data'!E948-1</f>
        <v>-2.6054286942175375E-3</v>
      </c>
    </row>
    <row r="949" spans="1:5" ht="15" customHeight="1" x14ac:dyDescent="0.2">
      <c r="A949" s="4" t="s">
        <v>951</v>
      </c>
      <c r="B949" s="7">
        <f>'Price Data'!B950/'Price Data'!B949-1</f>
        <v>-2.0737266590671322E-3</v>
      </c>
      <c r="C949" s="7">
        <f>'Price Data'!C950/'Price Data'!C949-1</f>
        <v>-1.2199922306396216E-3</v>
      </c>
      <c r="D949" s="7">
        <f>'Price Data'!D950/'Price Data'!D949-1</f>
        <v>-8.8831298659196589E-3</v>
      </c>
      <c r="E949" s="7">
        <f>'Price Data'!E950/'Price Data'!E949-1</f>
        <v>-6.0269709824534168E-4</v>
      </c>
    </row>
    <row r="950" spans="1:5" ht="15" customHeight="1" x14ac:dyDescent="0.2">
      <c r="A950" s="4" t="s">
        <v>952</v>
      </c>
      <c r="B950" s="7">
        <f>'Price Data'!B951/'Price Data'!B950-1</f>
        <v>7.7489305647824303E-3</v>
      </c>
      <c r="C950" s="7">
        <f>'Price Data'!C951/'Price Data'!C950-1</f>
        <v>5.1295902230539259E-3</v>
      </c>
      <c r="D950" s="7">
        <f>'Price Data'!D951/'Price Data'!D950-1</f>
        <v>1.1310133260980848E-2</v>
      </c>
      <c r="E950" s="7">
        <f>'Price Data'!E951/'Price Data'!E950-1</f>
        <v>3.0177669592279521E-4</v>
      </c>
    </row>
    <row r="951" spans="1:5" ht="15" customHeight="1" x14ac:dyDescent="0.2">
      <c r="A951" s="4" t="s">
        <v>953</v>
      </c>
      <c r="B951" s="7">
        <f>'Price Data'!B952/'Price Data'!B951-1</f>
        <v>7.7941708637365714E-3</v>
      </c>
      <c r="C951" s="7">
        <f>'Price Data'!C952/'Price Data'!C951-1</f>
        <v>2.9162211974083085E-3</v>
      </c>
      <c r="D951" s="7">
        <f>'Price Data'!D952/'Price Data'!D951-1</f>
        <v>6.0139328318136176E-3</v>
      </c>
      <c r="E951" s="7">
        <f>'Price Data'!E952/'Price Data'!E951-1</f>
        <v>-9.0472850795575432E-4</v>
      </c>
    </row>
    <row r="952" spans="1:5" ht="15" customHeight="1" x14ac:dyDescent="0.2">
      <c r="A952" s="4" t="s">
        <v>954</v>
      </c>
      <c r="B952" s="7">
        <f>'Price Data'!B953/'Price Data'!B952-1</f>
        <v>-6.8670738126098696E-3</v>
      </c>
      <c r="C952" s="7">
        <f>'Price Data'!C953/'Price Data'!C952-1</f>
        <v>-1.6598091203738674E-2</v>
      </c>
      <c r="D952" s="7">
        <f>'Price Data'!D953/'Price Data'!D952-1</f>
        <v>1.2060924285034247E-2</v>
      </c>
      <c r="E952" s="7">
        <f>'Price Data'!E953/'Price Data'!E952-1</f>
        <v>4.0237618762735128E-3</v>
      </c>
    </row>
    <row r="953" spans="1:5" ht="15" customHeight="1" x14ac:dyDescent="0.2">
      <c r="A953" s="4" t="s">
        <v>955</v>
      </c>
      <c r="B953" s="7">
        <f>'Price Data'!B954/'Price Data'!B953-1</f>
        <v>5.0984947622572108E-3</v>
      </c>
      <c r="C953" s="7">
        <f>'Price Data'!C954/'Price Data'!C953-1</f>
        <v>2.5872292719184564E-3</v>
      </c>
      <c r="D953" s="7">
        <f>'Price Data'!D954/'Price Data'!D953-1</f>
        <v>1.0984392807998455E-2</v>
      </c>
      <c r="E953" s="7">
        <f>'Price Data'!E954/'Price Data'!E953-1</f>
        <v>1.3022893656033929E-3</v>
      </c>
    </row>
    <row r="954" spans="1:5" ht="15" customHeight="1" x14ac:dyDescent="0.2">
      <c r="A954" s="4" t="s">
        <v>956</v>
      </c>
      <c r="B954" s="7">
        <f>'Price Data'!B955/'Price Data'!B954-1</f>
        <v>-2.0829517386544705E-4</v>
      </c>
      <c r="C954" s="7">
        <f>'Price Data'!C955/'Price Data'!C954-1</f>
        <v>1.2287870512039945E-4</v>
      </c>
      <c r="D954" s="7">
        <f>'Price Data'!D955/'Price Data'!D954-1</f>
        <v>-7.8926406086051726E-3</v>
      </c>
      <c r="E954" s="7">
        <f>'Price Data'!E955/'Price Data'!E954-1</f>
        <v>-4.902760673402784E-3</v>
      </c>
    </row>
    <row r="955" spans="1:5" ht="15" customHeight="1" x14ac:dyDescent="0.2">
      <c r="A955" s="4" t="s">
        <v>957</v>
      </c>
      <c r="B955" s="7">
        <f>'Price Data'!B956/'Price Data'!B955-1</f>
        <v>3.9269057724633516E-3</v>
      </c>
      <c r="C955" s="7">
        <f>'Price Data'!C956/'Price Data'!C955-1</f>
        <v>6.7575983993530819E-3</v>
      </c>
      <c r="D955" s="7">
        <f>'Price Data'!D956/'Price Data'!D955-1</f>
        <v>7.4388545503292214E-3</v>
      </c>
      <c r="E955" s="7">
        <f>'Price Data'!E956/'Price Data'!E955-1</f>
        <v>7.0373953848701376E-4</v>
      </c>
    </row>
    <row r="956" spans="1:5" ht="15" customHeight="1" x14ac:dyDescent="0.2">
      <c r="A956" s="4" t="s">
        <v>958</v>
      </c>
      <c r="B956" s="7">
        <f>'Price Data'!B957/'Price Data'!B956-1</f>
        <v>-3.1499779742207856E-3</v>
      </c>
      <c r="C956" s="7">
        <f>'Price Data'!C957/'Price Data'!C956-1</f>
        <v>-1.1837973625690945E-2</v>
      </c>
      <c r="D956" s="7">
        <f>'Price Data'!D957/'Price Data'!D956-1</f>
        <v>-1.9587890802406527E-2</v>
      </c>
      <c r="E956" s="7">
        <f>'Price Data'!E957/'Price Data'!E956-1</f>
        <v>-6.9331087591716356E-3</v>
      </c>
    </row>
    <row r="957" spans="1:5" ht="15" customHeight="1" x14ac:dyDescent="0.2">
      <c r="A957" s="4" t="s">
        <v>959</v>
      </c>
      <c r="B957" s="7">
        <f>'Price Data'!B958/'Price Data'!B957-1</f>
        <v>-1.1460151723047263E-3</v>
      </c>
      <c r="C957" s="7">
        <f>'Price Data'!C958/'Price Data'!C957-1</f>
        <v>-5.6810422472627353E-3</v>
      </c>
      <c r="D957" s="7">
        <f>'Price Data'!D958/'Price Data'!D957-1</f>
        <v>1.4645865416349491E-3</v>
      </c>
      <c r="E957" s="7">
        <f>'Price Data'!E958/'Price Data'!E957-1</f>
        <v>2.0212904298388956E-4</v>
      </c>
    </row>
    <row r="958" spans="1:5" ht="15" customHeight="1" x14ac:dyDescent="0.2">
      <c r="A958" s="4" t="s">
        <v>960</v>
      </c>
      <c r="B958" s="7">
        <f>'Price Data'!B959/'Price Data'!B958-1</f>
        <v>-9.0387192996291832E-3</v>
      </c>
      <c r="C958" s="7">
        <f>'Price Data'!C959/'Price Data'!C958-1</f>
        <v>-1.0060931949267937E-2</v>
      </c>
      <c r="D958" s="7">
        <f>'Price Data'!D959/'Price Data'!D958-1</f>
        <v>7.3114559501212817E-3</v>
      </c>
      <c r="E958" s="7">
        <f>'Price Data'!E959/'Price Data'!E958-1</f>
        <v>-2.5289539898485369E-3</v>
      </c>
    </row>
    <row r="959" spans="1:5" ht="15" customHeight="1" x14ac:dyDescent="0.2">
      <c r="A959" s="4" t="s">
        <v>961</v>
      </c>
      <c r="B959" s="7">
        <f>'Price Data'!B960/'Price Data'!B959-1</f>
        <v>2.6662315183196839E-3</v>
      </c>
      <c r="C959" s="7">
        <f>'Price Data'!C960/'Price Data'!C959-1</f>
        <v>5.6463035481053581E-3</v>
      </c>
      <c r="D959" s="7">
        <f>'Price Data'!D960/'Price Data'!D959-1</f>
        <v>2.1775752243635704E-3</v>
      </c>
      <c r="E959" s="7">
        <f>'Price Data'!E960/'Price Data'!E959-1</f>
        <v>1.9269840830520302E-3</v>
      </c>
    </row>
    <row r="960" spans="1:5" ht="15" customHeight="1" x14ac:dyDescent="0.2">
      <c r="A960" s="4" t="s">
        <v>962</v>
      </c>
      <c r="B960" s="7">
        <f>'Price Data'!B961/'Price Data'!B960-1</f>
        <v>-9.4473811087425474E-4</v>
      </c>
      <c r="C960" s="7">
        <f>'Price Data'!C961/'Price Data'!C960-1</f>
        <v>-3.368842294833807E-3</v>
      </c>
      <c r="D960" s="7">
        <f>'Price Data'!D961/'Price Data'!D960-1</f>
        <v>-9.415458930669085E-3</v>
      </c>
      <c r="E960" s="7">
        <f>'Price Data'!E961/'Price Data'!E960-1</f>
        <v>-2.0244247616636457E-3</v>
      </c>
    </row>
    <row r="961" spans="1:5" ht="15" customHeight="1" x14ac:dyDescent="0.2">
      <c r="A961" s="4" t="s">
        <v>963</v>
      </c>
      <c r="B961" s="7">
        <f>'Price Data'!B962/'Price Data'!B961-1</f>
        <v>4.0624704183085392E-3</v>
      </c>
      <c r="C961" s="7">
        <f>'Price Data'!C962/'Price Data'!C961-1</f>
        <v>8.0120154257050658E-3</v>
      </c>
      <c r="D961" s="7">
        <f>'Price Data'!D962/'Price Data'!D961-1</f>
        <v>3.1335298436514503E-3</v>
      </c>
      <c r="E961" s="7">
        <f>'Price Data'!E962/'Price Data'!E961-1</f>
        <v>-1.623123434452034E-3</v>
      </c>
    </row>
    <row r="962" spans="1:5" ht="15" customHeight="1" x14ac:dyDescent="0.2">
      <c r="A962" s="4" t="s">
        <v>964</v>
      </c>
      <c r="B962" s="7">
        <f>'Price Data'!B963/'Price Data'!B962-1</f>
        <v>1.3254435244611784E-3</v>
      </c>
      <c r="C962" s="7">
        <f>'Price Data'!C963/'Price Data'!C962-1</f>
        <v>-3.6014416680136829E-3</v>
      </c>
      <c r="D962" s="7">
        <f>'Price Data'!D963/'Price Data'!D962-1</f>
        <v>-7.184579965522131E-3</v>
      </c>
      <c r="E962" s="7">
        <f>'Price Data'!E963/'Price Data'!E962-1</f>
        <v>1.1176804176085131E-3</v>
      </c>
    </row>
    <row r="963" spans="1:5" ht="15" customHeight="1" x14ac:dyDescent="0.2">
      <c r="A963" s="4" t="s">
        <v>965</v>
      </c>
      <c r="B963" s="7">
        <f>'Price Data'!B964/'Price Data'!B963-1</f>
        <v>-2.4731884822881689E-3</v>
      </c>
      <c r="C963" s="7">
        <f>'Price Data'!C964/'Price Data'!C963-1</f>
        <v>-6.48158486924999E-3</v>
      </c>
      <c r="D963" s="7">
        <f>'Price Data'!D964/'Price Data'!D963-1</f>
        <v>4.4047655025272192E-3</v>
      </c>
      <c r="E963" s="7">
        <f>'Price Data'!E964/'Price Data'!E963-1</f>
        <v>-1.0148633537060414E-3</v>
      </c>
    </row>
    <row r="964" spans="1:5" ht="15" customHeight="1" x14ac:dyDescent="0.2">
      <c r="A964" s="4" t="s">
        <v>966</v>
      </c>
      <c r="B964" s="7">
        <f>'Price Data'!B965/'Price Data'!B964-1</f>
        <v>-1.8647158122371721E-2</v>
      </c>
      <c r="C964" s="7">
        <f>'Price Data'!C965/'Price Data'!C964-1</f>
        <v>-6.1471021343779686E-3</v>
      </c>
      <c r="D964" s="7">
        <f>'Price Data'!D965/'Price Data'!D964-1</f>
        <v>-1.6915472331569426E-2</v>
      </c>
      <c r="E964" s="7">
        <f>'Price Data'!E965/'Price Data'!E964-1</f>
        <v>-2.0317886953147291E-4</v>
      </c>
    </row>
    <row r="965" spans="1:5" ht="15" customHeight="1" x14ac:dyDescent="0.2">
      <c r="A965" s="4" t="s">
        <v>967</v>
      </c>
      <c r="B965" s="7">
        <f>'Price Data'!B966/'Price Data'!B965-1</f>
        <v>4.269994654050091E-3</v>
      </c>
      <c r="C965" s="7">
        <f>'Price Data'!C966/'Price Data'!C965-1</f>
        <v>2.0196654446376083E-3</v>
      </c>
      <c r="D965" s="7">
        <f>'Price Data'!D966/'Price Data'!D965-1</f>
        <v>-1.1046142078456778E-2</v>
      </c>
      <c r="E965" s="7">
        <f>'Price Data'!E966/'Price Data'!E965-1</f>
        <v>-3.9749132682423971E-3</v>
      </c>
    </row>
    <row r="966" spans="1:5" ht="15" customHeight="1" x14ac:dyDescent="0.2">
      <c r="A966" s="4" t="s">
        <v>968</v>
      </c>
      <c r="B966" s="7">
        <f>'Price Data'!B967/'Price Data'!B966-1</f>
        <v>-1.806957149555366E-3</v>
      </c>
      <c r="C966" s="7">
        <f>'Price Data'!C967/'Price Data'!C966-1</f>
        <v>7.5595048345000748E-4</v>
      </c>
      <c r="D966" s="7">
        <f>'Price Data'!D967/'Price Data'!D966-1</f>
        <v>1.0954725389720199E-2</v>
      </c>
      <c r="E966" s="7">
        <f>'Price Data'!E967/'Price Data'!E966-1</f>
        <v>4.1953908459524403E-3</v>
      </c>
    </row>
    <row r="967" spans="1:5" ht="15" customHeight="1" x14ac:dyDescent="0.2">
      <c r="A967" s="4" t="s">
        <v>969</v>
      </c>
      <c r="B967" s="7">
        <f>'Price Data'!B968/'Price Data'!B967-1</f>
        <v>1.270745194728562E-2</v>
      </c>
      <c r="C967" s="7">
        <f>'Price Data'!C968/'Price Data'!C967-1</f>
        <v>9.9445833147686624E-3</v>
      </c>
      <c r="D967" s="7">
        <f>'Price Data'!D968/'Price Data'!D967-1</f>
        <v>1.3279416436224434E-2</v>
      </c>
      <c r="E967" s="7">
        <f>'Price Data'!E968/'Price Data'!E967-1</f>
        <v>2.3438594534213042E-3</v>
      </c>
    </row>
    <row r="968" spans="1:5" ht="15" customHeight="1" x14ac:dyDescent="0.2">
      <c r="A968" s="4" t="s">
        <v>970</v>
      </c>
      <c r="B968" s="7">
        <f>'Price Data'!B969/'Price Data'!B968-1</f>
        <v>2.7970683818399733E-2</v>
      </c>
      <c r="C968" s="7">
        <f>'Price Data'!C969/'Price Data'!C968-1</f>
        <v>-1.4458545634622788E-2</v>
      </c>
      <c r="D968" s="7">
        <f>'Price Data'!D969/'Price Data'!D968-1</f>
        <v>-2.1283176733033371E-2</v>
      </c>
      <c r="E968" s="7">
        <f>'Price Data'!E969/'Price Data'!E968-1</f>
        <v>-7.8284345515641229E-3</v>
      </c>
    </row>
    <row r="969" spans="1:5" ht="15" customHeight="1" x14ac:dyDescent="0.2">
      <c r="A969" s="4" t="s">
        <v>971</v>
      </c>
      <c r="B969" s="7">
        <f>'Price Data'!B970/'Price Data'!B969-1</f>
        <v>6.9897324684549123E-3</v>
      </c>
      <c r="C969" s="7">
        <f>'Price Data'!C970/'Price Data'!C969-1</f>
        <v>1.5176433421864477E-2</v>
      </c>
      <c r="D969" s="7">
        <f>'Price Data'!D970/'Price Data'!D969-1</f>
        <v>1.1997959342147313E-2</v>
      </c>
      <c r="E969" s="7">
        <f>'Price Data'!E970/'Price Data'!E969-1</f>
        <v>7.5829133910447766E-3</v>
      </c>
    </row>
    <row r="970" spans="1:5" ht="15" customHeight="1" x14ac:dyDescent="0.2">
      <c r="A970" s="4" t="s">
        <v>972</v>
      </c>
      <c r="B970" s="7">
        <f>'Price Data'!B971/'Price Data'!B970-1</f>
        <v>4.6728690789088478E-3</v>
      </c>
      <c r="C970" s="7">
        <f>'Price Data'!C971/'Price Data'!C970-1</f>
        <v>-1.3828249932693049E-2</v>
      </c>
      <c r="D970" s="7">
        <f>'Price Data'!D971/'Price Data'!D970-1</f>
        <v>1.4925258350859671E-2</v>
      </c>
      <c r="E970" s="7">
        <f>'Price Data'!E971/'Price Data'!E970-1</f>
        <v>1.7289731469942726E-3</v>
      </c>
    </row>
    <row r="971" spans="1:5" ht="15" customHeight="1" x14ac:dyDescent="0.2">
      <c r="A971" s="4" t="s">
        <v>973</v>
      </c>
      <c r="B971" s="7">
        <f>'Price Data'!B972/'Price Data'!B971-1</f>
        <v>2.7973425508451832E-3</v>
      </c>
      <c r="C971" s="7">
        <f>'Price Data'!C972/'Price Data'!C971-1</f>
        <v>2.5254674427488411E-4</v>
      </c>
      <c r="D971" s="7">
        <f>'Price Data'!D972/'Price Data'!D971-1</f>
        <v>-5.0062760435797271E-3</v>
      </c>
      <c r="E971" s="7">
        <f>'Price Data'!E972/'Price Data'!E971-1</f>
        <v>-2.2337640946668014E-3</v>
      </c>
    </row>
    <row r="972" spans="1:5" ht="15" customHeight="1" x14ac:dyDescent="0.2">
      <c r="A972" s="4" t="s">
        <v>974</v>
      </c>
      <c r="B972" s="7">
        <f>'Price Data'!B973/'Price Data'!B972-1</f>
        <v>-3.9322622793472872E-3</v>
      </c>
      <c r="C972" s="7">
        <f>'Price Data'!C973/'Price Data'!C972-1</f>
        <v>-1.8565257499243093E-2</v>
      </c>
      <c r="D972" s="7">
        <f>'Price Data'!D973/'Price Data'!D972-1</f>
        <v>-1.3836464425752037E-2</v>
      </c>
      <c r="E972" s="7">
        <f>'Price Data'!E973/'Price Data'!E972-1</f>
        <v>-5.799656764140626E-3</v>
      </c>
    </row>
    <row r="973" spans="1:5" ht="15" customHeight="1" x14ac:dyDescent="0.2">
      <c r="A973" s="4" t="s">
        <v>975</v>
      </c>
      <c r="B973" s="7">
        <f>'Price Data'!B974/'Price Data'!B973-1</f>
        <v>-4.7242151317949954E-4</v>
      </c>
      <c r="C973" s="7">
        <f>'Price Data'!C974/'Price Data'!C973-1</f>
        <v>-5.9194713174468561E-3</v>
      </c>
      <c r="D973" s="7">
        <f>'Price Data'!D974/'Price Data'!D973-1</f>
        <v>5.5270502598103732E-3</v>
      </c>
      <c r="E973" s="7">
        <f>'Price Data'!E974/'Price Data'!E973-1</f>
        <v>-2.0471892117068791E-4</v>
      </c>
    </row>
    <row r="974" spans="1:5" ht="15" customHeight="1" x14ac:dyDescent="0.2">
      <c r="A974" s="4" t="s">
        <v>976</v>
      </c>
      <c r="B974" s="7">
        <f>'Price Data'!B975/'Price Data'!B974-1</f>
        <v>-7.3927708814577331E-3</v>
      </c>
      <c r="C974" s="7">
        <f>'Price Data'!C975/'Price Data'!C974-1</f>
        <v>2.0711703597657838E-3</v>
      </c>
      <c r="D974" s="7">
        <f>'Price Data'!D975/'Price Data'!D974-1</f>
        <v>-8.9849959266192769E-3</v>
      </c>
      <c r="E974" s="7">
        <f>'Price Data'!E975/'Price Data'!E974-1</f>
        <v>-4.0943830750195254E-4</v>
      </c>
    </row>
    <row r="975" spans="1:5" ht="15" customHeight="1" x14ac:dyDescent="0.2">
      <c r="A975" s="4" t="s">
        <v>977</v>
      </c>
      <c r="B975" s="7">
        <f>'Price Data'!B976/'Price Data'!B975-1</f>
        <v>-1.2685327682830261E-2</v>
      </c>
      <c r="C975" s="7">
        <f>'Price Data'!C976/'Price Data'!C975-1</f>
        <v>-3.6171616995203104E-3</v>
      </c>
      <c r="D975" s="7">
        <f>'Price Data'!D976/'Price Data'!D975-1</f>
        <v>5.3332618168311363E-4</v>
      </c>
      <c r="E975" s="7">
        <f>'Price Data'!E976/'Price Data'!E975-1</f>
        <v>1.0242235542956557E-4</v>
      </c>
    </row>
    <row r="976" spans="1:5" ht="15" customHeight="1" x14ac:dyDescent="0.2">
      <c r="A976" s="4" t="s">
        <v>978</v>
      </c>
      <c r="B976" s="7">
        <f>'Price Data'!B977/'Price Data'!B976-1</f>
        <v>4.0645569644714996E-3</v>
      </c>
      <c r="C976" s="7">
        <f>'Price Data'!C977/'Price Data'!C976-1</f>
        <v>5.4454923307378778E-3</v>
      </c>
      <c r="D976" s="7">
        <f>'Price Data'!D977/'Price Data'!D976-1</f>
        <v>7.2494568194294562E-3</v>
      </c>
      <c r="E976" s="7">
        <f>'Price Data'!E977/'Price Data'!E976-1</f>
        <v>9.2162339820989203E-4</v>
      </c>
    </row>
    <row r="977" spans="1:5" ht="15" customHeight="1" x14ac:dyDescent="0.2">
      <c r="A977" s="4" t="s">
        <v>979</v>
      </c>
      <c r="B977" s="7">
        <f>'Price Data'!B978/'Price Data'!B977-1</f>
        <v>4.5970982728966714E-3</v>
      </c>
      <c r="C977" s="7">
        <f>'Price Data'!C978/'Price Data'!C977-1</f>
        <v>-1.2895786599966819E-3</v>
      </c>
      <c r="D977" s="7">
        <f>'Price Data'!D978/'Price Data'!D977-1</f>
        <v>4.8686036881946393E-3</v>
      </c>
      <c r="E977" s="7">
        <f>'Price Data'!E978/'Price Data'!E977-1</f>
        <v>1.4320293481446811E-3</v>
      </c>
    </row>
    <row r="978" spans="1:5" ht="15" customHeight="1" x14ac:dyDescent="0.2">
      <c r="A978" s="4" t="s">
        <v>980</v>
      </c>
      <c r="B978" s="7">
        <f>'Price Data'!B979/'Price Data'!B978-1</f>
        <v>5.8044502844012413E-4</v>
      </c>
      <c r="C978" s="7">
        <f>'Price Data'!C979/'Price Data'!C978-1</f>
        <v>-2.7112863492594341E-3</v>
      </c>
      <c r="D978" s="7">
        <f>'Price Data'!D979/'Price Data'!D978-1</f>
        <v>-1.2638534641910004E-3</v>
      </c>
      <c r="E978" s="7">
        <f>'Price Data'!E979/'Price Data'!E978-1</f>
        <v>-1.0212965499064586E-3</v>
      </c>
    </row>
    <row r="979" spans="1:5" ht="15" customHeight="1" x14ac:dyDescent="0.2">
      <c r="A979" s="4" t="s">
        <v>981</v>
      </c>
      <c r="B979" s="7">
        <f>'Price Data'!B980/'Price Data'!B979-1</f>
        <v>6.9966254337892053E-3</v>
      </c>
      <c r="C979" s="7">
        <f>'Price Data'!C980/'Price Data'!C979-1</f>
        <v>2.5882444402558491E-4</v>
      </c>
      <c r="D979" s="7">
        <f>'Price Data'!D980/'Price Data'!D979-1</f>
        <v>7.3824824449517656E-3</v>
      </c>
      <c r="E979" s="7">
        <f>'Price Data'!E980/'Price Data'!E979-1</f>
        <v>-5.1146183387829058E-4</v>
      </c>
    </row>
    <row r="980" spans="1:5" ht="15" customHeight="1" x14ac:dyDescent="0.2">
      <c r="A980" s="4" t="s">
        <v>982</v>
      </c>
      <c r="B980" s="7">
        <f>'Price Data'!B981/'Price Data'!B980-1</f>
        <v>4.9484356563360699E-3</v>
      </c>
      <c r="C980" s="7">
        <f>'Price Data'!C981/'Price Data'!C980-1</f>
        <v>3.8830470993356236E-3</v>
      </c>
      <c r="D980" s="7">
        <f>'Price Data'!D981/'Price Data'!D980-1</f>
        <v>7.5376727673552857E-3</v>
      </c>
      <c r="E980" s="7">
        <f>'Price Data'!E981/'Price Data'!E980-1</f>
        <v>7.1637965371729173E-4</v>
      </c>
    </row>
    <row r="981" spans="1:5" ht="15" customHeight="1" x14ac:dyDescent="0.2">
      <c r="A981" s="4" t="s">
        <v>983</v>
      </c>
      <c r="B981" s="7">
        <f>'Price Data'!B982/'Price Data'!B981-1</f>
        <v>4.8902130864885152E-3</v>
      </c>
      <c r="C981" s="7">
        <f>'Price Data'!C982/'Price Data'!C981-1</f>
        <v>5.1572299464683891E-3</v>
      </c>
      <c r="D981" s="7">
        <f>'Price Data'!D982/'Price Data'!D981-1</f>
        <v>1.3923507564914006E-2</v>
      </c>
      <c r="E981" s="7">
        <f>'Price Data'!E982/'Price Data'!E981-1</f>
        <v>8.9970894855186945E-3</v>
      </c>
    </row>
    <row r="982" spans="1:5" ht="15" customHeight="1" x14ac:dyDescent="0.2">
      <c r="A982" s="4" t="s">
        <v>984</v>
      </c>
      <c r="B982" s="7">
        <f>'Price Data'!B983/'Price Data'!B982-1</f>
        <v>3.6579204073767801E-3</v>
      </c>
      <c r="C982" s="7">
        <f>'Price Data'!C983/'Price Data'!C982-1</f>
        <v>-5.7721155625429788E-3</v>
      </c>
      <c r="D982" s="7">
        <f>'Price Data'!D983/'Price Data'!D982-1</f>
        <v>3.9965834874704509E-3</v>
      </c>
      <c r="E982" s="7">
        <f>'Price Data'!E983/'Price Data'!E982-1</f>
        <v>-1.5201450162234398E-3</v>
      </c>
    </row>
    <row r="983" spans="1:5" ht="15" customHeight="1" x14ac:dyDescent="0.2">
      <c r="A983" s="4" t="s">
        <v>985</v>
      </c>
      <c r="B983" s="7">
        <f>'Price Data'!B984/'Price Data'!B983-1</f>
        <v>-2.8420703557849869E-3</v>
      </c>
      <c r="C983" s="7">
        <f>'Price Data'!C984/'Price Data'!C983-1</f>
        <v>5.4185845546081968E-3</v>
      </c>
      <c r="D983" s="7">
        <f>'Price Data'!D984/'Price Data'!D983-1</f>
        <v>6.4306214131519823E-3</v>
      </c>
      <c r="E983" s="7">
        <f>'Price Data'!E984/'Price Data'!E983-1</f>
        <v>2.7399309603515221E-3</v>
      </c>
    </row>
    <row r="984" spans="1:5" ht="15" customHeight="1" x14ac:dyDescent="0.2">
      <c r="A984" s="4" t="s">
        <v>986</v>
      </c>
      <c r="B984" s="7">
        <f>'Price Data'!B985/'Price Data'!B984-1</f>
        <v>5.5666253809065758E-3</v>
      </c>
      <c r="C984" s="7">
        <f>'Price Data'!C985/'Price Data'!C984-1</f>
        <v>1.3345344540173443E-2</v>
      </c>
      <c r="D984" s="7">
        <f>'Price Data'!D985/'Price Data'!D984-1</f>
        <v>-4.4624151634029552E-3</v>
      </c>
      <c r="E984" s="7">
        <f>'Price Data'!E985/'Price Data'!E984-1</f>
        <v>3.9470012969835544E-3</v>
      </c>
    </row>
    <row r="985" spans="1:5" ht="15" customHeight="1" x14ac:dyDescent="0.2">
      <c r="A985" s="4" t="s">
        <v>987</v>
      </c>
      <c r="B985" s="7">
        <f>'Price Data'!B986/'Price Data'!B985-1</f>
        <v>1.9009623960011268E-3</v>
      </c>
      <c r="C985" s="7">
        <f>'Price Data'!C986/'Price Data'!C985-1</f>
        <v>2.7858315972124625E-3</v>
      </c>
      <c r="D985" s="7">
        <f>'Price Data'!D986/'Price Data'!D985-1</f>
        <v>-1.4568023430985622E-2</v>
      </c>
      <c r="E985" s="7">
        <f>'Price Data'!E986/'Price Data'!E985-1</f>
        <v>1.2142976778184433E-4</v>
      </c>
    </row>
    <row r="986" spans="1:5" ht="15" customHeight="1" x14ac:dyDescent="0.2">
      <c r="A986" s="4" t="s">
        <v>988</v>
      </c>
      <c r="B986" s="7">
        <f>'Price Data'!B987/'Price Data'!B986-1</f>
        <v>0</v>
      </c>
      <c r="C986" s="7">
        <f>'Price Data'!C987/'Price Data'!C986-1</f>
        <v>5.6826670179261907E-3</v>
      </c>
      <c r="D986" s="7">
        <f>'Price Data'!D987/'Price Data'!D986-1</f>
        <v>-5.0656630646273015E-3</v>
      </c>
      <c r="E986" s="7">
        <f>'Price Data'!E987/'Price Data'!E986-1</f>
        <v>-1.9211321167037498E-3</v>
      </c>
    </row>
    <row r="987" spans="1:5" ht="15" customHeight="1" x14ac:dyDescent="0.2">
      <c r="A987" s="4" t="s">
        <v>989</v>
      </c>
      <c r="B987" s="7">
        <f>'Price Data'!B988/'Price Data'!B987-1</f>
        <v>6.7236578990237383E-3</v>
      </c>
      <c r="C987" s="7">
        <f>'Price Data'!C988/'Price Data'!C987-1</f>
        <v>7.5327815968395662E-4</v>
      </c>
      <c r="D987" s="7">
        <f>'Price Data'!D988/'Price Data'!D987-1</f>
        <v>-2.7014583583202523E-3</v>
      </c>
      <c r="E987" s="7">
        <f>'Price Data'!E988/'Price Data'!E987-1</f>
        <v>3.2419098044185191E-3</v>
      </c>
    </row>
    <row r="988" spans="1:5" ht="15" customHeight="1" x14ac:dyDescent="0.2">
      <c r="A988" s="4" t="s">
        <v>990</v>
      </c>
      <c r="B988" s="7">
        <f>'Price Data'!B989/'Price Data'!B988-1</f>
        <v>-2.7774447776044431E-3</v>
      </c>
      <c r="C988" s="7">
        <f>'Price Data'!C989/'Price Data'!C988-1</f>
        <v>4.8932861186512522E-3</v>
      </c>
      <c r="D988" s="7">
        <f>'Price Data'!D989/'Price Data'!D988-1</f>
        <v>-2.3964702647425451E-3</v>
      </c>
      <c r="E988" s="7">
        <f>'Price Data'!E989/'Price Data'!E988-1</f>
        <v>2.0209271308568866E-4</v>
      </c>
    </row>
    <row r="989" spans="1:5" ht="15" customHeight="1" x14ac:dyDescent="0.2">
      <c r="A989" s="4" t="s">
        <v>991</v>
      </c>
      <c r="B989" s="7">
        <f>'Price Data'!B990/'Price Data'!B989-1</f>
        <v>2.7851804625347309E-3</v>
      </c>
      <c r="C989" s="7">
        <f>'Price Data'!C990/'Price Data'!C989-1</f>
        <v>-1.2465472318046178E-4</v>
      </c>
      <c r="D989" s="7">
        <f>'Price Data'!D990/'Price Data'!D989-1</f>
        <v>-1.4621214213840217E-3</v>
      </c>
      <c r="E989" s="7">
        <f>'Price Data'!E990/'Price Data'!E989-1</f>
        <v>2.8266771105225352E-3</v>
      </c>
    </row>
    <row r="990" spans="1:5" ht="15" customHeight="1" x14ac:dyDescent="0.2">
      <c r="A990" s="4" t="s">
        <v>992</v>
      </c>
      <c r="B990" s="7">
        <f>'Price Data'!B991/'Price Data'!B990-1</f>
        <v>-6.3812682815792554E-3</v>
      </c>
      <c r="C990" s="7">
        <f>'Price Data'!C991/'Price Data'!C990-1</f>
        <v>-6.2457058866915993E-4</v>
      </c>
      <c r="D990" s="7">
        <f>'Price Data'!D991/'Price Data'!D990-1</f>
        <v>2.8239345335561161E-3</v>
      </c>
      <c r="E990" s="7">
        <f>'Price Data'!E991/'Price Data'!E990-1</f>
        <v>-2.9195733118689837E-3</v>
      </c>
    </row>
    <row r="991" spans="1:5" ht="15" customHeight="1" x14ac:dyDescent="0.2">
      <c r="A991" s="4" t="s">
        <v>993</v>
      </c>
      <c r="B991" s="7">
        <f>'Price Data'!B992/'Price Data'!B991-1</f>
        <v>-3.7598594775459793E-3</v>
      </c>
      <c r="C991" s="7">
        <f>'Price Data'!C992/'Price Data'!C991-1</f>
        <v>-8.9966108553285462E-3</v>
      </c>
      <c r="D991" s="7">
        <f>'Price Data'!D992/'Price Data'!D991-1</f>
        <v>-1.4497349911544721E-2</v>
      </c>
      <c r="E991" s="7">
        <f>'Price Data'!E992/'Price Data'!E991-1</f>
        <v>-1.2116141495867039E-3</v>
      </c>
    </row>
    <row r="992" spans="1:5" ht="15" customHeight="1" x14ac:dyDescent="0.2">
      <c r="A992" s="4" t="s">
        <v>994</v>
      </c>
      <c r="B992" s="7">
        <f>'Price Data'!B993/'Price Data'!B992-1</f>
        <v>8.0494934351638125E-3</v>
      </c>
      <c r="C992" s="7">
        <f>'Price Data'!C993/'Price Data'!C992-1</f>
        <v>6.3043956875974416E-3</v>
      </c>
      <c r="D992" s="7">
        <f>'Price Data'!D993/'Price Data'!D992-1</f>
        <v>-2.3283441232311297E-3</v>
      </c>
      <c r="E992" s="7">
        <f>'Price Data'!E993/'Price Data'!E992-1</f>
        <v>-2.3251322675978958E-3</v>
      </c>
    </row>
    <row r="993" spans="1:5" ht="15" customHeight="1" x14ac:dyDescent="0.2">
      <c r="A993" s="4" t="s">
        <v>995</v>
      </c>
      <c r="B993" s="7">
        <f>'Price Data'!B994/'Price Data'!B993-1</f>
        <v>-5.6992841495797641E-3</v>
      </c>
      <c r="C993" s="7">
        <f>'Price Data'!C994/'Price Data'!C993-1</f>
        <v>-8.7708182171950533E-3</v>
      </c>
      <c r="D993" s="7">
        <f>'Price Data'!D994/'Price Data'!D993-1</f>
        <v>-1.5910666121246031E-3</v>
      </c>
      <c r="E993" s="7">
        <f>'Price Data'!E994/'Price Data'!E993-1</f>
        <v>-4.0531466676710926E-3</v>
      </c>
    </row>
    <row r="994" spans="1:5" ht="15" customHeight="1" x14ac:dyDescent="0.2">
      <c r="A994" s="4" t="s">
        <v>996</v>
      </c>
      <c r="B994" s="7">
        <f>'Price Data'!B995/'Price Data'!B994-1</f>
        <v>-4.9982639578105559E-4</v>
      </c>
      <c r="C994" s="7">
        <f>'Price Data'!C995/'Price Data'!C994-1</f>
        <v>-2.7809016094829664E-3</v>
      </c>
      <c r="D994" s="7">
        <f>'Price Data'!D995/'Price Data'!D994-1</f>
        <v>-2.8686399671670193E-3</v>
      </c>
      <c r="E994" s="7">
        <f>'Price Data'!E995/'Price Data'!E994-1</f>
        <v>-3.7645092698584959E-3</v>
      </c>
    </row>
    <row r="995" spans="1:5" ht="15" customHeight="1" x14ac:dyDescent="0.2">
      <c r="A995" s="4" t="s">
        <v>997</v>
      </c>
      <c r="B995" s="7">
        <f>'Price Data'!B996/'Price Data'!B995-1</f>
        <v>4.0676548934786005E-3</v>
      </c>
      <c r="C995" s="7">
        <f>'Price Data'!C996/'Price Data'!C995-1</f>
        <v>-3.2957881982421666E-3</v>
      </c>
      <c r="D995" s="7">
        <f>'Price Data'!D996/'Price Data'!D995-1</f>
        <v>-3.5162892145702562E-3</v>
      </c>
      <c r="E995" s="7">
        <f>'Price Data'!E996/'Price Data'!E995-1</f>
        <v>9.1927036780359295E-4</v>
      </c>
    </row>
    <row r="996" spans="1:5" ht="15" customHeight="1" x14ac:dyDescent="0.2">
      <c r="A996" s="4" t="s">
        <v>998</v>
      </c>
      <c r="B996" s="7">
        <f>'Price Data'!B997/'Price Data'!B996-1</f>
        <v>-4.9476876214323839E-3</v>
      </c>
      <c r="C996" s="7">
        <f>'Price Data'!C997/'Price Data'!C996-1</f>
        <v>-1.5856158575252577E-3</v>
      </c>
      <c r="D996" s="7">
        <f>'Price Data'!D997/'Price Data'!D996-1</f>
        <v>-4.8117406996792678E-3</v>
      </c>
      <c r="E996" s="7">
        <f>'Price Data'!E997/'Price Data'!E996-1</f>
        <v>0</v>
      </c>
    </row>
    <row r="997" spans="1:5" ht="15" customHeight="1" x14ac:dyDescent="0.2">
      <c r="A997" s="4" t="s">
        <v>999</v>
      </c>
      <c r="B997" s="7">
        <f>'Price Data'!B998/'Price Data'!B997-1</f>
        <v>-3.0935184211273392E-2</v>
      </c>
      <c r="C997" s="7">
        <f>'Price Data'!C998/'Price Data'!C997-1</f>
        <v>-2.4531866842583461E-2</v>
      </c>
      <c r="D997" s="7">
        <f>'Price Data'!D998/'Price Data'!D997-1</f>
        <v>-4.125915208431985E-2</v>
      </c>
      <c r="E997" s="7">
        <f>'Price Data'!E998/'Price Data'!E997-1</f>
        <v>-7.6153899616281384E-3</v>
      </c>
    </row>
    <row r="998" spans="1:5" ht="15" customHeight="1" x14ac:dyDescent="0.2">
      <c r="A998" s="4" t="s">
        <v>1000</v>
      </c>
      <c r="B998" s="7">
        <f>'Price Data'!B999/'Price Data'!B998-1</f>
        <v>-1.4116660364693612E-3</v>
      </c>
      <c r="C998" s="7">
        <f>'Price Data'!C999/'Price Data'!C998-1</f>
        <v>-3.1767784391750764E-3</v>
      </c>
      <c r="D998" s="7">
        <f>'Price Data'!D999/'Price Data'!D998-1</f>
        <v>-1.5465898587873061E-2</v>
      </c>
      <c r="E998" s="7">
        <f>'Price Data'!E999/'Price Data'!E998-1</f>
        <v>-2.5789228007653264E-3</v>
      </c>
    </row>
    <row r="999" spans="1:5" ht="15" customHeight="1" x14ac:dyDescent="0.2">
      <c r="A999" s="4" t="s">
        <v>1001</v>
      </c>
      <c r="B999" s="7">
        <f>'Price Data'!B1000/'Price Data'!B999-1</f>
        <v>1.1380035450663906E-2</v>
      </c>
      <c r="C999" s="7">
        <f>'Price Data'!C1000/'Price Data'!C999-1</f>
        <v>-2.788473089011867E-3</v>
      </c>
      <c r="D999" s="7">
        <f>'Price Data'!D1000/'Price Data'!D999-1</f>
        <v>1.6846953028535561E-2</v>
      </c>
      <c r="E999" s="7">
        <f>'Price Data'!E1000/'Price Data'!E999-1</f>
        <v>2.6887801425954372E-3</v>
      </c>
    </row>
    <row r="1000" spans="1:5" ht="15" customHeight="1" x14ac:dyDescent="0.2">
      <c r="A1000" s="4" t="s">
        <v>1002</v>
      </c>
      <c r="B1000" s="7">
        <f>'Price Data'!B1001/'Price Data'!B1000-1</f>
        <v>5.6816955729919183E-3</v>
      </c>
      <c r="C1000" s="7">
        <f>'Price Data'!C1001/'Price Data'!C1000-1</f>
        <v>6.5245953365626885E-3</v>
      </c>
      <c r="D1000" s="7">
        <f>'Price Data'!D1001/'Price Data'!D1000-1</f>
        <v>3.9107851900066493E-3</v>
      </c>
      <c r="E1000" s="7">
        <f>'Price Data'!E1001/'Price Data'!E1000-1</f>
        <v>-3.0940550157544378E-3</v>
      </c>
    </row>
    <row r="1001" spans="1:5" ht="15" customHeight="1" x14ac:dyDescent="0.2">
      <c r="A1001" s="4" t="s">
        <v>1003</v>
      </c>
      <c r="B1001" s="7">
        <f>'Price Data'!B1002/'Price Data'!B1001-1</f>
        <v>1.0612349476929461E-2</v>
      </c>
      <c r="C1001" s="7">
        <f>'Price Data'!C1002/'Price Data'!C1001-1</f>
        <v>3.5719451299285332E-3</v>
      </c>
      <c r="D1001" s="7">
        <f>'Price Data'!D1002/'Price Data'!D1001-1</f>
        <v>6.6427165011191391E-3</v>
      </c>
      <c r="E1001" s="7">
        <f>'Price Data'!E1002/'Price Data'!E1001-1</f>
        <v>1.1377288173262112E-3</v>
      </c>
    </row>
    <row r="1002" spans="1:5" ht="15" customHeight="1" x14ac:dyDescent="0.2">
      <c r="A1002" s="4" t="s">
        <v>1004</v>
      </c>
      <c r="B1002" s="7">
        <f>'Price Data'!B1003/'Price Data'!B1002-1</f>
        <v>5.7200674902913029E-4</v>
      </c>
      <c r="C1002" s="7">
        <f>'Price Data'!C1003/'Price Data'!C1002-1</f>
        <v>4.7456423325518138E-3</v>
      </c>
      <c r="D1002" s="7">
        <f>'Price Data'!D1003/'Price Data'!D1002-1</f>
        <v>2.684096338106956E-3</v>
      </c>
      <c r="E1002" s="7">
        <f>'Price Data'!E1003/'Price Data'!E1002-1</f>
        <v>7.2364261605195601E-4</v>
      </c>
    </row>
    <row r="1003" spans="1:5" ht="15" customHeight="1" x14ac:dyDescent="0.2">
      <c r="A1003" s="4" t="s">
        <v>1005</v>
      </c>
      <c r="B1003" s="7">
        <f>'Price Data'!B1004/'Price Data'!B1003-1</f>
        <v>-1.0831078513716341E-2</v>
      </c>
      <c r="C1003" s="7">
        <f>'Price Data'!C1004/'Price Data'!C1003-1</f>
        <v>-1.4432552356450357E-3</v>
      </c>
      <c r="D1003" s="7">
        <f>'Price Data'!D1004/'Price Data'!D1003-1</f>
        <v>-1.0038935743126975E-2</v>
      </c>
      <c r="E1003" s="7">
        <f>'Price Data'!E1004/'Price Data'!E1003-1</f>
        <v>-2.0653150666807285E-3</v>
      </c>
    </row>
    <row r="1004" spans="1:5" ht="15" customHeight="1" x14ac:dyDescent="0.2">
      <c r="A1004" s="4" t="s">
        <v>1006</v>
      </c>
      <c r="B1004" s="7">
        <f>'Price Data'!B1005/'Price Data'!B1004-1</f>
        <v>-1.1051863540348261E-2</v>
      </c>
      <c r="C1004" s="7">
        <f>'Price Data'!C1005/'Price Data'!C1004-1</f>
        <v>-6.5693205862621395E-3</v>
      </c>
      <c r="D1004" s="7">
        <f>'Price Data'!D1005/'Price Data'!D1004-1</f>
        <v>-4.9578176019056119E-3</v>
      </c>
      <c r="E1004" s="7">
        <f>'Price Data'!E1005/'Price Data'!E1004-1</f>
        <v>3.9320859131677377E-3</v>
      </c>
    </row>
    <row r="1005" spans="1:5" ht="15" customHeight="1" x14ac:dyDescent="0.2">
      <c r="A1005" s="4" t="s">
        <v>1007</v>
      </c>
      <c r="B1005" s="7">
        <f>'Price Data'!B1006/'Price Data'!B1005-1</f>
        <v>-3.4729427614643704E-3</v>
      </c>
      <c r="C1005" s="7">
        <f>'Price Data'!C1006/'Price Data'!C1005-1</f>
        <v>0</v>
      </c>
      <c r="D1005" s="7">
        <f>'Price Data'!D1006/'Price Data'!D1005-1</f>
        <v>8.71929560828133E-3</v>
      </c>
      <c r="E1005" s="7">
        <f>'Price Data'!E1006/'Price Data'!E1005-1</f>
        <v>-1.2367733153922922E-3</v>
      </c>
    </row>
    <row r="1006" spans="1:5" ht="15" customHeight="1" x14ac:dyDescent="0.2">
      <c r="A1006" s="4" t="s">
        <v>1008</v>
      </c>
      <c r="B1006" s="7">
        <f>'Price Data'!B1007/'Price Data'!B1006-1</f>
        <v>-1.8977368806822881E-3</v>
      </c>
      <c r="C1006" s="7">
        <f>'Price Data'!C1007/'Price Data'!C1006-1</f>
        <v>-3.4388230606574588E-3</v>
      </c>
      <c r="D1006" s="7">
        <f>'Price Data'!D1007/'Price Data'!D1006-1</f>
        <v>-8.8683770457954614E-3</v>
      </c>
      <c r="E1006" s="7">
        <f>'Price Data'!E1007/'Price Data'!E1006-1</f>
        <v>1.0331038372957124E-4</v>
      </c>
    </row>
    <row r="1007" spans="1:5" ht="15" customHeight="1" x14ac:dyDescent="0.2">
      <c r="A1007" s="4" t="s">
        <v>1009</v>
      </c>
      <c r="B1007" s="7">
        <f>'Price Data'!B1008/'Price Data'!B1007-1</f>
        <v>1.3136986341108381E-2</v>
      </c>
      <c r="C1007" s="7">
        <f>'Price Data'!C1008/'Price Data'!C1007-1</f>
        <v>4.3795449364110173E-3</v>
      </c>
      <c r="D1007" s="7">
        <f>'Price Data'!D1008/'Price Data'!D1007-1</f>
        <v>1.3138451251351269E-2</v>
      </c>
      <c r="E1007" s="7">
        <f>'Price Data'!E1008/'Price Data'!E1007-1</f>
        <v>-1.0319950188997229E-3</v>
      </c>
    </row>
    <row r="1008" spans="1:5" ht="15" customHeight="1" x14ac:dyDescent="0.2">
      <c r="A1008" s="4" t="s">
        <v>1010</v>
      </c>
      <c r="B1008" s="7">
        <f>'Price Data'!B1009/'Price Data'!B1008-1</f>
        <v>5.5960344535772588E-3</v>
      </c>
      <c r="C1008" s="7">
        <f>'Price Data'!C1009/'Price Data'!C1008-1</f>
        <v>9.5137532841254036E-3</v>
      </c>
      <c r="D1008" s="7">
        <f>'Price Data'!D1009/'Price Data'!D1008-1</f>
        <v>-1.2856174317857683E-2</v>
      </c>
      <c r="E1008" s="7">
        <f>'Price Data'!E1009/'Price Data'!E1008-1</f>
        <v>-1.0330611328430717E-3</v>
      </c>
    </row>
    <row r="1009" spans="1:5" ht="15" customHeight="1" x14ac:dyDescent="0.2">
      <c r="A1009" s="4" t="s">
        <v>1011</v>
      </c>
      <c r="B1009" s="7">
        <f>'Price Data'!B1010/'Price Data'!B1009-1</f>
        <v>-1.1163741019512674E-2</v>
      </c>
      <c r="C1009" s="7">
        <f>'Price Data'!C1010/'Price Data'!C1009-1</f>
        <v>-7.8527994116217581E-4</v>
      </c>
      <c r="D1009" s="7">
        <f>'Price Data'!D1010/'Price Data'!D1009-1</f>
        <v>-9.5131176881376733E-3</v>
      </c>
      <c r="E1009" s="7">
        <f>'Price Data'!E1010/'Price Data'!E1009-1</f>
        <v>-3.5156886759895034E-3</v>
      </c>
    </row>
    <row r="1010" spans="1:5" ht="15" customHeight="1" x14ac:dyDescent="0.2">
      <c r="A1010" s="4" t="s">
        <v>1012</v>
      </c>
      <c r="B1010" s="7">
        <f>'Price Data'!B1011/'Price Data'!B1010-1</f>
        <v>9.2638279988599415E-4</v>
      </c>
      <c r="C1010" s="7">
        <f>'Price Data'!C1011/'Price Data'!C1010-1</f>
        <v>-1.5718993315660956E-3</v>
      </c>
      <c r="D1010" s="7">
        <f>'Price Data'!D1011/'Price Data'!D1010-1</f>
        <v>2.6296831669485599E-3</v>
      </c>
      <c r="E1010" s="7">
        <f>'Price Data'!E1011/'Price Data'!E1010-1</f>
        <v>1.1416565230413234E-3</v>
      </c>
    </row>
    <row r="1011" spans="1:5" ht="15" customHeight="1" x14ac:dyDescent="0.2">
      <c r="A1011" s="4" t="s">
        <v>1013</v>
      </c>
      <c r="B1011" s="7">
        <f>'Price Data'!B1012/'Price Data'!B1011-1</f>
        <v>-1.5016481959342687E-2</v>
      </c>
      <c r="C1011" s="7">
        <f>'Price Data'!C1012/'Price Data'!C1011-1</f>
        <v>-1.5219160161100254E-2</v>
      </c>
      <c r="D1011" s="7">
        <f>'Price Data'!D1012/'Price Data'!D1011-1</f>
        <v>-2.4404071509574576E-2</v>
      </c>
      <c r="E1011" s="7">
        <f>'Price Data'!E1012/'Price Data'!E1011-1</f>
        <v>-5.59709035517586E-3</v>
      </c>
    </row>
    <row r="1012" spans="1:5" ht="15" customHeight="1" x14ac:dyDescent="0.2">
      <c r="A1012" s="4" t="s">
        <v>1014</v>
      </c>
      <c r="B1012" s="7">
        <f>'Price Data'!B1013/'Price Data'!B1012-1</f>
        <v>1.6358980321973249E-3</v>
      </c>
      <c r="C1012" s="7">
        <f>'Price Data'!C1013/'Price Data'!C1012-1</f>
        <v>-2.7978674949552529E-3</v>
      </c>
      <c r="D1012" s="7">
        <f>'Price Data'!D1013/'Price Data'!D1012-1</f>
        <v>1.2273504922926115E-2</v>
      </c>
      <c r="E1012" s="7">
        <f>'Price Data'!E1013/'Price Data'!E1012-1</f>
        <v>-9.3808495872982345E-4</v>
      </c>
    </row>
    <row r="1013" spans="1:5" ht="15" customHeight="1" x14ac:dyDescent="0.2">
      <c r="A1013" s="4" t="s">
        <v>1015</v>
      </c>
      <c r="B1013" s="7">
        <f>'Price Data'!B1014/'Price Data'!B1013-1</f>
        <v>2.2590227272658581E-3</v>
      </c>
      <c r="C1013" s="7">
        <f>'Price Data'!C1014/'Price Data'!C1013-1</f>
        <v>3.6073664187514787E-3</v>
      </c>
      <c r="D1013" s="7">
        <f>'Price Data'!D1014/'Price Data'!D1013-1</f>
        <v>9.1225308044351472E-3</v>
      </c>
      <c r="E1013" s="7">
        <f>'Price Data'!E1014/'Price Data'!E1013-1</f>
        <v>3.1281973258434626E-4</v>
      </c>
    </row>
    <row r="1014" spans="1:5" ht="15" customHeight="1" x14ac:dyDescent="0.2">
      <c r="A1014" s="4" t="s">
        <v>1016</v>
      </c>
      <c r="B1014" s="7">
        <f>'Price Data'!B1015/'Price Data'!B1014-1</f>
        <v>1.8341001590540751E-2</v>
      </c>
      <c r="C1014" s="7">
        <f>'Price Data'!C1015/'Price Data'!C1014-1</f>
        <v>1.2779531207389061E-2</v>
      </c>
      <c r="D1014" s="7">
        <f>'Price Data'!D1015/'Price Data'!D1014-1</f>
        <v>5.7214379577901209E-3</v>
      </c>
      <c r="E1014" s="7">
        <f>'Price Data'!E1015/'Price Data'!E1014-1</f>
        <v>8.6566994612486958E-3</v>
      </c>
    </row>
    <row r="1015" spans="1:5" ht="15" customHeight="1" x14ac:dyDescent="0.2">
      <c r="A1015" s="4" t="s">
        <v>1017</v>
      </c>
      <c r="B1015" s="7">
        <f>'Price Data'!B1016/'Price Data'!B1015-1</f>
        <v>-7.4899408475637141E-4</v>
      </c>
      <c r="C1015" s="7">
        <f>'Price Data'!C1016/'Price Data'!C1015-1</f>
        <v>5.126210715801216E-3</v>
      </c>
      <c r="D1015" s="7">
        <f>'Price Data'!D1016/'Price Data'!D1015-1</f>
        <v>2.0707601317617286E-2</v>
      </c>
      <c r="E1015" s="7">
        <f>'Price Data'!E1016/'Price Data'!E1015-1</f>
        <v>2.1715212230015712E-3</v>
      </c>
    </row>
    <row r="1016" spans="1:5" ht="15" customHeight="1" x14ac:dyDescent="0.2">
      <c r="A1016" s="4" t="s">
        <v>1018</v>
      </c>
      <c r="B1016" s="7">
        <f>'Price Data'!B1017/'Price Data'!B1016-1</f>
        <v>9.2338587739608791E-3</v>
      </c>
      <c r="C1016" s="7">
        <f>'Price Data'!C1017/'Price Data'!C1016-1</f>
        <v>4.0538103486895682E-3</v>
      </c>
      <c r="D1016" s="7">
        <f>'Price Data'!D1017/'Price Data'!D1016-1</f>
        <v>-6.6889282466076061E-4</v>
      </c>
      <c r="E1016" s="7">
        <f>'Price Data'!E1017/'Price Data'!E1016-1</f>
        <v>0</v>
      </c>
    </row>
    <row r="1017" spans="1:5" ht="15" customHeight="1" x14ac:dyDescent="0.2">
      <c r="A1017" s="4" t="s">
        <v>1019</v>
      </c>
      <c r="B1017" s="7">
        <f>'Price Data'!B1018/'Price Data'!B1017-1</f>
        <v>9.9256452650393623E-3</v>
      </c>
      <c r="C1017" s="7">
        <f>'Price Data'!C1018/'Price Data'!C1017-1</f>
        <v>2.0187634788798148E-2</v>
      </c>
      <c r="D1017" s="7">
        <f>'Price Data'!D1018/'Price Data'!D1017-1</f>
        <v>1.8739731502637191E-2</v>
      </c>
      <c r="E1017" s="7">
        <f>'Price Data'!E1018/'Price Data'!E1017-1</f>
        <v>3.3017431888084925E-3</v>
      </c>
    </row>
    <row r="1018" spans="1:5" ht="15" customHeight="1" x14ac:dyDescent="0.2">
      <c r="A1018" s="4" t="s">
        <v>1020</v>
      </c>
      <c r="B1018" s="7">
        <f>'Price Data'!B1019/'Price Data'!B1018-1</f>
        <v>4.8805967373810599E-3</v>
      </c>
      <c r="C1018" s="7">
        <f>'Price Data'!C1019/'Price Data'!C1018-1</f>
        <v>-2.2979982287452128E-3</v>
      </c>
      <c r="D1018" s="7">
        <f>'Price Data'!D1019/'Price Data'!D1018-1</f>
        <v>-1.7409471861727255E-2</v>
      </c>
      <c r="E1018" s="7">
        <f>'Price Data'!E1019/'Price Data'!E1018-1</f>
        <v>-2.3652506233551307E-3</v>
      </c>
    </row>
    <row r="1019" spans="1:5" ht="15" customHeight="1" x14ac:dyDescent="0.2">
      <c r="A1019" s="4" t="s">
        <v>1021</v>
      </c>
      <c r="B1019" s="7">
        <f>'Price Data'!B1020/'Price Data'!B1019-1</f>
        <v>5.2562488511922467E-3</v>
      </c>
      <c r="C1019" s="7">
        <f>'Price Data'!C1020/'Price Data'!C1019-1</f>
        <v>8.189399889107829E-3</v>
      </c>
      <c r="D1019" s="7">
        <f>'Price Data'!D1020/'Price Data'!D1019-1</f>
        <v>7.3545502614098535E-3</v>
      </c>
      <c r="E1019" s="7">
        <f>'Price Data'!E1020/'Price Data'!E1019-1</f>
        <v>-1.6494233024828553E-3</v>
      </c>
    </row>
    <row r="1020" spans="1:5" ht="15" customHeight="1" x14ac:dyDescent="0.2">
      <c r="A1020" s="4" t="s">
        <v>1022</v>
      </c>
      <c r="B1020" s="7">
        <f>'Price Data'!B1021/'Price Data'!B1020-1</f>
        <v>-2.9122054088993599E-3</v>
      </c>
      <c r="C1020" s="7">
        <f>'Price Data'!C1021/'Price Data'!C1020-1</f>
        <v>5.5845107307794795E-3</v>
      </c>
      <c r="D1020" s="7">
        <f>'Price Data'!D1021/'Price Data'!D1020-1</f>
        <v>3.42921014852271E-3</v>
      </c>
      <c r="E1020" s="7">
        <f>'Price Data'!E1021/'Price Data'!E1020-1</f>
        <v>1.652148394543973E-3</v>
      </c>
    </row>
    <row r="1021" spans="1:5" ht="15" customHeight="1" x14ac:dyDescent="0.2">
      <c r="A1021" s="4" t="s">
        <v>1023</v>
      </c>
      <c r="B1021" s="7">
        <f>'Price Data'!B1022/'Price Data'!B1021-1</f>
        <v>-1.3939645100284448E-2</v>
      </c>
      <c r="C1021" s="7">
        <f>'Price Data'!C1022/'Price Data'!C1021-1</f>
        <v>0</v>
      </c>
      <c r="D1021" s="7">
        <f>'Price Data'!D1022/'Price Data'!D1021-1</f>
        <v>1.33392039937128E-2</v>
      </c>
      <c r="E1021" s="7">
        <f>'Price Data'!E1022/'Price Data'!E1021-1</f>
        <v>5.5662614017271128E-3</v>
      </c>
    </row>
    <row r="1022" spans="1:5" ht="15" customHeight="1" x14ac:dyDescent="0.2">
      <c r="A1022" s="4" t="s">
        <v>1024</v>
      </c>
      <c r="B1022" s="7">
        <f>'Price Data'!B1023/'Price Data'!B1022-1</f>
        <v>8.5828766506446108E-3</v>
      </c>
      <c r="C1022" s="7">
        <f>'Price Data'!C1023/'Price Data'!C1022-1</f>
        <v>-1.2622873936297685E-3</v>
      </c>
      <c r="D1022" s="7">
        <f>'Price Data'!D1023/'Price Data'!D1022-1</f>
        <v>-1.2075769687058924E-2</v>
      </c>
      <c r="E1022" s="7">
        <f>'Price Data'!E1023/'Price Data'!E1022-1</f>
        <v>-3.0753419793616565E-4</v>
      </c>
    </row>
    <row r="1023" spans="1:5" ht="15" customHeight="1" x14ac:dyDescent="0.2">
      <c r="A1023" s="4" t="s">
        <v>1025</v>
      </c>
      <c r="B1023" s="7">
        <f>'Price Data'!B1024/'Price Data'!B1023-1</f>
        <v>-4.2715121109332399E-3</v>
      </c>
      <c r="C1023" s="7">
        <f>'Price Data'!C1024/'Price Data'!C1023-1</f>
        <v>-1.26296978671947E-4</v>
      </c>
      <c r="D1023" s="7">
        <f>'Price Data'!D1024/'Price Data'!D1023-1</f>
        <v>-1.3214294903588941E-2</v>
      </c>
      <c r="E1023" s="7">
        <f>'Price Data'!E1024/'Price Data'!E1023-1</f>
        <v>-6.1525760862646273E-4</v>
      </c>
    </row>
    <row r="1024" spans="1:5" ht="15" customHeight="1" x14ac:dyDescent="0.2">
      <c r="A1024" s="4" t="s">
        <v>1026</v>
      </c>
      <c r="B1024" s="7">
        <f>'Price Data'!B1025/'Price Data'!B1024-1</f>
        <v>6.2674852642334855E-3</v>
      </c>
      <c r="C1024" s="7">
        <f>'Price Data'!C1025/'Price Data'!C1024-1</f>
        <v>1.0995921157598731E-2</v>
      </c>
      <c r="D1024" s="7">
        <f>'Price Data'!D1025/'Price Data'!D1024-1</f>
        <v>1.2721792056356707E-2</v>
      </c>
      <c r="E1024" s="7">
        <f>'Price Data'!E1025/'Price Data'!E1024-1</f>
        <v>1.4367893640880869E-3</v>
      </c>
    </row>
    <row r="1025" spans="1:5" ht="15" customHeight="1" x14ac:dyDescent="0.2">
      <c r="A1025" s="4" t="s">
        <v>1027</v>
      </c>
      <c r="B1025" s="7">
        <f>'Price Data'!B1026/'Price Data'!B1025-1</f>
        <v>-5.4624164529711861E-3</v>
      </c>
      <c r="C1025" s="7">
        <f>'Price Data'!C1026/'Price Data'!C1025-1</f>
        <v>-9.3761534288417936E-3</v>
      </c>
      <c r="D1025" s="7">
        <f>'Price Data'!D1026/'Price Data'!D1025-1</f>
        <v>-2.2038235184324018E-3</v>
      </c>
      <c r="E1025" s="7">
        <f>'Price Data'!E1026/'Price Data'!E1025-1</f>
        <v>-2.0494810750720793E-3</v>
      </c>
    </row>
    <row r="1026" spans="1:5" ht="15" customHeight="1" x14ac:dyDescent="0.2">
      <c r="A1026" s="4" t="s">
        <v>1028</v>
      </c>
      <c r="B1026" s="7">
        <f>'Price Data'!B1027/'Price Data'!B1026-1</f>
        <v>-7.3005713572088515E-3</v>
      </c>
      <c r="C1026" s="7">
        <f>'Price Data'!C1027/'Price Data'!C1026-1</f>
        <v>-1.1736606944773964E-2</v>
      </c>
      <c r="D1026" s="7">
        <f>'Price Data'!D1027/'Price Data'!D1026-1</f>
        <v>-2.0983324234994383E-3</v>
      </c>
      <c r="E1026" s="7">
        <f>'Price Data'!E1027/'Price Data'!E1026-1</f>
        <v>9.4786974003024937E-4</v>
      </c>
    </row>
    <row r="1027" spans="1:5" ht="15" customHeight="1" x14ac:dyDescent="0.2">
      <c r="A1027" s="4" t="s">
        <v>1029</v>
      </c>
      <c r="B1027" s="7">
        <f>'Price Data'!B1028/'Price Data'!B1027-1</f>
        <v>7.253198101052849E-3</v>
      </c>
      <c r="C1027" s="7">
        <f>'Price Data'!C1028/'Price Data'!C1027-1</f>
        <v>1.1620649342195977E-2</v>
      </c>
      <c r="D1027" s="7">
        <f>'Price Data'!D1028/'Price Data'!D1027-1</f>
        <v>7.7467186275947952E-4</v>
      </c>
      <c r="E1027" s="7">
        <f>'Price Data'!E1028/'Price Data'!E1027-1</f>
        <v>1.8522735092596498E-3</v>
      </c>
    </row>
    <row r="1028" spans="1:5" ht="15" customHeight="1" x14ac:dyDescent="0.2">
      <c r="A1028" s="4" t="s">
        <v>1030</v>
      </c>
      <c r="B1028" s="7">
        <f>'Price Data'!B1029/'Price Data'!B1028-1</f>
        <v>4.6221086840854131E-3</v>
      </c>
      <c r="C1028" s="7">
        <f>'Price Data'!C1029/'Price Data'!C1028-1</f>
        <v>9.7196950713305252E-3</v>
      </c>
      <c r="D1028" s="7">
        <f>'Price Data'!D1029/'Price Data'!D1028-1</f>
        <v>1.4043894310980631E-2</v>
      </c>
      <c r="E1028" s="7">
        <f>'Price Data'!E1029/'Price Data'!E1028-1</f>
        <v>5.3415610452822726E-3</v>
      </c>
    </row>
    <row r="1029" spans="1:5" ht="15" customHeight="1" x14ac:dyDescent="0.2">
      <c r="A1029" s="4" t="s">
        <v>1031</v>
      </c>
      <c r="B1029" s="7">
        <f>'Price Data'!B1030/'Price Data'!B1029-1</f>
        <v>2.4670166545397443E-3</v>
      </c>
      <c r="C1029" s="7">
        <f>'Price Data'!C1030/'Price Data'!C1029-1</f>
        <v>4.750696798970111E-3</v>
      </c>
      <c r="D1029" s="7">
        <f>'Price Data'!D1030/'Price Data'!D1029-1</f>
        <v>2.5082692034381626E-3</v>
      </c>
      <c r="E1029" s="7">
        <f>'Price Data'!E1030/'Price Data'!E1029-1</f>
        <v>-1.021955645641448E-3</v>
      </c>
    </row>
    <row r="1030" spans="1:5" ht="15" customHeight="1" x14ac:dyDescent="0.2">
      <c r="A1030" s="4" t="s">
        <v>1032</v>
      </c>
      <c r="B1030" s="7">
        <f>'Price Data'!B1031/'Price Data'!B1030-1</f>
        <v>-8.9461961174710503E-3</v>
      </c>
      <c r="C1030" s="7">
        <f>'Price Data'!C1031/'Price Data'!C1030-1</f>
        <v>-9.4564687819680415E-3</v>
      </c>
      <c r="D1030" s="7">
        <f>'Price Data'!D1031/'Price Data'!D1030-1</f>
        <v>-3.2634354079971173E-3</v>
      </c>
      <c r="E1030" s="7">
        <f>'Price Data'!E1031/'Price Data'!E1030-1</f>
        <v>-3.1705609321325268E-3</v>
      </c>
    </row>
    <row r="1031" spans="1:5" ht="15" customHeight="1" x14ac:dyDescent="0.2">
      <c r="A1031" s="4" t="s">
        <v>1033</v>
      </c>
      <c r="B1031" s="7">
        <f>'Price Data'!B1032/'Price Data'!B1031-1</f>
        <v>6.4093733565833144E-3</v>
      </c>
      <c r="C1031" s="7">
        <f>'Price Data'!C1032/'Price Data'!C1031-1</f>
        <v>6.7832523352124863E-3</v>
      </c>
      <c r="D1031" s="7">
        <f>'Price Data'!D1032/'Price Data'!D1031-1</f>
        <v>-4.3658466557339182E-4</v>
      </c>
      <c r="E1031" s="7">
        <f>'Price Data'!E1032/'Price Data'!E1031-1</f>
        <v>3.0779371084488361E-4</v>
      </c>
    </row>
    <row r="1032" spans="1:5" ht="15" customHeight="1" x14ac:dyDescent="0.2">
      <c r="A1032" s="4" t="s">
        <v>1034</v>
      </c>
      <c r="B1032" s="7">
        <f>'Price Data'!B1033/'Price Data'!B1032-1</f>
        <v>-5.3352785841365158E-4</v>
      </c>
      <c r="C1032" s="7">
        <f>'Price Data'!C1033/'Price Data'!C1032-1</f>
        <v>4.7411126546810234E-3</v>
      </c>
      <c r="D1032" s="7">
        <f>'Price Data'!D1033/'Price Data'!D1032-1</f>
        <v>4.3674887306137666E-3</v>
      </c>
      <c r="E1032" s="7">
        <f>'Price Data'!E1033/'Price Data'!E1032-1</f>
        <v>-2.2567351456220797E-3</v>
      </c>
    </row>
    <row r="1033" spans="1:5" ht="15" customHeight="1" x14ac:dyDescent="0.2">
      <c r="A1033" s="4" t="s">
        <v>1035</v>
      </c>
      <c r="B1033" s="7">
        <f>'Price Data'!B1034/'Price Data'!B1033-1</f>
        <v>-3.3028168181772344E-3</v>
      </c>
      <c r="C1033" s="7">
        <f>'Price Data'!C1034/'Price Data'!C1033-1</f>
        <v>3.7252323186534042E-3</v>
      </c>
      <c r="D1033" s="7">
        <f>'Price Data'!D1034/'Price Data'!D1033-1</f>
        <v>-9.2401490425998434E-3</v>
      </c>
      <c r="E1033" s="7">
        <f>'Price Data'!E1034/'Price Data'!E1033-1</f>
        <v>-5.2428803177909655E-3</v>
      </c>
    </row>
    <row r="1034" spans="1:5" ht="15" customHeight="1" x14ac:dyDescent="0.2">
      <c r="A1034" s="4" t="s">
        <v>1036</v>
      </c>
      <c r="B1034" s="7">
        <f>'Price Data'!B1035/'Price Data'!B1034-1</f>
        <v>1.0443372934541451E-2</v>
      </c>
      <c r="C1034" s="7">
        <f>'Price Data'!C1035/'Price Data'!C1034-1</f>
        <v>1.2124139654230648E-2</v>
      </c>
      <c r="D1034" s="7">
        <f>'Price Data'!D1035/'Price Data'!D1034-1</f>
        <v>9.984634724528485E-3</v>
      </c>
      <c r="E1034" s="7">
        <f>'Price Data'!E1035/'Price Data'!E1034-1</f>
        <v>5.9940049946707319E-3</v>
      </c>
    </row>
    <row r="1035" spans="1:5" ht="15" customHeight="1" x14ac:dyDescent="0.2">
      <c r="A1035" s="4" t="s">
        <v>1037</v>
      </c>
      <c r="B1035" s="7">
        <f>'Price Data'!B1036/'Price Data'!B1035-1</f>
        <v>-1.3269167796670089E-4</v>
      </c>
      <c r="C1035" s="7">
        <f>'Price Data'!C1036/'Price Data'!C1035-1</f>
        <v>1.4668968958893025E-3</v>
      </c>
      <c r="D1035" s="7">
        <f>'Price Data'!D1036/'Price Data'!D1035-1</f>
        <v>-4.5628708265755824E-3</v>
      </c>
      <c r="E1035" s="7">
        <f>'Price Data'!E1036/'Price Data'!E1035-1</f>
        <v>3.6984095811274376E-3</v>
      </c>
    </row>
    <row r="1036" spans="1:5" ht="15" customHeight="1" x14ac:dyDescent="0.2">
      <c r="A1036" s="4" t="s">
        <v>1038</v>
      </c>
      <c r="B1036" s="7">
        <f>'Price Data'!B1037/'Price Data'!B1036-1</f>
        <v>2.8161343195067801E-3</v>
      </c>
      <c r="C1036" s="7">
        <f>'Price Data'!C1037/'Price Data'!C1036-1</f>
        <v>7.2011727391838587E-3</v>
      </c>
      <c r="D1036" s="7">
        <f>'Price Data'!D1037/'Price Data'!D1036-1</f>
        <v>4.4747281183994403E-3</v>
      </c>
      <c r="E1036" s="7">
        <f>'Price Data'!E1037/'Price Data'!E1036-1</f>
        <v>-3.9915716974552318E-3</v>
      </c>
    </row>
    <row r="1037" spans="1:5" ht="15" customHeight="1" x14ac:dyDescent="0.2">
      <c r="A1037" s="4" t="s">
        <v>1039</v>
      </c>
      <c r="B1037" s="7">
        <f>'Price Data'!B1038/'Price Data'!B1037-1</f>
        <v>1.4205908988766947E-3</v>
      </c>
      <c r="C1037" s="7">
        <f>'Price Data'!C1038/'Price Data'!C1037-1</f>
        <v>-1.0300455319639523E-2</v>
      </c>
      <c r="D1037" s="7">
        <f>'Price Data'!D1038/'Price Data'!D1037-1</f>
        <v>7.6044391583351967E-4</v>
      </c>
      <c r="E1037" s="7">
        <f>'Price Data'!E1038/'Price Data'!E1037-1</f>
        <v>1.4386397278425278E-3</v>
      </c>
    </row>
    <row r="1038" spans="1:5" ht="15" customHeight="1" x14ac:dyDescent="0.2">
      <c r="A1038" s="4" t="s">
        <v>1040</v>
      </c>
      <c r="B1038" s="7">
        <f>'Price Data'!B1039/'Price Data'!B1038-1</f>
        <v>-5.3775059846332685E-3</v>
      </c>
      <c r="C1038" s="7">
        <f>'Price Data'!C1039/'Price Data'!C1038-1</f>
        <v>4.6528739229321214E-3</v>
      </c>
      <c r="D1038" s="7">
        <f>'Price Data'!D1039/'Price Data'!D1038-1</f>
        <v>4.7769656564577989E-3</v>
      </c>
      <c r="E1038" s="7">
        <f>'Price Data'!E1039/'Price Data'!E1038-1</f>
        <v>1.5393745659697533E-3</v>
      </c>
    </row>
    <row r="1039" spans="1:5" ht="15" customHeight="1" x14ac:dyDescent="0.2">
      <c r="A1039" s="4" t="s">
        <v>1041</v>
      </c>
      <c r="B1039" s="7">
        <f>'Price Data'!B1040/'Price Data'!B1039-1</f>
        <v>-1.8474706023078546E-2</v>
      </c>
      <c r="C1039" s="7">
        <f>'Price Data'!C1040/'Price Data'!C1039-1</f>
        <v>-6.2156354837423766E-3</v>
      </c>
      <c r="D1039" s="7">
        <f>'Price Data'!D1040/'Price Data'!D1039-1</f>
        <v>-9.8326056457366251E-3</v>
      </c>
      <c r="E1039" s="7">
        <f>'Price Data'!E1040/'Price Data'!E1039-1</f>
        <v>4.3031776192785642E-3</v>
      </c>
    </row>
    <row r="1040" spans="1:5" ht="15" customHeight="1" x14ac:dyDescent="0.2">
      <c r="A1040" s="4" t="s">
        <v>1042</v>
      </c>
      <c r="B1040" s="7">
        <f>'Price Data'!B1041/'Price Data'!B1040-1</f>
        <v>-5.1027775277846521E-3</v>
      </c>
      <c r="C1040" s="7">
        <f>'Price Data'!C1041/'Price Data'!C1040-1</f>
        <v>-6.1331284625609772E-4</v>
      </c>
      <c r="D1040" s="7">
        <f>'Price Data'!D1041/'Price Data'!D1040-1</f>
        <v>3.9283917017733927E-3</v>
      </c>
      <c r="E1040" s="7">
        <f>'Price Data'!E1041/'Price Data'!E1040-1</f>
        <v>1.7343365977358083E-3</v>
      </c>
    </row>
    <row r="1041" spans="1:5" ht="15" customHeight="1" x14ac:dyDescent="0.2">
      <c r="A1041" s="4" t="s">
        <v>1043</v>
      </c>
      <c r="B1041" s="7">
        <f>'Price Data'!B1042/'Price Data'!B1041-1</f>
        <v>-4.9590083038938415E-3</v>
      </c>
      <c r="C1041" s="7">
        <f>'Price Data'!C1042/'Price Data'!C1041-1</f>
        <v>9.0808275013154471E-3</v>
      </c>
      <c r="D1041" s="7">
        <f>'Price Data'!D1042/'Price Data'!D1041-1</f>
        <v>1.228268336474847E-2</v>
      </c>
      <c r="E1041" s="7">
        <f>'Price Data'!E1042/'Price Data'!E1041-1</f>
        <v>6.2124623344927965E-3</v>
      </c>
    </row>
    <row r="1042" spans="1:5" ht="15" customHeight="1" x14ac:dyDescent="0.2">
      <c r="A1042" s="4" t="s">
        <v>1044</v>
      </c>
      <c r="B1042" s="7">
        <f>'Price Data'!B1043/'Price Data'!B1042-1</f>
        <v>3.4115178400839774E-4</v>
      </c>
      <c r="C1042" s="7">
        <f>'Price Data'!C1043/'Price Data'!C1042-1</f>
        <v>1.3377712247213402E-3</v>
      </c>
      <c r="D1042" s="7">
        <f>'Price Data'!D1043/'Price Data'!D1042-1</f>
        <v>-4.1877919860451307E-3</v>
      </c>
      <c r="E1042" s="7">
        <f>'Price Data'!E1043/'Price Data'!E1042-1</f>
        <v>1.6194108548044372E-3</v>
      </c>
    </row>
    <row r="1043" spans="1:5" ht="15" customHeight="1" x14ac:dyDescent="0.2">
      <c r="A1043" s="4" t="s">
        <v>1045</v>
      </c>
      <c r="B1043" s="7">
        <f>'Price Data'!B1044/'Price Data'!B1043-1</f>
        <v>-1.5492086249302983E-2</v>
      </c>
      <c r="C1043" s="7">
        <f>'Price Data'!C1044/'Price Data'!C1043-1</f>
        <v>-1.1294543523207912E-2</v>
      </c>
      <c r="D1043" s="7">
        <f>'Price Data'!D1044/'Price Data'!D1043-1</f>
        <v>3.9897237479178393E-3</v>
      </c>
      <c r="E1043" s="7">
        <f>'Price Data'!E1044/'Price Data'!E1043-1</f>
        <v>-1.515804196602577E-3</v>
      </c>
    </row>
    <row r="1044" spans="1:5" ht="15" customHeight="1" x14ac:dyDescent="0.2">
      <c r="A1044" s="4" t="s">
        <v>1046</v>
      </c>
      <c r="B1044" s="7">
        <f>'Price Data'!B1045/'Price Data'!B1044-1</f>
        <v>1.5424041306273395E-2</v>
      </c>
      <c r="C1044" s="7">
        <f>'Price Data'!C1045/'Price Data'!C1044-1</f>
        <v>2.0881991505805608E-3</v>
      </c>
      <c r="D1044" s="7">
        <f>'Price Data'!D1045/'Price Data'!D1044-1</f>
        <v>8.4846208269824253E-3</v>
      </c>
      <c r="E1044" s="7">
        <f>'Price Data'!E1045/'Price Data'!E1044-1</f>
        <v>4.4531743234246246E-3</v>
      </c>
    </row>
    <row r="1045" spans="1:5" ht="15" customHeight="1" x14ac:dyDescent="0.2">
      <c r="A1045" s="4" t="s">
        <v>1047</v>
      </c>
      <c r="B1045" s="7">
        <f>'Price Data'!B1046/'Price Data'!B1045-1</f>
        <v>-1.792057247053791E-2</v>
      </c>
      <c r="C1045" s="7">
        <f>'Price Data'!C1046/'Price Data'!C1045-1</f>
        <v>1.1032152043539245E-2</v>
      </c>
      <c r="D1045" s="7">
        <f>'Price Data'!D1046/'Price Data'!D1045-1</f>
        <v>4.6858168498424835E-3</v>
      </c>
      <c r="E1045" s="7">
        <f>'Price Data'!E1046/'Price Data'!E1045-1</f>
        <v>2.1625087669818743E-3</v>
      </c>
    </row>
    <row r="1046" spans="1:5" ht="15" customHeight="1" x14ac:dyDescent="0.2">
      <c r="A1046" s="4" t="s">
        <v>1048</v>
      </c>
      <c r="B1046" s="7">
        <f>'Price Data'!B1047/'Price Data'!B1046-1</f>
        <v>-1.2477926489283919E-2</v>
      </c>
      <c r="C1046" s="7">
        <f>'Price Data'!C1047/'Price Data'!C1046-1</f>
        <v>-2.4262655656159815E-4</v>
      </c>
      <c r="D1046" s="7">
        <f>'Price Data'!D1047/'Price Data'!D1046-1</f>
        <v>-1.1553980809553166E-2</v>
      </c>
      <c r="E1046" s="7">
        <f>'Price Data'!E1047/'Price Data'!E1046-1</f>
        <v>-2.5209833935584403E-3</v>
      </c>
    </row>
    <row r="1047" spans="1:5" ht="15" customHeight="1" x14ac:dyDescent="0.2">
      <c r="A1047" s="4" t="s">
        <v>1049</v>
      </c>
      <c r="B1047" s="7">
        <f>'Price Data'!B1048/'Price Data'!B1047-1</f>
        <v>1.1368576942703434E-2</v>
      </c>
      <c r="C1047" s="7">
        <f>'Price Data'!C1048/'Price Data'!C1047-1</f>
        <v>2.3890449086824805E-2</v>
      </c>
      <c r="D1047" s="7">
        <f>'Price Data'!D1048/'Price Data'!D1047-1</f>
        <v>1.115278572543299E-2</v>
      </c>
      <c r="E1047" s="7">
        <f>'Price Data'!E1048/'Price Data'!E1047-1</f>
        <v>-3.4375017276123687E-3</v>
      </c>
    </row>
    <row r="1048" spans="1:5" ht="15" customHeight="1" x14ac:dyDescent="0.2">
      <c r="A1048" s="4" t="s">
        <v>1050</v>
      </c>
      <c r="B1048" s="7">
        <f>'Price Data'!B1049/'Price Data'!B1048-1</f>
        <v>-1.8583524798348461E-2</v>
      </c>
      <c r="C1048" s="7">
        <f>'Price Data'!C1049/'Price Data'!C1048-1</f>
        <v>-1.0304361876570467E-2</v>
      </c>
      <c r="D1048" s="7">
        <f>'Price Data'!D1049/'Price Data'!D1048-1</f>
        <v>-2.5665482865754985E-2</v>
      </c>
      <c r="E1048" s="7">
        <f>'Price Data'!E1049/'Price Data'!E1048-1</f>
        <v>-1.0146085024137497E-3</v>
      </c>
    </row>
    <row r="1049" spans="1:5" ht="15" customHeight="1" x14ac:dyDescent="0.2">
      <c r="A1049" s="4" t="s">
        <v>1051</v>
      </c>
      <c r="B1049" s="7">
        <f>'Price Data'!B1050/'Price Data'!B1049-1</f>
        <v>4.7161115297904566E-3</v>
      </c>
      <c r="C1049" s="7">
        <f>'Price Data'!C1050/'Price Data'!C1049-1</f>
        <v>1.0411647257644541E-2</v>
      </c>
      <c r="D1049" s="7">
        <f>'Price Data'!D1050/'Price Data'!D1049-1</f>
        <v>5.9867402521411872E-3</v>
      </c>
      <c r="E1049" s="7">
        <f>'Price Data'!E1050/'Price Data'!E1049-1</f>
        <v>-1.2187341089495707E-3</v>
      </c>
    </row>
    <row r="1050" spans="1:5" ht="15" customHeight="1" x14ac:dyDescent="0.2">
      <c r="A1050" s="4" t="s">
        <v>1052</v>
      </c>
      <c r="B1050" s="7">
        <f>'Price Data'!B1051/'Price Data'!B1050-1</f>
        <v>-2.7246503401590294E-2</v>
      </c>
      <c r="C1050" s="7">
        <f>'Price Data'!C1051/'Price Data'!C1050-1</f>
        <v>-2.3569845634705433E-2</v>
      </c>
      <c r="D1050" s="7">
        <f>'Price Data'!D1051/'Price Data'!D1050-1</f>
        <v>-9.6299231747661862E-3</v>
      </c>
      <c r="E1050" s="7">
        <f>'Price Data'!E1051/'Price Data'!E1050-1</f>
        <v>4.7789272927527549E-3</v>
      </c>
    </row>
    <row r="1051" spans="1:5" ht="15" customHeight="1" x14ac:dyDescent="0.2">
      <c r="A1051" s="4" t="s">
        <v>1053</v>
      </c>
      <c r="B1051" s="7">
        <f>'Price Data'!B1052/'Price Data'!B1051-1</f>
        <v>-7.0023044859731653E-3</v>
      </c>
      <c r="C1051" s="7">
        <f>'Price Data'!C1052/'Price Data'!C1051-1</f>
        <v>-3.39637544685778E-3</v>
      </c>
      <c r="D1051" s="7">
        <f>'Price Data'!D1052/'Price Data'!D1051-1</f>
        <v>-1.169033744987924E-2</v>
      </c>
      <c r="E1051" s="7">
        <f>'Price Data'!E1052/'Price Data'!E1051-1</f>
        <v>-3.5417801487468425E-3</v>
      </c>
    </row>
    <row r="1052" spans="1:5" ht="15" customHeight="1" x14ac:dyDescent="0.2">
      <c r="A1052" s="4" t="s">
        <v>1054</v>
      </c>
      <c r="B1052" s="7">
        <f>'Price Data'!B1053/'Price Data'!B1052-1</f>
        <v>4.9324875629004339E-3</v>
      </c>
      <c r="C1052" s="7">
        <f>'Price Data'!C1053/'Price Data'!C1052-1</f>
        <v>7.1810133378154006E-3</v>
      </c>
      <c r="D1052" s="7">
        <f>'Price Data'!D1053/'Price Data'!D1052-1</f>
        <v>-3.0951730637102104E-3</v>
      </c>
      <c r="E1052" s="7">
        <f>'Price Data'!E1053/'Price Data'!E1052-1</f>
        <v>-2.9450018876335804E-3</v>
      </c>
    </row>
    <row r="1053" spans="1:5" ht="15" customHeight="1" x14ac:dyDescent="0.2">
      <c r="A1053" s="4" t="s">
        <v>1055</v>
      </c>
      <c r="B1053" s="7">
        <f>'Price Data'!B1054/'Price Data'!B1053-1</f>
        <v>-1.403436777270417E-2</v>
      </c>
      <c r="C1053" s="7">
        <f>'Price Data'!C1054/'Price Data'!C1053-1</f>
        <v>-6.6465321858740767E-3</v>
      </c>
      <c r="D1053" s="7">
        <f>'Price Data'!D1054/'Price Data'!D1053-1</f>
        <v>-1.9738246476782129E-2</v>
      </c>
      <c r="E1053" s="7">
        <f>'Price Data'!E1054/'Price Data'!E1053-1</f>
        <v>3.0555070957447583E-3</v>
      </c>
    </row>
    <row r="1054" spans="1:5" ht="15" customHeight="1" x14ac:dyDescent="0.2">
      <c r="A1054" s="4" t="s">
        <v>1056</v>
      </c>
      <c r="B1054" s="7">
        <f>'Price Data'!B1055/'Price Data'!B1054-1</f>
        <v>2.1424887183609576E-2</v>
      </c>
      <c r="C1054" s="7">
        <f>'Price Data'!C1055/'Price Data'!C1054-1</f>
        <v>1.8369915256265301E-2</v>
      </c>
      <c r="D1054" s="7">
        <f>'Price Data'!D1055/'Price Data'!D1054-1</f>
        <v>2.0022646957600143E-2</v>
      </c>
      <c r="E1054" s="7">
        <f>'Price Data'!E1055/'Price Data'!E1054-1</f>
        <v>-2.0308268260210705E-3</v>
      </c>
    </row>
    <row r="1055" spans="1:5" ht="15" customHeight="1" x14ac:dyDescent="0.2">
      <c r="A1055" s="4" t="s">
        <v>1057</v>
      </c>
      <c r="B1055" s="7">
        <f>'Price Data'!B1056/'Price Data'!B1055-1</f>
        <v>8.2675253676847138E-3</v>
      </c>
      <c r="C1055" s="7">
        <f>'Price Data'!C1056/'Price Data'!C1055-1</f>
        <v>1.1229274862061933E-2</v>
      </c>
      <c r="D1055" s="7">
        <f>'Price Data'!D1056/'Price Data'!D1055-1</f>
        <v>1.7078781243709429E-2</v>
      </c>
      <c r="E1055" s="7">
        <f>'Price Data'!E1056/'Price Data'!E1055-1</f>
        <v>1.3228750276661483E-3</v>
      </c>
    </row>
    <row r="1056" spans="1:5" ht="15" customHeight="1" x14ac:dyDescent="0.2">
      <c r="A1056" s="4" t="s">
        <v>1058</v>
      </c>
      <c r="B1056" s="7">
        <f>'Price Data'!B1057/'Price Data'!B1056-1</f>
        <v>-1.0777902612430612E-2</v>
      </c>
      <c r="C1056" s="7">
        <f>'Price Data'!C1057/'Price Data'!C1056-1</f>
        <v>-1.1815600765396894E-4</v>
      </c>
      <c r="D1056" s="7">
        <f>'Price Data'!D1057/'Price Data'!D1056-1</f>
        <v>-5.2338283264815599E-3</v>
      </c>
      <c r="E1056" s="7">
        <f>'Price Data'!E1057/'Price Data'!E1056-1</f>
        <v>1.0159312366617712E-3</v>
      </c>
    </row>
    <row r="1057" spans="1:5" ht="15" customHeight="1" x14ac:dyDescent="0.2">
      <c r="A1057" s="4" t="s">
        <v>1059</v>
      </c>
      <c r="B1057" s="7">
        <f>'Price Data'!B1058/'Price Data'!B1057-1</f>
        <v>1.1365740329342566E-2</v>
      </c>
      <c r="C1057" s="7">
        <f>'Price Data'!C1058/'Price Data'!C1057-1</f>
        <v>2.9536802168856902E-3</v>
      </c>
      <c r="D1057" s="7">
        <f>'Price Data'!D1058/'Price Data'!D1057-1</f>
        <v>1.2056944937652858E-3</v>
      </c>
      <c r="E1057" s="7">
        <f>'Price Data'!E1058/'Price Data'!E1057-1</f>
        <v>2.9440512711917943E-3</v>
      </c>
    </row>
    <row r="1058" spans="1:5" ht="15" customHeight="1" x14ac:dyDescent="0.2">
      <c r="A1058" s="4" t="s">
        <v>1060</v>
      </c>
      <c r="B1058" s="7">
        <f>'Price Data'!B1059/'Price Data'!B1058-1</f>
        <v>-2.3977940161593603E-3</v>
      </c>
      <c r="C1058" s="7">
        <f>'Price Data'!C1059/'Price Data'!C1058-1</f>
        <v>-8.3638463215804926E-3</v>
      </c>
      <c r="D1058" s="7">
        <f>'Price Data'!D1059/'Price Data'!D1058-1</f>
        <v>-6.5686761687788753E-4</v>
      </c>
      <c r="E1058" s="7">
        <f>'Price Data'!E1059/'Price Data'!E1058-1</f>
        <v>6.0716889029355237E-4</v>
      </c>
    </row>
    <row r="1059" spans="1:5" ht="15" customHeight="1" x14ac:dyDescent="0.2">
      <c r="A1059" s="4" t="s">
        <v>1061</v>
      </c>
      <c r="B1059" s="7">
        <f>'Price Data'!B1060/'Price Data'!B1059-1</f>
        <v>3.9466546081712295E-4</v>
      </c>
      <c r="C1059" s="7">
        <f>'Price Data'!C1060/'Price Data'!C1059-1</f>
        <v>-6.1771776937704637E-3</v>
      </c>
      <c r="D1059" s="7">
        <f>'Price Data'!D1060/'Price Data'!D1059-1</f>
        <v>-1.1064967590738495E-2</v>
      </c>
      <c r="E1059" s="7">
        <f>'Price Data'!E1060/'Price Data'!E1059-1</f>
        <v>-1.2137636009522668E-3</v>
      </c>
    </row>
    <row r="1060" spans="1:5" ht="15" customHeight="1" x14ac:dyDescent="0.2">
      <c r="A1060" s="4" t="s">
        <v>1062</v>
      </c>
      <c r="B1060" s="7">
        <f>'Price Data'!B1061/'Price Data'!B1060-1</f>
        <v>1.8504513793467181E-2</v>
      </c>
      <c r="C1060" s="7">
        <f>'Price Data'!C1061/'Price Data'!C1060-1</f>
        <v>-1.1955422585296915E-4</v>
      </c>
      <c r="D1060" s="7">
        <f>'Price Data'!D1061/'Price Data'!D1060-1</f>
        <v>1.5398364133166753E-2</v>
      </c>
      <c r="E1060" s="7">
        <f>'Price Data'!E1061/'Price Data'!E1060-1</f>
        <v>-3.8484999271111153E-3</v>
      </c>
    </row>
    <row r="1061" spans="1:5" ht="15" customHeight="1" x14ac:dyDescent="0.2">
      <c r="A1061" s="4" t="s">
        <v>1063</v>
      </c>
      <c r="B1061" s="7">
        <f>'Price Data'!B1062/'Price Data'!B1061-1</f>
        <v>1.6901905920498894E-3</v>
      </c>
      <c r="C1061" s="7">
        <f>'Price Data'!C1062/'Price Data'!C1061-1</f>
        <v>5.4990963748191568E-3</v>
      </c>
      <c r="D1061" s="7">
        <f>'Price Data'!D1062/'Price Data'!D1061-1</f>
        <v>-1.1220380311151801E-2</v>
      </c>
      <c r="E1061" s="7">
        <f>'Price Data'!E1062/'Price Data'!E1061-1</f>
        <v>9.1499102259007259E-4</v>
      </c>
    </row>
    <row r="1062" spans="1:5" ht="15" customHeight="1" x14ac:dyDescent="0.2">
      <c r="A1062" s="4" t="s">
        <v>1064</v>
      </c>
      <c r="B1062" s="7">
        <f>'Price Data'!B1063/'Price Data'!B1062-1</f>
        <v>-1.1705195161412774E-2</v>
      </c>
      <c r="C1062" s="7">
        <f>'Price Data'!C1063/'Price Data'!C1062-1</f>
        <v>-1.2959209811542638E-2</v>
      </c>
      <c r="D1062" s="7">
        <f>'Price Data'!D1063/'Price Data'!D1062-1</f>
        <v>3.9015405179572138E-3</v>
      </c>
      <c r="E1062" s="7">
        <f>'Price Data'!E1063/'Price Data'!E1062-1</f>
        <v>-2.4377999978111298E-3</v>
      </c>
    </row>
    <row r="1063" spans="1:5" ht="15" customHeight="1" x14ac:dyDescent="0.2">
      <c r="A1063" s="4" t="s">
        <v>1065</v>
      </c>
      <c r="B1063" s="7">
        <f>'Price Data'!B1064/'Price Data'!B1063-1</f>
        <v>-4.2296785762583333E-3</v>
      </c>
      <c r="C1063" s="7">
        <f>'Price Data'!C1064/'Price Data'!C1063-1</f>
        <v>2.1680822097940311E-3</v>
      </c>
      <c r="D1063" s="7">
        <f>'Price Data'!D1064/'Price Data'!D1063-1</f>
        <v>-2.5539230901363563E-3</v>
      </c>
      <c r="E1063" s="7">
        <f>'Price Data'!E1064/'Price Data'!E1063-1</f>
        <v>-5.0887730939386255E-4</v>
      </c>
    </row>
    <row r="1064" spans="1:5" ht="15" customHeight="1" x14ac:dyDescent="0.2">
      <c r="A1064" s="4" t="s">
        <v>1066</v>
      </c>
      <c r="B1064" s="7">
        <f>'Price Data'!B1065/'Price Data'!B1064-1</f>
        <v>-1.9929010565614469E-2</v>
      </c>
      <c r="C1064" s="7">
        <f>'Price Data'!C1065/'Price Data'!C1064-1</f>
        <v>-8.8941906229607071E-3</v>
      </c>
      <c r="D1064" s="7">
        <f>'Price Data'!D1065/'Price Data'!D1064-1</f>
        <v>-1.3358662676261623E-3</v>
      </c>
      <c r="E1064" s="7">
        <f>'Price Data'!E1065/'Price Data'!E1064-1</f>
        <v>5.8064487060442982E-3</v>
      </c>
    </row>
    <row r="1065" spans="1:5" ht="15" customHeight="1" x14ac:dyDescent="0.2">
      <c r="A1065" s="4" t="s">
        <v>1067</v>
      </c>
      <c r="B1065" s="7">
        <f>'Price Data'!B1066/'Price Data'!B1065-1</f>
        <v>5.1568102728052345E-3</v>
      </c>
      <c r="C1065" s="7">
        <f>'Price Data'!C1066/'Price Data'!C1065-1</f>
        <v>-8.8527131073601328E-3</v>
      </c>
      <c r="D1065" s="7">
        <f>'Price Data'!D1066/'Price Data'!D1065-1</f>
        <v>9.2520640849618196E-3</v>
      </c>
      <c r="E1065" s="7">
        <f>'Price Data'!E1066/'Price Data'!E1065-1</f>
        <v>1.9246081390313918E-3</v>
      </c>
    </row>
    <row r="1066" spans="1:5" ht="15" customHeight="1" x14ac:dyDescent="0.2">
      <c r="A1066" s="4" t="s">
        <v>1068</v>
      </c>
      <c r="B1066" s="7">
        <f>'Price Data'!B1067/'Price Data'!B1066-1</f>
        <v>3.3836922954892934E-3</v>
      </c>
      <c r="C1066" s="7">
        <f>'Price Data'!C1067/'Price Data'!C1066-1</f>
        <v>1.4682343678813492E-3</v>
      </c>
      <c r="D1066" s="7">
        <f>'Price Data'!D1067/'Price Data'!D1066-1</f>
        <v>4.4185579078681592E-4</v>
      </c>
      <c r="E1066" s="7">
        <f>'Price Data'!E1067/'Price Data'!E1066-1</f>
        <v>3.7020826968914289E-3</v>
      </c>
    </row>
    <row r="1067" spans="1:5" ht="15" customHeight="1" x14ac:dyDescent="0.2">
      <c r="A1067" s="4" t="s">
        <v>1069</v>
      </c>
      <c r="B1067" s="7">
        <f>'Price Data'!B1068/'Price Data'!B1067-1</f>
        <v>7.9052271093669191E-3</v>
      </c>
      <c r="C1067" s="7">
        <f>'Price Data'!C1068/'Price Data'!C1067-1</f>
        <v>2.3212716908802555E-3</v>
      </c>
      <c r="D1067" s="7">
        <f>'Price Data'!D1068/'Price Data'!D1067-1</f>
        <v>6.0718398712913402E-3</v>
      </c>
      <c r="E1067" s="7">
        <f>'Price Data'!E1068/'Price Data'!E1067-1</f>
        <v>-1.1116065083041082E-3</v>
      </c>
    </row>
    <row r="1068" spans="1:5" ht="15" customHeight="1" x14ac:dyDescent="0.2">
      <c r="A1068" s="4" t="s">
        <v>1070</v>
      </c>
      <c r="B1068" s="7">
        <f>'Price Data'!B1069/'Price Data'!B1068-1</f>
        <v>-5.0332873013585688E-2</v>
      </c>
      <c r="C1068" s="7">
        <f>'Price Data'!C1069/'Price Data'!C1068-1</f>
        <v>-2.0965369191607741E-2</v>
      </c>
      <c r="D1068" s="7">
        <f>'Price Data'!D1069/'Price Data'!D1068-1</f>
        <v>-3.4126931855203879E-2</v>
      </c>
      <c r="E1068" s="7">
        <f>'Price Data'!E1069/'Price Data'!E1068-1</f>
        <v>5.2604864727687772E-3</v>
      </c>
    </row>
    <row r="1069" spans="1:5" ht="15" customHeight="1" x14ac:dyDescent="0.2">
      <c r="A1069" s="4" t="s">
        <v>1071</v>
      </c>
      <c r="B1069" s="7">
        <f>'Price Data'!B1070/'Price Data'!B1069-1</f>
        <v>-5.8683110674429328E-2</v>
      </c>
      <c r="C1069" s="7">
        <f>'Price Data'!C1070/'Price Data'!C1069-1</f>
        <v>-6.598604592221291E-2</v>
      </c>
      <c r="D1069" s="7">
        <f>'Price Data'!D1070/'Price Data'!D1069-1</f>
        <v>-4.3399370510514901E-2</v>
      </c>
      <c r="E1069" s="7">
        <f>'Price Data'!E1070/'Price Data'!E1069-1</f>
        <v>9.0578037092425845E-4</v>
      </c>
    </row>
    <row r="1070" spans="1:5" ht="15" customHeight="1" x14ac:dyDescent="0.2">
      <c r="A1070" s="4" t="s">
        <v>1072</v>
      </c>
      <c r="B1070" s="7">
        <f>'Price Data'!B1071/'Price Data'!B1070-1</f>
        <v>-3.2598559199996657E-3</v>
      </c>
      <c r="C1070" s="7">
        <f>'Price Data'!C1071/'Price Data'!C1070-1</f>
        <v>-2.412689886589614E-2</v>
      </c>
      <c r="D1070" s="7">
        <f>'Price Data'!D1071/'Price Data'!D1070-1</f>
        <v>-2.6246944921381243E-2</v>
      </c>
      <c r="E1070" s="7">
        <f>'Price Data'!E1071/'Price Data'!E1070-1</f>
        <v>-1.2668482443803697E-2</v>
      </c>
    </row>
    <row r="1071" spans="1:5" ht="15" customHeight="1" x14ac:dyDescent="0.2">
      <c r="A1071" s="4" t="s">
        <v>1073</v>
      </c>
      <c r="B1071" s="7">
        <f>'Price Data'!B1072/'Price Data'!B1071-1</f>
        <v>-1.578772346873214E-2</v>
      </c>
      <c r="C1071" s="7">
        <f>'Price Data'!C1072/'Price Data'!C1071-1</f>
        <v>-3.4148272844530814E-3</v>
      </c>
      <c r="D1071" s="7">
        <f>'Price Data'!D1072/'Price Data'!D1071-1</f>
        <v>-2.6832505958853003E-2</v>
      </c>
      <c r="E1071" s="7">
        <f>'Price Data'!E1072/'Price Data'!E1071-1</f>
        <v>-5.1934469409535833E-3</v>
      </c>
    </row>
    <row r="1072" spans="1:5" ht="15" customHeight="1" x14ac:dyDescent="0.2">
      <c r="A1072" s="4" t="s">
        <v>1074</v>
      </c>
      <c r="B1072" s="7">
        <f>'Price Data'!B1073/'Price Data'!B1072-1</f>
        <v>0.10145645246389878</v>
      </c>
      <c r="C1072" s="7">
        <f>'Price Data'!C1073/'Price Data'!C1072-1</f>
        <v>7.7165430219968245E-2</v>
      </c>
      <c r="D1072" s="7">
        <f>'Price Data'!D1073/'Price Data'!D1072-1</f>
        <v>5.9656557831346602E-2</v>
      </c>
      <c r="E1072" s="7">
        <f>'Price Data'!E1073/'Price Data'!E1072-1</f>
        <v>2.2521975560645391E-3</v>
      </c>
    </row>
    <row r="1073" spans="1:5" ht="15" customHeight="1" x14ac:dyDescent="0.2">
      <c r="A1073" s="4" t="s">
        <v>1075</v>
      </c>
      <c r="B1073" s="7">
        <f>'Price Data'!B1074/'Price Data'!B1073-1</f>
        <v>-4.1157804794045849E-2</v>
      </c>
      <c r="C1073" s="7">
        <f>'Price Data'!C1074/'Price Data'!C1073-1</f>
        <v>-1.972239058363634E-2</v>
      </c>
      <c r="D1073" s="7">
        <f>'Price Data'!D1074/'Price Data'!D1073-1</f>
        <v>-2.2826744265178944E-2</v>
      </c>
      <c r="E1073" s="7">
        <f>'Price Data'!E1074/'Price Data'!E1073-1</f>
        <v>-7.8644458726266908E-3</v>
      </c>
    </row>
    <row r="1074" spans="1:5" ht="15" customHeight="1" x14ac:dyDescent="0.2">
      <c r="A1074" s="4" t="s">
        <v>1076</v>
      </c>
      <c r="B1074" s="7">
        <f>'Price Data'!B1075/'Price Data'!B1074-1</f>
        <v>1.6742378344102748E-2</v>
      </c>
      <c r="C1074" s="7">
        <f>'Price Data'!C1075/'Price Data'!C1074-1</f>
        <v>2.5051798125629743E-2</v>
      </c>
      <c r="D1074" s="7">
        <f>'Price Data'!D1075/'Price Data'!D1074-1</f>
        <v>1.2224739230973114E-2</v>
      </c>
      <c r="E1074" s="7">
        <f>'Price Data'!E1075/'Price Data'!E1074-1</f>
        <v>-1.0296273432193193E-3</v>
      </c>
    </row>
    <row r="1075" spans="1:5" ht="15" customHeight="1" x14ac:dyDescent="0.2">
      <c r="A1075" s="4" t="s">
        <v>1077</v>
      </c>
      <c r="B1075" s="7">
        <f>'Price Data'!B1076/'Price Data'!B1075-1</f>
        <v>9.2076771618601061E-3</v>
      </c>
      <c r="C1075" s="7">
        <f>'Price Data'!C1076/'Price Data'!C1075-1</f>
        <v>1.0763600671940265E-2</v>
      </c>
      <c r="D1075" s="7">
        <f>'Price Data'!D1076/'Price Data'!D1075-1</f>
        <v>2.0686224778091677E-2</v>
      </c>
      <c r="E1075" s="7">
        <f>'Price Data'!E1076/'Price Data'!E1075-1</f>
        <v>5.8737437476463761E-3</v>
      </c>
    </row>
    <row r="1076" spans="1:5" ht="15" customHeight="1" x14ac:dyDescent="0.2">
      <c r="A1076" s="4" t="s">
        <v>1078</v>
      </c>
      <c r="B1076" s="7">
        <f>'Price Data'!B1077/'Price Data'!B1076-1</f>
        <v>-1.7413811072428675E-3</v>
      </c>
      <c r="C1076" s="7">
        <f>'Price Data'!C1077/'Price Data'!C1076-1</f>
        <v>9.0203059713520606E-3</v>
      </c>
      <c r="D1076" s="7">
        <f>'Price Data'!D1077/'Price Data'!D1076-1</f>
        <v>3.0460233597846553E-3</v>
      </c>
      <c r="E1076" s="7">
        <f>'Price Data'!E1077/'Price Data'!E1076-1</f>
        <v>2.0490935050094805E-3</v>
      </c>
    </row>
    <row r="1077" spans="1:5" ht="15" customHeight="1" x14ac:dyDescent="0.2">
      <c r="A1077" s="4" t="s">
        <v>1079</v>
      </c>
      <c r="B1077" s="7">
        <f>'Price Data'!B1078/'Price Data'!B1077-1</f>
        <v>-2.0782000848607374E-2</v>
      </c>
      <c r="C1077" s="7">
        <f>'Price Data'!C1078/'Price Data'!C1077-1</f>
        <v>-3.8489556500999056E-3</v>
      </c>
      <c r="D1077" s="7">
        <f>'Price Data'!D1078/'Price Data'!D1077-1</f>
        <v>-7.0082259262238544E-4</v>
      </c>
      <c r="E1077" s="7">
        <f>'Price Data'!E1078/'Price Data'!E1077-1</f>
        <v>3.1695796398270026E-3</v>
      </c>
    </row>
    <row r="1078" spans="1:5" ht="15" customHeight="1" x14ac:dyDescent="0.2">
      <c r="A1078" s="4" t="s">
        <v>1080</v>
      </c>
      <c r="B1078" s="7">
        <f>'Price Data'!B1079/'Price Data'!B1078-1</f>
        <v>2.0912799472800891E-3</v>
      </c>
      <c r="C1078" s="7">
        <f>'Price Data'!C1079/'Price Data'!C1078-1</f>
        <v>1.0843789736474596E-2</v>
      </c>
      <c r="D1078" s="7">
        <f>'Price Data'!D1079/'Price Data'!D1078-1</f>
        <v>1.4960213660416555E-2</v>
      </c>
      <c r="E1078" s="7">
        <f>'Price Data'!E1079/'Price Data'!E1078-1</f>
        <v>-2.5479916135928704E-3</v>
      </c>
    </row>
    <row r="1079" spans="1:5" ht="15" customHeight="1" x14ac:dyDescent="0.2">
      <c r="A1079" s="4" t="s">
        <v>1081</v>
      </c>
      <c r="B1079" s="7">
        <f>'Price Data'!B1080/'Price Data'!B1079-1</f>
        <v>-2.3767979264284422E-2</v>
      </c>
      <c r="C1079" s="7">
        <f>'Price Data'!C1080/'Price Data'!C1079-1</f>
        <v>-5.425346234148587E-3</v>
      </c>
      <c r="D1079" s="7">
        <f>'Price Data'!D1080/'Price Data'!D1079-1</f>
        <v>-2.0842842560013675E-2</v>
      </c>
      <c r="E1079" s="7">
        <f>'Price Data'!E1080/'Price Data'!E1079-1</f>
        <v>-6.0284998818286306E-3</v>
      </c>
    </row>
    <row r="1080" spans="1:5" ht="15" customHeight="1" x14ac:dyDescent="0.2">
      <c r="A1080" s="4" t="s">
        <v>1082</v>
      </c>
      <c r="B1080" s="7">
        <f>'Price Data'!B1081/'Price Data'!B1080-1</f>
        <v>2.5455202110174602E-2</v>
      </c>
      <c r="C1080" s="7">
        <f>'Price Data'!C1081/'Price Data'!C1080-1</f>
        <v>2.0704055931334286E-2</v>
      </c>
      <c r="D1080" s="7">
        <f>'Price Data'!D1081/'Price Data'!D1080-1</f>
        <v>1.9404843102640346E-2</v>
      </c>
      <c r="E1080" s="7">
        <f>'Price Data'!E1081/'Price Data'!E1080-1</f>
        <v>1.8502339548625013E-3</v>
      </c>
    </row>
    <row r="1081" spans="1:5" ht="15" customHeight="1" x14ac:dyDescent="0.2">
      <c r="A1081" s="4" t="s">
        <v>1083</v>
      </c>
      <c r="B1081" s="7">
        <f>'Price Data'!B1082/'Price Data'!B1081-1</f>
        <v>1.7025168341869179E-2</v>
      </c>
      <c r="C1081" s="7">
        <f>'Price Data'!C1082/'Price Data'!C1081-1</f>
        <v>4.0083413592459927E-3</v>
      </c>
      <c r="D1081" s="7">
        <f>'Price Data'!D1082/'Price Data'!D1081-1</f>
        <v>1.8458524407485299E-3</v>
      </c>
      <c r="E1081" s="7">
        <f>'Price Data'!E1082/'Price Data'!E1081-1</f>
        <v>2.4625321992290949E-3</v>
      </c>
    </row>
    <row r="1082" spans="1:5" ht="15" customHeight="1" x14ac:dyDescent="0.2">
      <c r="A1082" s="4" t="s">
        <v>1084</v>
      </c>
      <c r="B1082" s="7">
        <f>'Price Data'!B1083/'Price Data'!B1082-1</f>
        <v>2.1067145796707543E-2</v>
      </c>
      <c r="C1082" s="7">
        <f>'Price Data'!C1083/'Price Data'!C1082-1</f>
        <v>1.3307536713133228E-2</v>
      </c>
      <c r="D1082" s="7">
        <f>'Price Data'!D1083/'Price Data'!D1082-1</f>
        <v>3.6850874037888115E-3</v>
      </c>
      <c r="E1082" s="7">
        <f>'Price Data'!E1083/'Price Data'!E1082-1</f>
        <v>5.5272508908073004E-3</v>
      </c>
    </row>
    <row r="1083" spans="1:5" ht="15" customHeight="1" x14ac:dyDescent="0.2">
      <c r="A1083" s="4" t="s">
        <v>1085</v>
      </c>
      <c r="B1083" s="7">
        <f>'Price Data'!B1084/'Price Data'!B1083-1</f>
        <v>6.1341387390865254E-3</v>
      </c>
      <c r="C1083" s="7">
        <f>'Price Data'!C1084/'Price Data'!C1083-1</f>
        <v>4.2979510196317072E-3</v>
      </c>
      <c r="D1083" s="7">
        <f>'Price Data'!D1084/'Price Data'!D1083-1</f>
        <v>-1.7210999136823002E-3</v>
      </c>
      <c r="E1083" s="7">
        <f>'Price Data'!E1084/'Price Data'!E1083-1</f>
        <v>3.6643885154157285E-3</v>
      </c>
    </row>
    <row r="1084" spans="1:5" ht="15" customHeight="1" x14ac:dyDescent="0.2">
      <c r="A1084" s="4" t="s">
        <v>1086</v>
      </c>
      <c r="B1084" s="7">
        <f>'Price Data'!B1085/'Price Data'!B1084-1</f>
        <v>1.4410290279118776E-3</v>
      </c>
      <c r="C1084" s="7">
        <f>'Price Data'!C1085/'Price Data'!C1084-1</f>
        <v>6.6571851661849646E-3</v>
      </c>
      <c r="D1084" s="7">
        <f>'Price Data'!D1085/'Price Data'!D1084-1</f>
        <v>6.2061820662788758E-3</v>
      </c>
      <c r="E1084" s="7">
        <f>'Price Data'!E1085/'Price Data'!E1084-1</f>
        <v>2.7385621743840627E-3</v>
      </c>
    </row>
    <row r="1085" spans="1:5" ht="15" customHeight="1" x14ac:dyDescent="0.2">
      <c r="A1085" s="4" t="s">
        <v>1087</v>
      </c>
      <c r="B1085" s="7">
        <f>'Price Data'!B1086/'Price Data'!B1085-1</f>
        <v>6.0141573838363716E-3</v>
      </c>
      <c r="C1085" s="7">
        <f>'Price Data'!C1086/'Price Data'!C1085-1</f>
        <v>2.0074665964935345E-3</v>
      </c>
      <c r="D1085" s="7">
        <f>'Price Data'!D1086/'Price Data'!D1085-1</f>
        <v>5.3684530644959594E-3</v>
      </c>
      <c r="E1085" s="7">
        <f>'Price Data'!E1086/'Price Data'!E1085-1</f>
        <v>2.4273320359675665E-3</v>
      </c>
    </row>
    <row r="1086" spans="1:5" ht="15" customHeight="1" x14ac:dyDescent="0.2">
      <c r="A1086" s="4" t="s">
        <v>1088</v>
      </c>
      <c r="B1086" s="7">
        <f>'Price Data'!B1087/'Price Data'!B1086-1</f>
        <v>5.8672415639771103E-4</v>
      </c>
      <c r="C1086" s="7">
        <f>'Price Data'!C1087/'Price Data'!C1086-1</f>
        <v>-1.17839674090503E-3</v>
      </c>
      <c r="D1086" s="7">
        <f>'Price Data'!D1087/'Price Data'!D1086-1</f>
        <v>3.5218534754026809E-3</v>
      </c>
      <c r="E1086" s="7">
        <f>'Price Data'!E1087/'Price Data'!E1086-1</f>
        <v>-9.0815658042708858E-4</v>
      </c>
    </row>
    <row r="1087" spans="1:5" ht="15" customHeight="1" x14ac:dyDescent="0.2">
      <c r="A1087" s="4" t="s">
        <v>1089</v>
      </c>
      <c r="B1087" s="7">
        <f>'Price Data'!B1088/'Price Data'!B1087-1</f>
        <v>6.2312251382943273E-3</v>
      </c>
      <c r="C1087" s="7">
        <f>'Price Data'!C1088/'Price Data'!C1087-1</f>
        <v>-3.1858795332904144E-3</v>
      </c>
      <c r="D1087" s="7">
        <f>'Price Data'!D1088/'Price Data'!D1087-1</f>
        <v>3.2830833821817507E-3</v>
      </c>
      <c r="E1087" s="7">
        <f>'Price Data'!E1088/'Price Data'!E1087-1</f>
        <v>-2.725408331667456E-3</v>
      </c>
    </row>
    <row r="1088" spans="1:5" ht="15" customHeight="1" x14ac:dyDescent="0.2">
      <c r="A1088" s="4" t="s">
        <v>1090</v>
      </c>
      <c r="B1088" s="7">
        <f>'Price Data'!B1089/'Price Data'!B1088-1</f>
        <v>1.5590957668699446E-2</v>
      </c>
      <c r="C1088" s="7">
        <f>'Price Data'!C1089/'Price Data'!C1088-1</f>
        <v>1.9175990730698311E-2</v>
      </c>
      <c r="D1088" s="7">
        <f>'Price Data'!D1089/'Price Data'!D1088-1</f>
        <v>1.2299743347473857E-2</v>
      </c>
      <c r="E1088" s="7">
        <f>'Price Data'!E1089/'Price Data'!E1088-1</f>
        <v>-4.8765470576269676E-3</v>
      </c>
    </row>
    <row r="1089" spans="1:5" ht="15" customHeight="1" x14ac:dyDescent="0.2">
      <c r="A1089" s="4" t="s">
        <v>1091</v>
      </c>
      <c r="B1089" s="7">
        <f>'Price Data'!B1090/'Price Data'!B1089-1</f>
        <v>-5.6672739393817118E-3</v>
      </c>
      <c r="C1089" s="7">
        <f>'Price Data'!C1090/'Price Data'!C1089-1</f>
        <v>1.7423061353454283E-3</v>
      </c>
      <c r="D1089" s="7">
        <f>'Price Data'!D1090/'Price Data'!D1089-1</f>
        <v>-2.2293625179308219E-3</v>
      </c>
      <c r="E1089" s="7">
        <f>'Price Data'!E1090/'Price Data'!E1089-1</f>
        <v>-1.7355417399871342E-3</v>
      </c>
    </row>
    <row r="1090" spans="1:5" ht="15" customHeight="1" x14ac:dyDescent="0.2">
      <c r="A1090" s="4" t="s">
        <v>1092</v>
      </c>
      <c r="B1090" s="7">
        <f>'Price Data'!B1091/'Price Data'!B1090-1</f>
        <v>-8.1162224919794079E-3</v>
      </c>
      <c r="C1090" s="7">
        <f>'Price Data'!C1091/'Price Data'!C1090-1</f>
        <v>-1.2755123408717539E-3</v>
      </c>
      <c r="D1090" s="7">
        <f>'Price Data'!D1091/'Price Data'!D1090-1</f>
        <v>-7.7086689781080686E-3</v>
      </c>
      <c r="E1090" s="7">
        <f>'Price Data'!E1091/'Price Data'!E1090-1</f>
        <v>2.4542777508065328E-3</v>
      </c>
    </row>
    <row r="1091" spans="1:5" ht="15" customHeight="1" x14ac:dyDescent="0.2">
      <c r="A1091" s="4" t="s">
        <v>1093</v>
      </c>
      <c r="B1091" s="7">
        <f>'Price Data'!B1092/'Price Data'!B1091-1</f>
        <v>4.1457690789037382E-3</v>
      </c>
      <c r="C1091" s="7">
        <f>'Price Data'!C1092/'Price Data'!C1091-1</f>
        <v>-3.366602376275396E-3</v>
      </c>
      <c r="D1091" s="7">
        <f>'Price Data'!D1092/'Price Data'!D1091-1</f>
        <v>1.1257154992387886E-3</v>
      </c>
      <c r="E1091" s="7">
        <f>'Price Data'!E1092/'Price Data'!E1091-1</f>
        <v>1.5304635850648118E-3</v>
      </c>
    </row>
    <row r="1092" spans="1:5" ht="15" customHeight="1" x14ac:dyDescent="0.2">
      <c r="A1092" s="4" t="s">
        <v>1094</v>
      </c>
      <c r="B1092" s="7">
        <f>'Price Data'!B1093/'Price Data'!B1092-1</f>
        <v>7.8592669140531424E-3</v>
      </c>
      <c r="C1092" s="7">
        <f>'Price Data'!C1093/'Price Data'!C1092-1</f>
        <v>-3.4942921232335999E-3</v>
      </c>
      <c r="D1092" s="7">
        <f>'Price Data'!D1093/'Price Data'!D1092-1</f>
        <v>-3.9360239066609237E-3</v>
      </c>
      <c r="E1092" s="7">
        <f>'Price Data'!E1093/'Price Data'!E1092-1</f>
        <v>-5.1950385501999818E-3</v>
      </c>
    </row>
    <row r="1093" spans="1:5" ht="15" customHeight="1" x14ac:dyDescent="0.2">
      <c r="A1093" s="4" t="s">
        <v>1095</v>
      </c>
      <c r="B1093" s="7">
        <f>'Price Data'!B1094/'Price Data'!B1093-1</f>
        <v>-1.1140290092687133E-3</v>
      </c>
      <c r="C1093" s="7">
        <f>'Price Data'!C1094/'Price Data'!C1093-1</f>
        <v>4.9093131512383259E-3</v>
      </c>
      <c r="D1093" s="7">
        <f>'Price Data'!D1094/'Price Data'!D1093-1</f>
        <v>6.661498973705493E-3</v>
      </c>
      <c r="E1093" s="7">
        <f>'Price Data'!E1094/'Price Data'!E1093-1</f>
        <v>1.0240972479276245E-3</v>
      </c>
    </row>
    <row r="1094" spans="1:5" ht="15" customHeight="1" x14ac:dyDescent="0.2">
      <c r="A1094" s="4" t="s">
        <v>1096</v>
      </c>
      <c r="B1094" s="7">
        <f>'Price Data'!B1095/'Price Data'!B1094-1</f>
        <v>3.3456918169979311E-2</v>
      </c>
      <c r="C1094" s="7">
        <f>'Price Data'!C1095/'Price Data'!C1094-1</f>
        <v>5.1181065601471065E-3</v>
      </c>
      <c r="D1094" s="7">
        <f>'Price Data'!D1095/'Price Data'!D1094-1</f>
        <v>4.9349240050777787E-3</v>
      </c>
      <c r="E1094" s="7">
        <f>'Price Data'!E1095/'Price Data'!E1094-1</f>
        <v>-3.3757611377480679E-3</v>
      </c>
    </row>
    <row r="1095" spans="1:5" ht="15" customHeight="1" x14ac:dyDescent="0.2">
      <c r="A1095" s="4" t="s">
        <v>1097</v>
      </c>
      <c r="B1095" s="7">
        <f>'Price Data'!B1096/'Price Data'!B1095-1</f>
        <v>6.7880407592892933E-3</v>
      </c>
      <c r="C1095" s="7">
        <f>'Price Data'!C1096/'Price Data'!C1095-1</f>
        <v>1.2728718877019762E-3</v>
      </c>
      <c r="D1095" s="7">
        <f>'Price Data'!D1096/'Price Data'!D1095-1</f>
        <v>-1.2723171980172587E-2</v>
      </c>
      <c r="E1095" s="7">
        <f>'Price Data'!E1096/'Price Data'!E1095-1</f>
        <v>-1.0262688248702245E-3</v>
      </c>
    </row>
    <row r="1096" spans="1:5" ht="15" customHeight="1" x14ac:dyDescent="0.2">
      <c r="A1096" s="4" t="s">
        <v>1098</v>
      </c>
      <c r="B1096" s="7">
        <f>'Price Data'!B1097/'Price Data'!B1096-1</f>
        <v>6.5698892851595581E-4</v>
      </c>
      <c r="C1096" s="7">
        <f>'Price Data'!C1097/'Price Data'!C1096-1</f>
        <v>-4.854367130511239E-3</v>
      </c>
      <c r="D1096" s="7">
        <f>'Price Data'!D1097/'Price Data'!D1096-1</f>
        <v>-9.8349562387739509E-3</v>
      </c>
      <c r="E1096" s="7">
        <f>'Price Data'!E1097/'Price Data'!E1096-1</f>
        <v>-2.8769315969086051E-3</v>
      </c>
    </row>
    <row r="1097" spans="1:5" ht="15" customHeight="1" x14ac:dyDescent="0.2">
      <c r="A1097" s="4" t="s">
        <v>1099</v>
      </c>
      <c r="B1097" s="7">
        <f>'Price Data'!B1098/'Price Data'!B1097-1</f>
        <v>4.0772696364088645E-3</v>
      </c>
      <c r="C1097" s="7">
        <f>'Price Data'!C1098/'Price Data'!C1097-1</f>
        <v>1.0917662423338692E-2</v>
      </c>
      <c r="D1097" s="7">
        <f>'Price Data'!D1098/'Price Data'!D1097-1</f>
        <v>1.8266934502279009E-2</v>
      </c>
      <c r="E1097" s="7">
        <f>'Price Data'!E1098/'Price Data'!E1097-1</f>
        <v>5.6674027781700165E-3</v>
      </c>
    </row>
    <row r="1098" spans="1:5" ht="15" customHeight="1" x14ac:dyDescent="0.2">
      <c r="A1098" s="4" t="s">
        <v>1100</v>
      </c>
      <c r="B1098" s="7">
        <f>'Price Data'!B1099/'Price Data'!B1098-1</f>
        <v>6.8480640080457178E-3</v>
      </c>
      <c r="C1098" s="7">
        <f>'Price Data'!C1099/'Price Data'!C1098-1</f>
        <v>2.2977710191636191E-3</v>
      </c>
      <c r="D1098" s="7">
        <f>'Price Data'!D1099/'Price Data'!D1098-1</f>
        <v>1.2445363166147194E-2</v>
      </c>
      <c r="E1098" s="7">
        <f>'Price Data'!E1099/'Price Data'!E1098-1</f>
        <v>6.1455766622597885E-4</v>
      </c>
    </row>
    <row r="1099" spans="1:5" ht="15" customHeight="1" x14ac:dyDescent="0.2">
      <c r="A1099" s="4" t="s">
        <v>1101</v>
      </c>
      <c r="B1099" s="7">
        <f>'Price Data'!B1100/'Price Data'!B1099-1</f>
        <v>7.8619139696378681E-4</v>
      </c>
      <c r="C1099" s="7">
        <f>'Price Data'!C1100/'Price Data'!C1099-1</f>
        <v>9.5140500138386486E-3</v>
      </c>
      <c r="D1099" s="7">
        <f>'Price Data'!D1100/'Price Data'!D1099-1</f>
        <v>2.2138212815159264E-4</v>
      </c>
      <c r="E1099" s="7">
        <f>'Price Data'!E1100/'Price Data'!E1099-1</f>
        <v>-3.0733551884842836E-4</v>
      </c>
    </row>
    <row r="1100" spans="1:5" ht="15" customHeight="1" x14ac:dyDescent="0.2">
      <c r="A1100" s="4" t="s">
        <v>1102</v>
      </c>
      <c r="B1100" s="7">
        <f>'Price Data'!B1101/'Price Data'!B1100-1</f>
        <v>-3.2787235462443665E-3</v>
      </c>
      <c r="C1100" s="7">
        <f>'Price Data'!C1101/'Price Data'!C1100-1</f>
        <v>4.7689312360441605E-3</v>
      </c>
      <c r="D1100" s="7">
        <f>'Price Data'!D1101/'Price Data'!D1100-1</f>
        <v>-5.8678974371690895E-3</v>
      </c>
      <c r="E1100" s="7">
        <f>'Price Data'!E1101/'Price Data'!E1100-1</f>
        <v>-1.7413123407001851E-3</v>
      </c>
    </row>
    <row r="1101" spans="1:5" ht="15" customHeight="1" x14ac:dyDescent="0.2">
      <c r="A1101" s="4" t="s">
        <v>1103</v>
      </c>
      <c r="B1101" s="7">
        <f>'Price Data'!B1102/'Price Data'!B1101-1</f>
        <v>-1.7406109412405724E-2</v>
      </c>
      <c r="C1101" s="7">
        <f>'Price Data'!C1102/'Price Data'!C1101-1</f>
        <v>-5.8764016211177994E-3</v>
      </c>
      <c r="D1101" s="7">
        <f>'Price Data'!D1102/'Price Data'!D1101-1</f>
        <v>-2.661781549598019E-2</v>
      </c>
      <c r="E1101" s="7">
        <f>'Price Data'!E1102/'Price Data'!E1101-1</f>
        <v>-6.5665589126276958E-3</v>
      </c>
    </row>
    <row r="1102" spans="1:5" ht="15" customHeight="1" x14ac:dyDescent="0.2">
      <c r="A1102" s="4" t="s">
        <v>1104</v>
      </c>
      <c r="B1102" s="7">
        <f>'Price Data'!B1103/'Price Data'!B1102-1</f>
        <v>-1.7450531361118404E-4</v>
      </c>
      <c r="C1102" s="7">
        <f>'Price Data'!C1103/'Price Data'!C1102-1</f>
        <v>-5.6848392636810186E-4</v>
      </c>
      <c r="D1102" s="7">
        <f>'Price Data'!D1103/'Price Data'!D1102-1</f>
        <v>-4.5765701984179508E-3</v>
      </c>
      <c r="E1102" s="7">
        <f>'Price Data'!E1103/'Price Data'!E1102-1</f>
        <v>2.8920859985079872E-3</v>
      </c>
    </row>
    <row r="1103" spans="1:5" ht="15" customHeight="1" x14ac:dyDescent="0.2">
      <c r="A1103" s="4" t="s">
        <v>1105</v>
      </c>
      <c r="B1103" s="7">
        <f>'Price Data'!B1104/'Price Data'!B1103-1</f>
        <v>-5.8592608777303656E-3</v>
      </c>
      <c r="C1103" s="7">
        <f>'Price Data'!C1104/'Price Data'!C1103-1</f>
        <v>1.3649548793395194E-3</v>
      </c>
      <c r="D1103" s="7">
        <f>'Price Data'!D1104/'Price Data'!D1103-1</f>
        <v>1.0343751992056838E-3</v>
      </c>
      <c r="E1103" s="7">
        <f>'Price Data'!E1104/'Price Data'!E1103-1</f>
        <v>1.4415438777781731E-3</v>
      </c>
    </row>
    <row r="1104" spans="1:5" ht="15" customHeight="1" x14ac:dyDescent="0.2">
      <c r="A1104" s="4" t="s">
        <v>1106</v>
      </c>
      <c r="B1104" s="7">
        <f>'Price Data'!B1105/'Price Data'!B1104-1</f>
        <v>2.0558531785801692E-2</v>
      </c>
      <c r="C1104" s="7">
        <f>'Price Data'!C1105/'Price Data'!C1104-1</f>
        <v>1.4538882516132112E-2</v>
      </c>
      <c r="D1104" s="7">
        <f>'Price Data'!D1105/'Price Data'!D1104-1</f>
        <v>1.7453367053396951E-2</v>
      </c>
      <c r="E1104" s="7">
        <f>'Price Data'!E1105/'Price Data'!E1104-1</f>
        <v>4.5250307451196736E-3</v>
      </c>
    </row>
    <row r="1105" spans="1:5" ht="15" customHeight="1" x14ac:dyDescent="0.2">
      <c r="A1105" s="4" t="s">
        <v>1107</v>
      </c>
      <c r="B1105" s="7">
        <f>'Price Data'!B1106/'Price Data'!B1105-1</f>
        <v>-5.8783265185781142E-3</v>
      </c>
      <c r="C1105" s="7">
        <f>'Price Data'!C1106/'Price Data'!C1105-1</f>
        <v>-1.1531613078675562E-2</v>
      </c>
      <c r="D1105" s="7">
        <f>'Price Data'!D1106/'Price Data'!D1105-1</f>
        <v>-1.0157616916685042E-3</v>
      </c>
      <c r="E1105" s="7">
        <f>'Price Data'!E1106/'Price Data'!E1105-1</f>
        <v>-1.8427358169835761E-3</v>
      </c>
    </row>
    <row r="1106" spans="1:5" ht="15" customHeight="1" x14ac:dyDescent="0.2">
      <c r="A1106" s="4" t="s">
        <v>1108</v>
      </c>
      <c r="B1106" s="7">
        <f>'Price Data'!B1107/'Price Data'!B1106-1</f>
        <v>3.2158961558519383E-3</v>
      </c>
      <c r="C1106" s="7">
        <f>'Price Data'!C1107/'Price Data'!C1106-1</f>
        <v>4.4172852093351533E-3</v>
      </c>
      <c r="D1106" s="7">
        <f>'Price Data'!D1107/'Price Data'!D1106-1</f>
        <v>9.0375104689961461E-3</v>
      </c>
      <c r="E1106" s="7">
        <f>'Price Data'!E1107/'Price Data'!E1106-1</f>
        <v>3.6922755223158799E-3</v>
      </c>
    </row>
    <row r="1107" spans="1:5" ht="15" customHeight="1" x14ac:dyDescent="0.2">
      <c r="A1107" s="4" t="s">
        <v>1109</v>
      </c>
      <c r="B1107" s="7">
        <f>'Price Data'!B1108/'Price Data'!B1107-1</f>
        <v>-8.2712094239267842E-4</v>
      </c>
      <c r="C1107" s="7">
        <f>'Price Data'!C1108/'Price Data'!C1107-1</f>
        <v>1.465952871176901E-3</v>
      </c>
      <c r="D1107" s="7">
        <f>'Price Data'!D1108/'Price Data'!D1107-1</f>
        <v>0</v>
      </c>
      <c r="E1107" s="7">
        <f>'Price Data'!E1108/'Price Data'!E1107-1</f>
        <v>2.4525162741866335E-3</v>
      </c>
    </row>
    <row r="1108" spans="1:5" ht="15" customHeight="1" x14ac:dyDescent="0.2">
      <c r="A1108" s="4" t="s">
        <v>1110</v>
      </c>
      <c r="B1108" s="7">
        <f>'Price Data'!B1109/'Price Data'!B1108-1</f>
        <v>5.1054958111367288E-3</v>
      </c>
      <c r="C1108" s="7">
        <f>'Price Data'!C1109/'Price Data'!C1108-1</f>
        <v>1.0696953808144949E-2</v>
      </c>
      <c r="D1108" s="7">
        <f>'Price Data'!D1109/'Price Data'!D1108-1</f>
        <v>1.3435833680228715E-3</v>
      </c>
      <c r="E1108" s="7">
        <f>'Price Data'!E1109/'Price Data'!E1108-1</f>
        <v>-2.6286082285736923E-3</v>
      </c>
    </row>
    <row r="1109" spans="1:5" ht="15" customHeight="1" x14ac:dyDescent="0.2">
      <c r="A1109" s="4" t="s">
        <v>1111</v>
      </c>
      <c r="B1109" s="7">
        <f>'Price Data'!B1110/'Price Data'!B1109-1</f>
        <v>6.8986261098109569E-3</v>
      </c>
      <c r="C1109" s="7">
        <f>'Price Data'!C1110/'Price Data'!C1109-1</f>
        <v>-7.5756816959881013E-3</v>
      </c>
      <c r="D1109" s="7">
        <f>'Price Data'!D1110/'Price Data'!D1109-1</f>
        <v>-2.0125813850403462E-3</v>
      </c>
      <c r="E1109" s="7">
        <f>'Price Data'!E1110/'Price Data'!E1109-1</f>
        <v>-7.1763201195695903E-4</v>
      </c>
    </row>
    <row r="1110" spans="1:5" ht="15" customHeight="1" x14ac:dyDescent="0.2">
      <c r="A1110" s="4" t="s">
        <v>1112</v>
      </c>
      <c r="B1110" s="7">
        <f>'Price Data'!B1111/'Price Data'!B1110-1</f>
        <v>-1.0228432890035943E-4</v>
      </c>
      <c r="C1110" s="7">
        <f>'Price Data'!C1111/'Price Data'!C1110-1</f>
        <v>4.4903004374134969E-3</v>
      </c>
      <c r="D1110" s="7">
        <f>'Price Data'!D1111/'Price Data'!D1110-1</f>
        <v>2.8007743797326956E-3</v>
      </c>
      <c r="E1110" s="7">
        <f>'Price Data'!E1111/'Price Data'!E1110-1</f>
        <v>5.9516596689035417E-3</v>
      </c>
    </row>
    <row r="1111" spans="1:5" ht="15" customHeight="1" x14ac:dyDescent="0.2">
      <c r="A1111" s="4" t="s">
        <v>1113</v>
      </c>
      <c r="B1111" s="7">
        <f>'Price Data'!B1112/'Price Data'!B1111-1</f>
        <v>-5.5226519623963188E-3</v>
      </c>
      <c r="C1111" s="7">
        <f>'Price Data'!C1112/'Price Data'!C1111-1</f>
        <v>-6.7066873010601658E-4</v>
      </c>
      <c r="D1111" s="7">
        <f>'Price Data'!D1112/'Price Data'!D1111-1</f>
        <v>-7.8194429295086465E-4</v>
      </c>
      <c r="E1111" s="7">
        <f>'Price Data'!E1112/'Price Data'!E1111-1</f>
        <v>-2.5501016385469644E-3</v>
      </c>
    </row>
    <row r="1112" spans="1:5" ht="15" customHeight="1" x14ac:dyDescent="0.2">
      <c r="A1112" s="4" t="s">
        <v>1114</v>
      </c>
      <c r="B1112" s="7">
        <f>'Price Data'!B1113/'Price Data'!B1112-1</f>
        <v>1.1655031698003748E-2</v>
      </c>
      <c r="C1112" s="7">
        <f>'Price Data'!C1113/'Price Data'!C1112-1</f>
        <v>3.5786720303510045E-3</v>
      </c>
      <c r="D1112" s="7">
        <f>'Price Data'!D1113/'Price Data'!D1112-1</f>
        <v>4.8076295024943594E-3</v>
      </c>
      <c r="E1112" s="7">
        <f>'Price Data'!E1113/'Price Data'!E1112-1</f>
        <v>-5.1135683014464917E-3</v>
      </c>
    </row>
    <row r="1113" spans="1:5" ht="15" customHeight="1" x14ac:dyDescent="0.2">
      <c r="A1113" s="4" t="s">
        <v>1115</v>
      </c>
      <c r="B1113" s="7">
        <f>'Price Data'!B1114/'Price Data'!B1113-1</f>
        <v>8.1321261690558977E-4</v>
      </c>
      <c r="C1113" s="7">
        <f>'Price Data'!C1114/'Price Data'!C1113-1</f>
        <v>-1.1136483011009446E-4</v>
      </c>
      <c r="D1113" s="7">
        <f>'Price Data'!D1114/'Price Data'!D1113-1</f>
        <v>1.3351825590992572E-3</v>
      </c>
      <c r="E1113" s="7">
        <f>'Price Data'!E1114/'Price Data'!E1113-1</f>
        <v>1.2335184702401136E-3</v>
      </c>
    </row>
    <row r="1114" spans="1:5" ht="15" customHeight="1" x14ac:dyDescent="0.2">
      <c r="A1114" s="4" t="s">
        <v>1116</v>
      </c>
      <c r="B1114" s="7">
        <f>'Price Data'!B1115/'Price Data'!B1114-1</f>
        <v>5.2819014929241792E-3</v>
      </c>
      <c r="C1114" s="7">
        <f>'Price Data'!C1115/'Price Data'!C1114-1</f>
        <v>1.337331940030051E-3</v>
      </c>
      <c r="D1114" s="7">
        <f>'Price Data'!D1115/'Price Data'!D1114-1</f>
        <v>8.5565756409626825E-3</v>
      </c>
      <c r="E1114" s="7">
        <f>'Price Data'!E1115/'Price Data'!E1114-1</f>
        <v>2.2588006773955893E-3</v>
      </c>
    </row>
    <row r="1115" spans="1:5" ht="15" customHeight="1" x14ac:dyDescent="0.2">
      <c r="A1115" s="4" t="s">
        <v>1117</v>
      </c>
      <c r="B1115" s="7">
        <f>'Price Data'!B1116/'Price Data'!B1115-1</f>
        <v>-2.6608662223507329E-3</v>
      </c>
      <c r="C1115" s="7">
        <f>'Price Data'!C1116/'Price Data'!C1115-1</f>
        <v>-1.6694993449585249E-3</v>
      </c>
      <c r="D1115" s="7">
        <f>'Price Data'!D1116/'Price Data'!D1115-1</f>
        <v>-5.3990177528047134E-3</v>
      </c>
      <c r="E1115" s="7">
        <f>'Price Data'!E1116/'Price Data'!E1115-1</f>
        <v>3.3803202910975827E-3</v>
      </c>
    </row>
    <row r="1116" spans="1:5" ht="15" customHeight="1" x14ac:dyDescent="0.2">
      <c r="A1116" s="4" t="s">
        <v>1118</v>
      </c>
      <c r="B1116" s="7">
        <f>'Price Data'!B1117/'Price Data'!B1116-1</f>
        <v>3.2080837268242401E-3</v>
      </c>
      <c r="C1116" s="7">
        <f>'Price Data'!C1117/'Price Data'!C1116-1</f>
        <v>7.692342799747065E-3</v>
      </c>
      <c r="D1116" s="7">
        <f>'Price Data'!D1117/'Price Data'!D1116-1</f>
        <v>4.8743313995702753E-3</v>
      </c>
      <c r="E1116" s="7">
        <f>'Price Data'!E1117/'Price Data'!E1116-1</f>
        <v>3.6754057135930385E-3</v>
      </c>
    </row>
    <row r="1117" spans="1:5" ht="15" customHeight="1" x14ac:dyDescent="0.2">
      <c r="A1117" s="4" t="s">
        <v>1119</v>
      </c>
      <c r="B1117" s="7">
        <f>'Price Data'!B1118/'Price Data'!B1117-1</f>
        <v>-1.1814794260551764E-2</v>
      </c>
      <c r="C1117" s="7">
        <f>'Price Data'!C1118/'Price Data'!C1117-1</f>
        <v>-1.2833238325263951E-2</v>
      </c>
      <c r="D1117" s="7">
        <f>'Price Data'!D1118/'Price Data'!D1117-1</f>
        <v>-9.7011986355765023E-3</v>
      </c>
      <c r="E1117" s="7">
        <f>'Price Data'!E1118/'Price Data'!E1117-1</f>
        <v>-3.5601358415978668E-3</v>
      </c>
    </row>
    <row r="1118" spans="1:5" ht="15" customHeight="1" x14ac:dyDescent="0.2">
      <c r="A1118" s="4" t="s">
        <v>1120</v>
      </c>
      <c r="B1118" s="7">
        <f>'Price Data'!B1119/'Price Data'!B1118-1</f>
        <v>9.8783213425379657E-3</v>
      </c>
      <c r="C1118" s="7">
        <f>'Price Data'!C1119/'Price Data'!C1118-1</f>
        <v>3.7509201876697595E-3</v>
      </c>
      <c r="D1118" s="7">
        <f>'Price Data'!D1119/'Price Data'!D1118-1</f>
        <v>7.7924789882866108E-4</v>
      </c>
      <c r="E1118" s="7">
        <f>'Price Data'!E1119/'Price Data'!E1118-1</f>
        <v>-2.0416202126333216E-3</v>
      </c>
    </row>
    <row r="1119" spans="1:5" ht="15" customHeight="1" x14ac:dyDescent="0.2">
      <c r="A1119" s="4" t="s">
        <v>1121</v>
      </c>
      <c r="B1119" s="7">
        <f>'Price Data'!B1120/'Price Data'!B1119-1</f>
        <v>-8.331471461551776E-3</v>
      </c>
      <c r="C1119" s="7">
        <f>'Price Data'!C1120/'Price Data'!C1119-1</f>
        <v>-1.2267116845740555E-2</v>
      </c>
      <c r="D1119" s="7">
        <f>'Price Data'!D1120/'Price Data'!D1119-1</f>
        <v>-3.5593879223646541E-3</v>
      </c>
      <c r="E1119" s="7">
        <f>'Price Data'!E1120/'Price Data'!E1119-1</f>
        <v>3.0684918028436314E-3</v>
      </c>
    </row>
    <row r="1120" spans="1:5" ht="15" customHeight="1" x14ac:dyDescent="0.2">
      <c r="A1120" s="4" t="s">
        <v>1122</v>
      </c>
      <c r="B1120" s="7">
        <f>'Price Data'!B1121/'Price Data'!B1120-1</f>
        <v>3.7413355219584332E-4</v>
      </c>
      <c r="C1120" s="7">
        <f>'Price Data'!C1121/'Price Data'!C1120-1</f>
        <v>1.7249260985769954E-3</v>
      </c>
      <c r="D1120" s="7">
        <f>'Price Data'!D1121/'Price Data'!D1120-1</f>
        <v>3.4604323436557838E-3</v>
      </c>
      <c r="E1120" s="7">
        <f>'Price Data'!E1121/'Price Data'!E1120-1</f>
        <v>7.1408619054413869E-4</v>
      </c>
    </row>
    <row r="1121" spans="1:5" ht="15" customHeight="1" x14ac:dyDescent="0.2">
      <c r="A1121" s="4" t="s">
        <v>1123</v>
      </c>
      <c r="B1121" s="7">
        <f>'Price Data'!B1122/'Price Data'!B1121-1</f>
        <v>-2.3118744661759782E-3</v>
      </c>
      <c r="C1121" s="7">
        <f>'Price Data'!C1122/'Price Data'!C1121-1</f>
        <v>-8.9541704303309766E-3</v>
      </c>
      <c r="D1121" s="7">
        <f>'Price Data'!D1122/'Price Data'!D1121-1</f>
        <v>-6.6744281265085359E-4</v>
      </c>
      <c r="E1121" s="7">
        <f>'Price Data'!E1122/'Price Data'!E1121-1</f>
        <v>9.1716587548962281E-4</v>
      </c>
    </row>
    <row r="1122" spans="1:5" ht="15" customHeight="1" x14ac:dyDescent="0.2">
      <c r="A1122" s="4" t="s">
        <v>1124</v>
      </c>
      <c r="B1122" s="7">
        <f>'Price Data'!B1123/'Price Data'!B1122-1</f>
        <v>9.610226593107063E-3</v>
      </c>
      <c r="C1122" s="7">
        <f>'Price Data'!C1123/'Price Data'!C1122-1</f>
        <v>7.5292571374243611E-3</v>
      </c>
      <c r="D1122" s="7">
        <f>'Price Data'!D1123/'Price Data'!D1122-1</f>
        <v>1.5028428695209817E-2</v>
      </c>
      <c r="E1122" s="7">
        <f>'Price Data'!E1123/'Price Data'!E1122-1</f>
        <v>2.0362967999469905E-3</v>
      </c>
    </row>
    <row r="1123" spans="1:5" ht="15" customHeight="1" x14ac:dyDescent="0.2">
      <c r="A1123" s="4" t="s">
        <v>1125</v>
      </c>
      <c r="B1123" s="7">
        <f>'Price Data'!B1124/'Price Data'!B1123-1</f>
        <v>1.1679393071286404E-2</v>
      </c>
      <c r="C1123" s="7">
        <f>'Price Data'!C1124/'Price Data'!C1123-1</f>
        <v>1.2186644340618669E-2</v>
      </c>
      <c r="D1123" s="7">
        <f>'Price Data'!D1124/'Price Data'!D1123-1</f>
        <v>2.6320873113281351E-3</v>
      </c>
      <c r="E1123" s="7">
        <f>'Price Data'!E1124/'Price Data'!E1123-1</f>
        <v>4.063993825369705E-3</v>
      </c>
    </row>
    <row r="1124" spans="1:5" ht="15" customHeight="1" x14ac:dyDescent="0.2">
      <c r="A1124" s="4" t="s">
        <v>1126</v>
      </c>
      <c r="B1124" s="7">
        <f>'Price Data'!B1125/'Price Data'!B1124-1</f>
        <v>-1.1678673737455236E-3</v>
      </c>
      <c r="C1124" s="7">
        <f>'Price Data'!C1125/'Price Data'!C1124-1</f>
        <v>-5.4520519314399385E-3</v>
      </c>
      <c r="D1124" s="7">
        <f>'Price Data'!D1125/'Price Data'!D1124-1</f>
        <v>-2.4064813848655109E-2</v>
      </c>
      <c r="E1124" s="7">
        <f>'Price Data'!E1125/'Price Data'!E1124-1</f>
        <v>-1.0112415411245301E-4</v>
      </c>
    </row>
    <row r="1125" spans="1:5" ht="15" customHeight="1" x14ac:dyDescent="0.2">
      <c r="A1125" s="4" t="s">
        <v>1127</v>
      </c>
      <c r="B1125" s="7">
        <f>'Price Data'!B1126/'Price Data'!B1125-1</f>
        <v>8.6184763001457831E-3</v>
      </c>
      <c r="C1125" s="7">
        <f>'Price Data'!C1126/'Price Data'!C1125-1</f>
        <v>1.1192323698304918E-2</v>
      </c>
      <c r="D1125" s="7">
        <f>'Price Data'!D1126/'Price Data'!D1125-1</f>
        <v>-9.2800049081953606E-4</v>
      </c>
      <c r="E1125" s="7">
        <f>'Price Data'!E1126/'Price Data'!E1125-1</f>
        <v>2.7325623374601093E-3</v>
      </c>
    </row>
    <row r="1126" spans="1:5" ht="15" customHeight="1" x14ac:dyDescent="0.2">
      <c r="A1126" s="4" t="s">
        <v>1128</v>
      </c>
      <c r="B1126" s="7">
        <f>'Price Data'!B1127/'Price Data'!B1126-1</f>
        <v>4.5374841915710729E-3</v>
      </c>
      <c r="C1126" s="7">
        <f>'Price Data'!C1127/'Price Data'!C1126-1</f>
        <v>9.0354684042888156E-3</v>
      </c>
      <c r="D1126" s="7">
        <f>'Price Data'!D1127/'Price Data'!D1126-1</f>
        <v>2.4923788117721113E-3</v>
      </c>
      <c r="E1126" s="7">
        <f>'Price Data'!E1127/'Price Data'!E1126-1</f>
        <v>-2.8259745670328185E-3</v>
      </c>
    </row>
    <row r="1127" spans="1:5" ht="15" customHeight="1" x14ac:dyDescent="0.2">
      <c r="A1127" s="4" t="s">
        <v>1129</v>
      </c>
      <c r="B1127" s="7">
        <f>'Price Data'!B1128/'Price Data'!B1127-1</f>
        <v>5.0693347820276458E-3</v>
      </c>
      <c r="C1127" s="7">
        <f>'Price Data'!C1128/'Price Data'!C1127-1</f>
        <v>5.5968758534064023E-4</v>
      </c>
      <c r="D1127" s="7">
        <f>'Price Data'!D1128/'Price Data'!D1127-1</f>
        <v>6.441362421813146E-3</v>
      </c>
      <c r="E1127" s="7">
        <f>'Price Data'!E1128/'Price Data'!E1127-1</f>
        <v>4.0484439969548092E-3</v>
      </c>
    </row>
    <row r="1128" spans="1:5" ht="15" customHeight="1" x14ac:dyDescent="0.2">
      <c r="A1128" s="4" t="s">
        <v>1130</v>
      </c>
      <c r="B1128" s="7">
        <f>'Price Data'!B1129/'Price Data'!B1128-1</f>
        <v>0</v>
      </c>
      <c r="C1128" s="7">
        <f>'Price Data'!C1129/'Price Data'!C1128-1</f>
        <v>-1.6780352599260473E-3</v>
      </c>
      <c r="D1128" s="7">
        <f>'Price Data'!D1129/'Price Data'!D1128-1</f>
        <v>7.2985140381667257E-3</v>
      </c>
      <c r="E1128" s="7">
        <f>'Price Data'!E1129/'Price Data'!E1128-1</f>
        <v>-9.2027666895999616E-4</v>
      </c>
    </row>
    <row r="1129" spans="1:5" ht="15" customHeight="1" x14ac:dyDescent="0.2">
      <c r="A1129" s="4" t="s">
        <v>1131</v>
      </c>
      <c r="B1129" s="7">
        <f>'Price Data'!B1130/'Price Data'!B1129-1</f>
        <v>5.1986793077078985E-3</v>
      </c>
      <c r="C1129" s="7">
        <f>'Price Data'!C1130/'Price Data'!C1129-1</f>
        <v>2.9134244320039304E-3</v>
      </c>
      <c r="D1129" s="7">
        <f>'Price Data'!D1130/'Price Data'!D1129-1</f>
        <v>2.3407999002129642E-3</v>
      </c>
      <c r="E1129" s="7">
        <f>'Price Data'!E1130/'Price Data'!E1129-1</f>
        <v>-1.2145344023677396E-3</v>
      </c>
    </row>
    <row r="1130" spans="1:5" ht="15" customHeight="1" x14ac:dyDescent="0.2">
      <c r="A1130" s="4" t="s">
        <v>1132</v>
      </c>
      <c r="B1130" s="7">
        <f>'Price Data'!B1131/'Price Data'!B1130-1</f>
        <v>8.2483713657903746E-3</v>
      </c>
      <c r="C1130" s="7">
        <f>'Price Data'!C1131/'Price Data'!C1130-1</f>
        <v>2.2349245084796188E-4</v>
      </c>
      <c r="D1130" s="7">
        <f>'Price Data'!D1131/'Price Data'!D1130-1</f>
        <v>1.1121432398890629E-3</v>
      </c>
      <c r="E1130" s="7">
        <f>'Price Data'!E1131/'Price Data'!E1130-1</f>
        <v>-2.0270876831256501E-3</v>
      </c>
    </row>
    <row r="1131" spans="1:5" ht="15" customHeight="1" x14ac:dyDescent="0.2">
      <c r="A1131" s="4" t="s">
        <v>1133</v>
      </c>
      <c r="B1131" s="7">
        <f>'Price Data'!B1132/'Price Data'!B1131-1</f>
        <v>-7.8888214116668021E-3</v>
      </c>
      <c r="C1131" s="7">
        <f>'Price Data'!C1132/'Price Data'!C1131-1</f>
        <v>-1.0835595670415366E-2</v>
      </c>
      <c r="D1131" s="7">
        <f>'Price Data'!D1132/'Price Data'!D1131-1</f>
        <v>-8.553611136861039E-3</v>
      </c>
      <c r="E1131" s="7">
        <f>'Price Data'!E1132/'Price Data'!E1131-1</f>
        <v>-3.5541253292252772E-3</v>
      </c>
    </row>
    <row r="1132" spans="1:5" ht="15" customHeight="1" x14ac:dyDescent="0.2">
      <c r="A1132" s="4" t="s">
        <v>1134</v>
      </c>
      <c r="B1132" s="7">
        <f>'Price Data'!B1133/'Price Data'!B1132-1</f>
        <v>-6.5566668774441617E-5</v>
      </c>
      <c r="C1132" s="7">
        <f>'Price Data'!C1133/'Price Data'!C1132-1</f>
        <v>7.3404948090709521E-3</v>
      </c>
      <c r="D1132" s="7">
        <f>'Price Data'!D1133/'Price Data'!D1132-1</f>
        <v>-1.4565774496696493E-3</v>
      </c>
      <c r="E1132" s="7">
        <f>'Price Data'!E1133/'Price Data'!E1132-1</f>
        <v>-4.0793267679062328E-4</v>
      </c>
    </row>
    <row r="1133" spans="1:5" ht="15" customHeight="1" x14ac:dyDescent="0.2">
      <c r="A1133" s="4" t="s">
        <v>1135</v>
      </c>
      <c r="B1133" s="7">
        <f>'Price Data'!B1134/'Price Data'!B1133-1</f>
        <v>6.2832950734994508E-3</v>
      </c>
      <c r="C1133" s="7">
        <f>'Price Data'!C1134/'Price Data'!C1133-1</f>
        <v>7.5112486946737889E-3</v>
      </c>
      <c r="D1133" s="7">
        <f>'Price Data'!D1134/'Price Data'!D1133-1</f>
        <v>7.855507743332879E-4</v>
      </c>
      <c r="E1133" s="7">
        <f>'Price Data'!E1134/'Price Data'!E1133-1</f>
        <v>4.180285145021001E-3</v>
      </c>
    </row>
    <row r="1134" spans="1:5" ht="15" customHeight="1" x14ac:dyDescent="0.2">
      <c r="A1134" s="4" t="s">
        <v>1136</v>
      </c>
      <c r="B1134" s="7">
        <f>'Price Data'!B1135/'Price Data'!B1134-1</f>
        <v>2.6666029442377059E-3</v>
      </c>
      <c r="C1134" s="7">
        <f>'Price Data'!C1135/'Price Data'!C1134-1</f>
        <v>-6.6771692700651197E-4</v>
      </c>
      <c r="D1134" s="7">
        <f>'Price Data'!D1135/'Price Data'!D1134-1</f>
        <v>6.2785848118527277E-3</v>
      </c>
      <c r="E1134" s="7">
        <f>'Price Data'!E1135/'Price Data'!E1134-1</f>
        <v>-3.0453830574417307E-4</v>
      </c>
    </row>
    <row r="1135" spans="1:5" ht="15" customHeight="1" x14ac:dyDescent="0.2">
      <c r="A1135" s="4" t="s">
        <v>1137</v>
      </c>
      <c r="B1135" s="7">
        <f>'Price Data'!B1136/'Price Data'!B1135-1</f>
        <v>-4.2163249259835611E-3</v>
      </c>
      <c r="C1135" s="7">
        <f>'Price Data'!C1136/'Price Data'!C1135-1</f>
        <v>-9.575773997290038E-3</v>
      </c>
      <c r="D1135" s="7">
        <f>'Price Data'!D1136/'Price Data'!D1135-1</f>
        <v>1.1143380606704056E-4</v>
      </c>
      <c r="E1135" s="7">
        <f>'Price Data'!E1136/'Price Data'!E1135-1</f>
        <v>-4.1641512501777722E-3</v>
      </c>
    </row>
    <row r="1136" spans="1:5" ht="15" customHeight="1" x14ac:dyDescent="0.2">
      <c r="A1136" s="4" t="s">
        <v>1138</v>
      </c>
      <c r="B1136" s="7">
        <f>'Price Data'!B1137/'Price Data'!B1136-1</f>
        <v>2.279995929332479E-3</v>
      </c>
      <c r="C1136" s="7">
        <f>'Price Data'!C1137/'Price Data'!C1136-1</f>
        <v>0</v>
      </c>
      <c r="D1136" s="7">
        <f>'Price Data'!D1137/'Price Data'!D1136-1</f>
        <v>6.4616460117721264E-3</v>
      </c>
      <c r="E1136" s="7">
        <f>'Price Data'!E1137/'Price Data'!E1136-1</f>
        <v>-1.018333895654866E-4</v>
      </c>
    </row>
    <row r="1137" spans="1:5" ht="15" customHeight="1" x14ac:dyDescent="0.2">
      <c r="A1137" s="4" t="s">
        <v>1139</v>
      </c>
      <c r="B1137" s="7">
        <f>'Price Data'!B1138/'Price Data'!B1137-1</f>
        <v>-5.2645789014114097E-3</v>
      </c>
      <c r="C1137" s="7">
        <f>'Price Data'!C1138/'Price Data'!C1137-1</f>
        <v>-1.0455283221506906E-2</v>
      </c>
      <c r="D1137" s="7">
        <f>'Price Data'!D1138/'Price Data'!D1137-1</f>
        <v>-1.4722062030825822E-2</v>
      </c>
      <c r="E1137" s="7">
        <f>'Price Data'!E1138/'Price Data'!E1137-1</f>
        <v>-2.958083601583561E-3</v>
      </c>
    </row>
    <row r="1138" spans="1:5" ht="15" customHeight="1" x14ac:dyDescent="0.2">
      <c r="A1138" s="4" t="s">
        <v>1140</v>
      </c>
      <c r="B1138" s="7">
        <f>'Price Data'!B1139/'Price Data'!B1138-1</f>
        <v>3.7895945914443452E-3</v>
      </c>
      <c r="C1138" s="7">
        <f>'Price Data'!C1139/'Price Data'!C1138-1</f>
        <v>4.0899681840569357E-3</v>
      </c>
      <c r="D1138" s="7">
        <f>'Price Data'!D1139/'Price Data'!D1138-1</f>
        <v>9.4371011134251059E-3</v>
      </c>
      <c r="E1138" s="7">
        <f>'Price Data'!E1139/'Price Data'!E1138-1</f>
        <v>1.4319915652480919E-3</v>
      </c>
    </row>
    <row r="1139" spans="1:5" ht="15" customHeight="1" x14ac:dyDescent="0.2">
      <c r="A1139" s="4" t="s">
        <v>1141</v>
      </c>
      <c r="B1139" s="7">
        <f>'Price Data'!B1140/'Price Data'!B1139-1</f>
        <v>6.5090856804055353E-3</v>
      </c>
      <c r="C1139" s="7">
        <f>'Price Data'!C1140/'Price Data'!C1139-1</f>
        <v>2.6024212901256671E-3</v>
      </c>
      <c r="D1139" s="7">
        <f>'Price Data'!D1140/'Price Data'!D1139-1</f>
        <v>-1.1130095906335402E-3</v>
      </c>
      <c r="E1139" s="7">
        <f>'Price Data'!E1140/'Price Data'!E1139-1</f>
        <v>4.0889130618282366E-4</v>
      </c>
    </row>
    <row r="1140" spans="1:5" ht="15" customHeight="1" x14ac:dyDescent="0.2">
      <c r="A1140" s="4" t="s">
        <v>1142</v>
      </c>
      <c r="B1140" s="7">
        <f>'Price Data'!B1141/'Price Data'!B1140-1</f>
        <v>-5.4957298029978396E-4</v>
      </c>
      <c r="C1140" s="7">
        <f>'Price Data'!C1141/'Price Data'!C1140-1</f>
        <v>-2.8213144370656806E-3</v>
      </c>
      <c r="D1140" s="7">
        <f>'Price Data'!D1141/'Price Data'!D1140-1</f>
        <v>2.1170657165414664E-3</v>
      </c>
      <c r="E1140" s="7">
        <f>'Price Data'!E1141/'Price Data'!E1140-1</f>
        <v>1.8380025795903254E-3</v>
      </c>
    </row>
    <row r="1141" spans="1:5" ht="15" customHeight="1" x14ac:dyDescent="0.2">
      <c r="A1141" s="4" t="s">
        <v>1143</v>
      </c>
      <c r="B1141" s="7">
        <f>'Price Data'!B1142/'Price Data'!B1141-1</f>
        <v>1.132313352337766E-3</v>
      </c>
      <c r="C1141" s="7">
        <f>'Price Data'!C1142/'Price Data'!C1141-1</f>
        <v>5.3191636611953363E-3</v>
      </c>
      <c r="D1141" s="7">
        <f>'Price Data'!D1142/'Price Data'!D1141-1</f>
        <v>4.1137237054795772E-3</v>
      </c>
      <c r="E1141" s="7">
        <f>'Price Data'!E1142/'Price Data'!E1141-1</f>
        <v>2.7521075841965281E-3</v>
      </c>
    </row>
    <row r="1142" spans="1:5" ht="15" customHeight="1" x14ac:dyDescent="0.2">
      <c r="A1142" s="4" t="s">
        <v>1144</v>
      </c>
      <c r="B1142" s="7">
        <f>'Price Data'!B1143/'Price Data'!B1142-1</f>
        <v>1.1633592907476231E-3</v>
      </c>
      <c r="C1142" s="7">
        <f>'Price Data'!C1143/'Price Data'!C1142-1</f>
        <v>5.5161091635154147E-3</v>
      </c>
      <c r="D1142" s="7">
        <f>'Price Data'!D1143/'Price Data'!D1142-1</f>
        <v>1.7163207547500559E-2</v>
      </c>
      <c r="E1142" s="7">
        <f>'Price Data'!E1143/'Price Data'!E1142-1</f>
        <v>1.9311677502000801E-3</v>
      </c>
    </row>
    <row r="1143" spans="1:5" ht="15" customHeight="1" x14ac:dyDescent="0.2">
      <c r="A1143" s="4" t="s">
        <v>1145</v>
      </c>
      <c r="B1143" s="7">
        <f>'Price Data'!B1144/'Price Data'!B1143-1</f>
        <v>8.424853047413583E-3</v>
      </c>
      <c r="C1143" s="7">
        <f>'Price Data'!C1144/'Price Data'!C1143-1</f>
        <v>2.4854474700334528E-2</v>
      </c>
      <c r="D1143" s="7">
        <f>'Price Data'!D1144/'Price Data'!D1143-1</f>
        <v>1.9594767136903446E-3</v>
      </c>
      <c r="E1143" s="7">
        <f>'Price Data'!E1144/'Price Data'!E1143-1</f>
        <v>-2.2317366544303274E-3</v>
      </c>
    </row>
    <row r="1144" spans="1:5" ht="15" customHeight="1" x14ac:dyDescent="0.2">
      <c r="A1144" s="4" t="s">
        <v>1146</v>
      </c>
      <c r="B1144" s="7">
        <f>'Price Data'!B1145/'Price Data'!B1144-1</f>
        <v>-3.5221230139836912E-4</v>
      </c>
      <c r="C1144" s="7">
        <f>'Price Data'!C1145/'Price Data'!C1144-1</f>
        <v>-7.4283681983992045E-3</v>
      </c>
      <c r="D1144" s="7">
        <f>'Price Data'!D1145/'Price Data'!D1144-1</f>
        <v>-3.4767303425772278E-3</v>
      </c>
      <c r="E1144" s="7">
        <f>'Price Data'!E1145/'Price Data'!E1144-1</f>
        <v>-6.1026628980032083E-4</v>
      </c>
    </row>
    <row r="1145" spans="1:5" ht="15" customHeight="1" x14ac:dyDescent="0.2">
      <c r="A1145" s="4" t="s">
        <v>1147</v>
      </c>
      <c r="B1145" s="7">
        <f>'Price Data'!B1146/'Price Data'!B1145-1</f>
        <v>4.4508668177285493E-3</v>
      </c>
      <c r="C1145" s="7">
        <f>'Price Data'!C1146/'Price Data'!C1145-1</f>
        <v>-1.2107660392198794E-3</v>
      </c>
      <c r="D1145" s="7">
        <f>'Price Data'!D1146/'Price Data'!D1145-1</f>
        <v>1.0904038071246624E-4</v>
      </c>
      <c r="E1145" s="7">
        <f>'Price Data'!E1146/'Price Data'!E1145-1</f>
        <v>1.62793984051679E-3</v>
      </c>
    </row>
    <row r="1146" spans="1:5" ht="15" customHeight="1" x14ac:dyDescent="0.2">
      <c r="A1146" s="4" t="s">
        <v>1148</v>
      </c>
      <c r="B1146" s="7">
        <f>'Price Data'!B1147/'Price Data'!B1146-1</f>
        <v>-2.8689942428061777E-4</v>
      </c>
      <c r="C1146" s="7">
        <f>'Price Data'!C1147/'Price Data'!C1146-1</f>
        <v>-1.6088138489926296E-2</v>
      </c>
      <c r="D1146" s="7">
        <f>'Price Data'!D1147/'Price Data'!D1146-1</f>
        <v>-1.6025287698717472E-2</v>
      </c>
      <c r="E1146" s="7">
        <f>'Price Data'!E1147/'Price Data'!E1146-1</f>
        <v>-1.3205513422787085E-3</v>
      </c>
    </row>
    <row r="1147" spans="1:5" ht="15" customHeight="1" x14ac:dyDescent="0.2">
      <c r="A1147" s="4" t="s">
        <v>1149</v>
      </c>
      <c r="B1147" s="7">
        <f>'Price Data'!B1148/'Price Data'!B1147-1</f>
        <v>-3.1568978010200199E-3</v>
      </c>
      <c r="C1147" s="7">
        <f>'Price Data'!C1148/'Price Data'!C1147-1</f>
        <v>-2.0158975953715741E-3</v>
      </c>
      <c r="D1147" s="7">
        <f>'Price Data'!D1148/'Price Data'!D1147-1</f>
        <v>1.6064583899645823E-2</v>
      </c>
      <c r="E1147" s="7">
        <f>'Price Data'!E1148/'Price Data'!E1147-1</f>
        <v>5.3905823033331135E-3</v>
      </c>
    </row>
    <row r="1148" spans="1:5" ht="15" customHeight="1" x14ac:dyDescent="0.2">
      <c r="A1148" s="4" t="s">
        <v>1150</v>
      </c>
      <c r="B1148" s="7">
        <f>'Price Data'!B1149/'Price Data'!B1148-1</f>
        <v>-1.1516611633319851E-3</v>
      </c>
      <c r="C1148" s="7">
        <f>'Price Data'!C1149/'Price Data'!C1148-1</f>
        <v>-7.1820847854182635E-3</v>
      </c>
      <c r="D1148" s="7">
        <f>'Price Data'!D1149/'Price Data'!D1148-1</f>
        <v>-1.4175068315378625E-2</v>
      </c>
      <c r="E1148" s="7">
        <f>'Price Data'!E1149/'Price Data'!E1148-1</f>
        <v>-2.8325946062357499E-3</v>
      </c>
    </row>
    <row r="1149" spans="1:5" ht="15" customHeight="1" x14ac:dyDescent="0.2">
      <c r="A1149" s="4" t="s">
        <v>1151</v>
      </c>
      <c r="B1149" s="7">
        <f>'Price Data'!B1150/'Price Data'!B1149-1</f>
        <v>-4.355274862950953E-3</v>
      </c>
      <c r="C1149" s="7">
        <f>'Price Data'!C1150/'Price Data'!C1149-1</f>
        <v>-1.0738191583580359E-2</v>
      </c>
      <c r="D1149" s="7">
        <f>'Price Data'!D1150/'Price Data'!D1149-1</f>
        <v>-1.4047116723119868E-2</v>
      </c>
      <c r="E1149" s="7">
        <f>'Price Data'!E1150/'Price Data'!E1149-1</f>
        <v>5.0728607746153287E-4</v>
      </c>
    </row>
    <row r="1150" spans="1:5" ht="15" customHeight="1" x14ac:dyDescent="0.2">
      <c r="A1150" s="4" t="s">
        <v>1152</v>
      </c>
      <c r="B1150" s="7">
        <f>'Price Data'!B1151/'Price Data'!B1150-1</f>
        <v>-1.6565397160680173E-2</v>
      </c>
      <c r="C1150" s="7">
        <f>'Price Data'!C1151/'Price Data'!C1150-1</f>
        <v>-2.6279033788401129E-3</v>
      </c>
      <c r="D1150" s="7">
        <f>'Price Data'!D1151/'Price Data'!D1150-1</f>
        <v>-2.46805337346645E-3</v>
      </c>
      <c r="E1150" s="7">
        <f>'Price Data'!E1151/'Price Data'!E1150-1</f>
        <v>8.647820001210782E-3</v>
      </c>
    </row>
    <row r="1151" spans="1:5" ht="15" customHeight="1" x14ac:dyDescent="0.2">
      <c r="A1151" s="4" t="s">
        <v>1153</v>
      </c>
      <c r="B1151" s="7">
        <f>'Price Data'!B1152/'Price Data'!B1151-1</f>
        <v>1.5666791916715717E-2</v>
      </c>
      <c r="C1151" s="7">
        <f>'Price Data'!C1152/'Price Data'!C1151-1</f>
        <v>1.3289029036976041E-2</v>
      </c>
      <c r="D1151" s="7">
        <f>'Price Data'!D1152/'Price Data'!D1151-1</f>
        <v>1.0233971680982057E-2</v>
      </c>
      <c r="E1151" s="7">
        <f>'Price Data'!E1152/'Price Data'!E1151-1</f>
        <v>8.0716329497487749E-4</v>
      </c>
    </row>
    <row r="1152" spans="1:5" ht="15" customHeight="1" x14ac:dyDescent="0.2">
      <c r="A1152" s="4" t="s">
        <v>1154</v>
      </c>
      <c r="B1152" s="7">
        <f>'Price Data'!B1153/'Price Data'!B1152-1</f>
        <v>-4.4117107541108425E-3</v>
      </c>
      <c r="C1152" s="7">
        <f>'Price Data'!C1153/'Price Data'!C1152-1</f>
        <v>-1.1302816917002634E-4</v>
      </c>
      <c r="D1152" s="7">
        <f>'Price Data'!D1153/'Price Data'!D1152-1</f>
        <v>4.564187816999743E-3</v>
      </c>
      <c r="E1152" s="7">
        <f>'Price Data'!E1153/'Price Data'!E1152-1</f>
        <v>3.0232252583450858E-4</v>
      </c>
    </row>
    <row r="1153" spans="1:5" ht="15" customHeight="1" x14ac:dyDescent="0.2">
      <c r="A1153" s="4" t="s">
        <v>1155</v>
      </c>
      <c r="B1153" s="7">
        <f>'Price Data'!B1154/'Price Data'!B1153-1</f>
        <v>6.7601858666646031E-3</v>
      </c>
      <c r="C1153" s="7">
        <f>'Price Data'!C1154/'Price Data'!C1153-1</f>
        <v>6.5580700350662546E-3</v>
      </c>
      <c r="D1153" s="7">
        <f>'Price Data'!D1154/'Price Data'!D1153-1</f>
        <v>-7.7570444737571353E-3</v>
      </c>
      <c r="E1153" s="7">
        <f>'Price Data'!E1154/'Price Data'!E1153-1</f>
        <v>-4.0313427734917084E-4</v>
      </c>
    </row>
    <row r="1154" spans="1:5" ht="15" customHeight="1" x14ac:dyDescent="0.2">
      <c r="A1154" s="4" t="s">
        <v>1156</v>
      </c>
      <c r="B1154" s="7">
        <f>'Price Data'!B1155/'Price Data'!B1154-1</f>
        <v>-5.7829705701450962E-4</v>
      </c>
      <c r="C1154" s="7">
        <f>'Price Data'!C1155/'Price Data'!C1154-1</f>
        <v>8.9867488731658618E-3</v>
      </c>
      <c r="D1154" s="7">
        <f>'Price Data'!D1155/'Price Data'!D1154-1</f>
        <v>2.9037197581185392E-3</v>
      </c>
      <c r="E1154" s="7">
        <f>'Price Data'!E1155/'Price Data'!E1154-1</f>
        <v>-8.063545169164632E-4</v>
      </c>
    </row>
    <row r="1155" spans="1:5" ht="15" customHeight="1" x14ac:dyDescent="0.2">
      <c r="A1155" s="4" t="s">
        <v>1157</v>
      </c>
      <c r="B1155" s="7">
        <f>'Price Data'!B1156/'Price Data'!B1155-1</f>
        <v>6.3009317458755376E-3</v>
      </c>
      <c r="C1155" s="7">
        <f>'Price Data'!C1156/'Price Data'!C1155-1</f>
        <v>6.1233991787918995E-3</v>
      </c>
      <c r="D1155" s="7">
        <f>'Price Data'!D1156/'Price Data'!D1155-1</f>
        <v>-8.2406272330052266E-3</v>
      </c>
      <c r="E1155" s="7">
        <f>'Price Data'!E1156/'Price Data'!E1155-1</f>
        <v>-1.9167671400037722E-3</v>
      </c>
    </row>
    <row r="1156" spans="1:5" ht="15" customHeight="1" x14ac:dyDescent="0.2">
      <c r="A1156" s="4" t="s">
        <v>1158</v>
      </c>
      <c r="B1156" s="7">
        <f>'Price Data'!B1157/'Price Data'!B1156-1</f>
        <v>-2.3002316110912746E-3</v>
      </c>
      <c r="C1156" s="7">
        <f>'Price Data'!C1157/'Price Data'!C1156-1</f>
        <v>-4.2050396911740284E-3</v>
      </c>
      <c r="D1156" s="7">
        <f>'Price Data'!D1157/'Price Data'!D1156-1</f>
        <v>-6.6246421418110213E-3</v>
      </c>
      <c r="E1156" s="7">
        <f>'Price Data'!E1157/'Price Data'!E1156-1</f>
        <v>7.075756244427911E-4</v>
      </c>
    </row>
    <row r="1157" spans="1:5" ht="15" customHeight="1" x14ac:dyDescent="0.2">
      <c r="A1157" s="4" t="s">
        <v>1159</v>
      </c>
      <c r="B1157" s="7">
        <f>'Price Data'!B1158/'Price Data'!B1157-1</f>
        <v>1.2231434893452464E-2</v>
      </c>
      <c r="C1157" s="7">
        <f>'Price Data'!C1158/'Price Data'!C1157-1</f>
        <v>1.2223576042432072E-2</v>
      </c>
      <c r="D1157" s="7">
        <f>'Price Data'!D1158/'Price Data'!D1157-1</f>
        <v>5.6515854707348545E-3</v>
      </c>
      <c r="E1157" s="7">
        <f>'Price Data'!E1158/'Price Data'!E1157-1</f>
        <v>0</v>
      </c>
    </row>
    <row r="1158" spans="1:5" ht="15" customHeight="1" x14ac:dyDescent="0.2">
      <c r="A1158" s="4" t="s">
        <v>1160</v>
      </c>
      <c r="B1158" s="7">
        <f>'Price Data'!B1159/'Price Data'!B1158-1</f>
        <v>4.8398409826537758E-3</v>
      </c>
      <c r="C1158" s="7">
        <f>'Price Data'!C1159/'Price Data'!C1158-1</f>
        <v>6.0380255975076569E-3</v>
      </c>
      <c r="D1158" s="7">
        <f>'Price Data'!D1159/'Price Data'!D1158-1</f>
        <v>9.3290227703008988E-3</v>
      </c>
      <c r="E1158" s="7">
        <f>'Price Data'!E1159/'Price Data'!E1158-1</f>
        <v>3.6359650303723345E-3</v>
      </c>
    </row>
    <row r="1159" spans="1:5" ht="15" customHeight="1" x14ac:dyDescent="0.2">
      <c r="A1159" s="4" t="s">
        <v>1161</v>
      </c>
      <c r="B1159" s="7">
        <f>'Price Data'!B1160/'Price Data'!B1159-1</f>
        <v>-1.4795494542056975E-3</v>
      </c>
      <c r="C1159" s="7">
        <f>'Price Data'!C1160/'Price Data'!C1159-1</f>
        <v>1.0917975266644397E-4</v>
      </c>
      <c r="D1159" s="7">
        <f>'Price Data'!D1160/'Price Data'!D1159-1</f>
        <v>-7.1269979514478887E-3</v>
      </c>
      <c r="E1159" s="7">
        <f>'Price Data'!E1160/'Price Data'!E1159-1</f>
        <v>-2.8176568812761094E-3</v>
      </c>
    </row>
    <row r="1160" spans="1:5" ht="15" customHeight="1" x14ac:dyDescent="0.2">
      <c r="A1160" s="4" t="s">
        <v>1162</v>
      </c>
      <c r="B1160" s="7">
        <f>'Price Data'!B1161/'Price Data'!B1160-1</f>
        <v>-2.2698691418493455E-3</v>
      </c>
      <c r="C1160" s="7">
        <f>'Price Data'!C1161/'Price Data'!C1160-1</f>
        <v>5.891963620249463E-3</v>
      </c>
      <c r="D1160" s="7">
        <f>'Price Data'!D1161/'Price Data'!D1160-1</f>
        <v>5.7200199810505392E-3</v>
      </c>
      <c r="E1160" s="7">
        <f>'Price Data'!E1161/'Price Data'!E1160-1</f>
        <v>-1.5139152231422592E-3</v>
      </c>
    </row>
    <row r="1161" spans="1:5" ht="15" customHeight="1" x14ac:dyDescent="0.2">
      <c r="A1161" s="4" t="s">
        <v>1163</v>
      </c>
      <c r="B1161" s="7">
        <f>'Price Data'!B1162/'Price Data'!B1161-1</f>
        <v>3.7900959962655634E-4</v>
      </c>
      <c r="C1161" s="7">
        <f>'Price Data'!C1162/'Price Data'!C1161-1</f>
        <v>-1.0847703430594269E-3</v>
      </c>
      <c r="D1161" s="7">
        <f>'Price Data'!D1162/'Price Data'!D1161-1</f>
        <v>-8.4753761683377116E-3</v>
      </c>
      <c r="E1161" s="7">
        <f>'Price Data'!E1162/'Price Data'!E1161-1</f>
        <v>-1.1116532748318697E-3</v>
      </c>
    </row>
    <row r="1162" spans="1:5" ht="15" customHeight="1" x14ac:dyDescent="0.2">
      <c r="A1162" s="4" t="s">
        <v>1164</v>
      </c>
      <c r="B1162" s="7">
        <f>'Price Data'!B1163/'Price Data'!B1162-1</f>
        <v>-6.0644891379575405E-3</v>
      </c>
      <c r="C1162" s="7">
        <f>'Price Data'!C1163/'Price Data'!C1162-1</f>
        <v>1.0864624465689587E-4</v>
      </c>
      <c r="D1162" s="7">
        <f>'Price Data'!D1163/'Price Data'!D1162-1</f>
        <v>1.7208309211555584E-2</v>
      </c>
      <c r="E1162" s="7">
        <f>'Price Data'!E1163/'Price Data'!E1162-1</f>
        <v>1.9223453173156102E-3</v>
      </c>
    </row>
    <row r="1163" spans="1:5" ht="15" customHeight="1" x14ac:dyDescent="0.2">
      <c r="A1163" s="4" t="s">
        <v>1165</v>
      </c>
      <c r="B1163" s="7">
        <f>'Price Data'!B1164/'Price Data'!B1163-1</f>
        <v>-2.6378278544789691E-3</v>
      </c>
      <c r="C1163" s="7">
        <f>'Price Data'!C1164/'Price Data'!C1163-1</f>
        <v>3.5830517590849098E-3</v>
      </c>
      <c r="D1163" s="7">
        <f>'Price Data'!D1164/'Price Data'!D1163-1</f>
        <v>2.8747363452223951E-3</v>
      </c>
      <c r="E1163" s="7">
        <f>'Price Data'!E1164/'Price Data'!E1163-1</f>
        <v>6.0594634279187432E-4</v>
      </c>
    </row>
    <row r="1164" spans="1:5" ht="15" customHeight="1" x14ac:dyDescent="0.2">
      <c r="A1164" s="4" t="s">
        <v>1166</v>
      </c>
      <c r="B1164" s="7">
        <f>'Price Data'!B1165/'Price Data'!B1164-1</f>
        <v>-3.4411477654248124E-3</v>
      </c>
      <c r="C1164" s="7">
        <f>'Price Data'!C1165/'Price Data'!C1164-1</f>
        <v>-6.2750581676014328E-3</v>
      </c>
      <c r="D1164" s="7">
        <f>'Price Data'!D1165/'Price Data'!D1164-1</f>
        <v>-2.9766751967509331E-3</v>
      </c>
      <c r="E1164" s="7">
        <f>'Price Data'!E1165/'Price Data'!E1164-1</f>
        <v>-2.3212413060229586E-3</v>
      </c>
    </row>
    <row r="1165" spans="1:5" ht="15" customHeight="1" x14ac:dyDescent="0.2">
      <c r="A1165" s="4" t="s">
        <v>1167</v>
      </c>
      <c r="B1165" s="7">
        <f>'Price Data'!B1166/'Price Data'!B1165-1</f>
        <v>1.7329611273501522E-2</v>
      </c>
      <c r="C1165" s="7">
        <f>'Price Data'!C1166/'Price Data'!C1165-1</f>
        <v>1.5024626542750497E-2</v>
      </c>
      <c r="D1165" s="7">
        <f>'Price Data'!D1166/'Price Data'!D1165-1</f>
        <v>1.935190829553024E-2</v>
      </c>
      <c r="E1165" s="7">
        <f>'Price Data'!E1166/'Price Data'!E1165-1</f>
        <v>5.5639666101190421E-3</v>
      </c>
    </row>
    <row r="1166" spans="1:5" ht="15" customHeight="1" x14ac:dyDescent="0.2">
      <c r="A1166" s="4" t="s">
        <v>1168</v>
      </c>
      <c r="B1166" s="7">
        <f>'Price Data'!B1167/'Price Data'!B1166-1</f>
        <v>-4.8086579713551014E-3</v>
      </c>
      <c r="C1166" s="7">
        <f>'Price Data'!C1167/'Price Data'!C1166-1</f>
        <v>-1.3193309095439698E-2</v>
      </c>
      <c r="D1166" s="7">
        <f>'Price Data'!D1167/'Price Data'!D1166-1</f>
        <v>-5.749613191973646E-3</v>
      </c>
      <c r="E1166" s="7">
        <f>'Price Data'!E1167/'Price Data'!E1166-1</f>
        <v>-1.5089550885918346E-3</v>
      </c>
    </row>
    <row r="1167" spans="1:5" ht="15" customHeight="1" x14ac:dyDescent="0.2">
      <c r="A1167" s="4" t="s">
        <v>1169</v>
      </c>
      <c r="B1167" s="7">
        <f>'Price Data'!B1168/'Price Data'!B1167-1</f>
        <v>4.5476753687920812E-3</v>
      </c>
      <c r="C1167" s="7">
        <f>'Price Data'!C1168/'Price Data'!C1167-1</f>
        <v>-1.086839151493546E-3</v>
      </c>
      <c r="D1167" s="7">
        <f>'Price Data'!D1168/'Price Data'!D1167-1</f>
        <v>-2.6186220482895539E-3</v>
      </c>
      <c r="E1167" s="7">
        <f>'Price Data'!E1168/'Price Data'!E1167-1</f>
        <v>1.2089246181941071E-3</v>
      </c>
    </row>
    <row r="1168" spans="1:5" ht="15" customHeight="1" x14ac:dyDescent="0.2">
      <c r="A1168" s="4" t="s">
        <v>1170</v>
      </c>
      <c r="B1168" s="7">
        <f>'Price Data'!B1169/'Price Data'!B1168-1</f>
        <v>2.6722648473405108E-3</v>
      </c>
      <c r="C1168" s="7">
        <f>'Price Data'!C1169/'Price Data'!C1168-1</f>
        <v>-2.393956740320613E-3</v>
      </c>
      <c r="D1168" s="7">
        <f>'Price Data'!D1169/'Price Data'!D1168-1</f>
        <v>6.2355992768530211E-3</v>
      </c>
      <c r="E1168" s="7">
        <f>'Price Data'!E1169/'Price Data'!E1168-1</f>
        <v>1.0064595550212108E-3</v>
      </c>
    </row>
    <row r="1169" spans="1:5" ht="15" customHeight="1" x14ac:dyDescent="0.2">
      <c r="A1169" s="4" t="s">
        <v>1171</v>
      </c>
      <c r="B1169" s="7">
        <f>'Price Data'!B1170/'Price Data'!B1169-1</f>
        <v>3.6369345900659766E-3</v>
      </c>
      <c r="C1169" s="7">
        <f>'Price Data'!C1170/'Price Data'!C1169-1</f>
        <v>3.7085122616562494E-3</v>
      </c>
      <c r="D1169" s="7">
        <f>'Price Data'!D1170/'Price Data'!D1169-1</f>
        <v>-2.6092271383749699E-3</v>
      </c>
      <c r="E1169" s="7">
        <f>'Price Data'!E1170/'Price Data'!E1169-1</f>
        <v>1.2063303675158288E-3</v>
      </c>
    </row>
    <row r="1170" spans="1:5" ht="15" customHeight="1" x14ac:dyDescent="0.2">
      <c r="A1170" s="4" t="s">
        <v>1172</v>
      </c>
      <c r="B1170" s="7">
        <f>'Price Data'!B1171/'Price Data'!B1170-1</f>
        <v>-5.935585872419713E-3</v>
      </c>
      <c r="C1170" s="7">
        <f>'Price Data'!C1171/'Price Data'!C1170-1</f>
        <v>-5.868273064545293E-3</v>
      </c>
      <c r="D1170" s="7">
        <f>'Price Data'!D1171/'Price Data'!D1170-1</f>
        <v>5.45005285836897E-3</v>
      </c>
      <c r="E1170" s="7">
        <f>'Price Data'!E1171/'Price Data'!E1170-1</f>
        <v>-1.3054355365039738E-3</v>
      </c>
    </row>
    <row r="1171" spans="1:5" ht="15" customHeight="1" x14ac:dyDescent="0.2">
      <c r="A1171" s="4" t="s">
        <v>1173</v>
      </c>
      <c r="B1171" s="7">
        <f>'Price Data'!B1172/'Price Data'!B1171-1</f>
        <v>-6.9453702415380736E-3</v>
      </c>
      <c r="C1171" s="7">
        <f>'Price Data'!C1172/'Price Data'!C1171-1</f>
        <v>-9.8381882828771916E-3</v>
      </c>
      <c r="D1171" s="7">
        <f>'Price Data'!D1172/'Price Data'!D1171-1</f>
        <v>-1.6587067153213453E-2</v>
      </c>
      <c r="E1171" s="7">
        <f>'Price Data'!E1172/'Price Data'!E1171-1</f>
        <v>-2.6529373948612767E-3</v>
      </c>
    </row>
    <row r="1172" spans="1:5" ht="15" customHeight="1" x14ac:dyDescent="0.2">
      <c r="A1172" s="4" t="s">
        <v>1174</v>
      </c>
      <c r="B1172" s="7">
        <f>'Price Data'!B1173/'Price Data'!B1172-1</f>
        <v>4.2405107567746736E-3</v>
      </c>
      <c r="C1172" s="7">
        <f>'Price Data'!C1173/'Price Data'!C1172-1</f>
        <v>1.5455325815372234E-3</v>
      </c>
      <c r="D1172" s="7">
        <f>'Price Data'!D1173/'Price Data'!D1172-1</f>
        <v>5.5118503034279343E-4</v>
      </c>
      <c r="E1172" s="7">
        <f>'Price Data'!E1173/'Price Data'!E1172-1</f>
        <v>3.6410245491242943E-3</v>
      </c>
    </row>
    <row r="1173" spans="1:5" ht="15" customHeight="1" x14ac:dyDescent="0.2">
      <c r="A1173" s="4" t="s">
        <v>1175</v>
      </c>
      <c r="B1173" s="7">
        <f>'Price Data'!B1174/'Price Data'!B1173-1</f>
        <v>8.8553959510424551E-3</v>
      </c>
      <c r="C1173" s="7">
        <f>'Price Data'!C1174/'Price Data'!C1173-1</f>
        <v>7.2751990035904157E-3</v>
      </c>
      <c r="D1173" s="7">
        <f>'Price Data'!D1174/'Price Data'!D1173-1</f>
        <v>7.4922139651618647E-3</v>
      </c>
      <c r="E1173" s="7">
        <f>'Price Data'!E1174/'Price Data'!E1173-1</f>
        <v>4.0311357443283402E-3</v>
      </c>
    </row>
    <row r="1174" spans="1:5" ht="15" customHeight="1" x14ac:dyDescent="0.2">
      <c r="A1174" s="4" t="s">
        <v>1176</v>
      </c>
      <c r="B1174" s="7">
        <f>'Price Data'!B1175/'Price Data'!B1174-1</f>
        <v>-1.8431382495451842E-3</v>
      </c>
      <c r="C1174" s="7">
        <f>'Price Data'!C1175/'Price Data'!C1174-1</f>
        <v>4.4867745883858667E-3</v>
      </c>
      <c r="D1174" s="7">
        <f>'Price Data'!D1175/'Price Data'!D1174-1</f>
        <v>1.1264338149932884E-2</v>
      </c>
      <c r="E1174" s="7">
        <f>'Price Data'!E1175/'Price Data'!E1174-1</f>
        <v>4.7174525961730662E-3</v>
      </c>
    </row>
    <row r="1175" spans="1:5" ht="15" customHeight="1" x14ac:dyDescent="0.2">
      <c r="A1175" s="4" t="s">
        <v>1177</v>
      </c>
      <c r="B1175" s="7">
        <f>'Price Data'!B1176/'Price Data'!B1175-1</f>
        <v>3.1921248746036301E-3</v>
      </c>
      <c r="C1175" s="7">
        <f>'Price Data'!C1176/'Price Data'!C1175-1</f>
        <v>1.0022878243627575E-2</v>
      </c>
      <c r="D1175" s="7">
        <f>'Price Data'!D1176/'Price Data'!D1175-1</f>
        <v>-5.8398230492736625E-3</v>
      </c>
      <c r="E1175" s="7">
        <f>'Price Data'!E1176/'Price Data'!E1175-1</f>
        <v>3.3965349388940247E-3</v>
      </c>
    </row>
    <row r="1176" spans="1:5" ht="15" customHeight="1" x14ac:dyDescent="0.2">
      <c r="A1176" s="4" t="s">
        <v>1178</v>
      </c>
      <c r="B1176" s="7">
        <f>'Price Data'!B1177/'Price Data'!B1176-1</f>
        <v>1.278893073213716E-3</v>
      </c>
      <c r="C1176" s="7">
        <f>'Price Data'!C1177/'Price Data'!C1176-1</f>
        <v>-3.3438072711471367E-3</v>
      </c>
      <c r="D1176" s="7">
        <f>'Price Data'!D1177/'Price Data'!D1176-1</f>
        <v>-2.2842725361792438E-3</v>
      </c>
      <c r="E1176" s="7">
        <f>'Price Data'!E1177/'Price Data'!E1176-1</f>
        <v>-1.9911292894052579E-3</v>
      </c>
    </row>
    <row r="1177" spans="1:5" ht="15" customHeight="1" x14ac:dyDescent="0.2">
      <c r="A1177" s="4" t="s">
        <v>1179</v>
      </c>
      <c r="B1177" s="7">
        <f>'Price Data'!B1178/'Price Data'!B1177-1</f>
        <v>2.5547115623878458E-3</v>
      </c>
      <c r="C1177" s="7">
        <f>'Price Data'!C1178/'Price Data'!C1177-1</f>
        <v>-2.1647807171054634E-4</v>
      </c>
      <c r="D1177" s="7">
        <f>'Price Data'!D1178/'Price Data'!D1177-1</f>
        <v>-1.6355193078367858E-3</v>
      </c>
      <c r="E1177" s="7">
        <f>'Price Data'!E1178/'Price Data'!E1177-1</f>
        <v>1.9951017950246008E-3</v>
      </c>
    </row>
    <row r="1178" spans="1:5" ht="15" customHeight="1" x14ac:dyDescent="0.2">
      <c r="A1178" s="4" t="s">
        <v>1180</v>
      </c>
      <c r="B1178" s="7">
        <f>'Price Data'!B1179/'Price Data'!B1178-1</f>
        <v>9.2603528127161994E-3</v>
      </c>
      <c r="C1178" s="7">
        <f>'Price Data'!C1179/'Price Data'!C1178-1</f>
        <v>1.0608441073356234E-2</v>
      </c>
      <c r="D1178" s="7">
        <f>'Price Data'!D1179/'Price Data'!D1178-1</f>
        <v>1.8237497690346549E-2</v>
      </c>
      <c r="E1178" s="7">
        <f>'Price Data'!E1179/'Price Data'!E1178-1</f>
        <v>1.8916709487921679E-3</v>
      </c>
    </row>
    <row r="1179" spans="1:5" ht="15" customHeight="1" x14ac:dyDescent="0.2">
      <c r="A1179" s="4" t="s">
        <v>1181</v>
      </c>
      <c r="B1179" s="7">
        <f>'Price Data'!B1180/'Price Data'!B1179-1</f>
        <v>-1.4472090937660553E-3</v>
      </c>
      <c r="C1179" s="7">
        <f>'Price Data'!C1180/'Price Data'!C1179-1</f>
        <v>-3.9631983412921068E-3</v>
      </c>
      <c r="D1179" s="7">
        <f>'Price Data'!D1180/'Price Data'!D1179-1</f>
        <v>-4.6117056698423697E-3</v>
      </c>
      <c r="E1179" s="7">
        <f>'Price Data'!E1180/'Price Data'!E1179-1</f>
        <v>-8.9429684010955413E-4</v>
      </c>
    </row>
    <row r="1180" spans="1:5" ht="15" customHeight="1" x14ac:dyDescent="0.2">
      <c r="A1180" s="4" t="s">
        <v>1182</v>
      </c>
      <c r="B1180" s="7">
        <f>'Price Data'!B1181/'Price Data'!B1180-1</f>
        <v>4.871893829727858E-3</v>
      </c>
      <c r="C1180" s="7">
        <f>'Price Data'!C1181/'Price Data'!C1180-1</f>
        <v>6.6673930158138717E-3</v>
      </c>
      <c r="D1180" s="7">
        <f>'Price Data'!D1181/'Price Data'!D1180-1</f>
        <v>-1.6162256485993121E-3</v>
      </c>
      <c r="E1180" s="7">
        <f>'Price Data'!E1181/'Price Data'!E1180-1</f>
        <v>1.690913656437143E-3</v>
      </c>
    </row>
    <row r="1181" spans="1:5" ht="15" customHeight="1" x14ac:dyDescent="0.2">
      <c r="A1181" s="4" t="s">
        <v>1183</v>
      </c>
      <c r="B1181" s="7">
        <f>'Price Data'!B1182/'Price Data'!B1181-1</f>
        <v>-1.3500058263400394E-3</v>
      </c>
      <c r="C1181" s="7">
        <f>'Price Data'!C1182/'Price Data'!C1181-1</f>
        <v>-2.7775012536317423E-3</v>
      </c>
      <c r="D1181" s="7">
        <f>'Price Data'!D1182/'Price Data'!D1181-1</f>
        <v>-5.2881774924160574E-3</v>
      </c>
      <c r="E1181" s="7">
        <f>'Price Data'!E1182/'Price Data'!E1181-1</f>
        <v>3.9715818560859262E-4</v>
      </c>
    </row>
    <row r="1182" spans="1:5" ht="15" customHeight="1" x14ac:dyDescent="0.2">
      <c r="A1182" s="4" t="s">
        <v>1184</v>
      </c>
      <c r="B1182" s="7">
        <f>'Price Data'!B1183/'Price Data'!B1182-1</f>
        <v>-8.9116481331685815E-4</v>
      </c>
      <c r="C1182" s="7">
        <f>'Price Data'!C1183/'Price Data'!C1182-1</f>
        <v>-3.7493480883026287E-3</v>
      </c>
      <c r="D1182" s="7">
        <f>'Price Data'!D1183/'Price Data'!D1182-1</f>
        <v>-1.3018382651023286E-3</v>
      </c>
      <c r="E1182" s="7">
        <f>'Price Data'!E1183/'Price Data'!E1182-1</f>
        <v>-1.7865414399914625E-3</v>
      </c>
    </row>
    <row r="1183" spans="1:5" ht="15" customHeight="1" x14ac:dyDescent="0.2">
      <c r="A1183" s="4" t="s">
        <v>1185</v>
      </c>
      <c r="B1183" s="7">
        <f>'Price Data'!B1184/'Price Data'!B1183-1</f>
        <v>6.304580783690561E-3</v>
      </c>
      <c r="C1183" s="7">
        <f>'Price Data'!C1184/'Price Data'!C1183-1</f>
        <v>3.8710417484537629E-3</v>
      </c>
      <c r="D1183" s="7">
        <f>'Price Data'!D1184/'Price Data'!D1183-1</f>
        <v>2.1726448550429822E-3</v>
      </c>
      <c r="E1183" s="7">
        <f>'Price Data'!E1184/'Price Data'!E1183-1</f>
        <v>-2.7843692740353587E-3</v>
      </c>
    </row>
    <row r="1184" spans="1:5" ht="15" customHeight="1" x14ac:dyDescent="0.2">
      <c r="A1184" s="4" t="s">
        <v>1186</v>
      </c>
      <c r="B1184" s="7">
        <f>'Price Data'!B1185/'Price Data'!B1184-1</f>
        <v>3.7591058536468047E-3</v>
      </c>
      <c r="C1184" s="7">
        <f>'Price Data'!C1185/'Price Data'!C1184-1</f>
        <v>-3.8561145679743003E-3</v>
      </c>
      <c r="D1184" s="7">
        <f>'Price Data'!D1185/'Price Data'!D1184-1</f>
        <v>-6.5040618278898732E-3</v>
      </c>
      <c r="E1184" s="7">
        <f>'Price Data'!E1185/'Price Data'!E1184-1</f>
        <v>0</v>
      </c>
    </row>
    <row r="1185" spans="1:5" ht="15" customHeight="1" x14ac:dyDescent="0.2">
      <c r="A1185" s="4" t="s">
        <v>1187</v>
      </c>
      <c r="B1185" s="7">
        <f>'Price Data'!B1186/'Price Data'!B1185-1</f>
        <v>4.3235143853148639E-3</v>
      </c>
      <c r="C1185" s="7">
        <f>'Price Data'!C1186/'Price Data'!C1185-1</f>
        <v>3.2258822645023777E-3</v>
      </c>
      <c r="D1185" s="7">
        <f>'Price Data'!D1186/'Price Data'!D1185-1</f>
        <v>2.1816085813797237E-4</v>
      </c>
      <c r="E1185" s="7">
        <f>'Price Data'!E1186/'Price Data'!E1185-1</f>
        <v>-1.1963859051299375E-3</v>
      </c>
    </row>
    <row r="1186" spans="1:5" ht="15" customHeight="1" x14ac:dyDescent="0.2">
      <c r="A1186" s="4" t="s">
        <v>1188</v>
      </c>
      <c r="B1186" s="7">
        <f>'Price Data'!B1187/'Price Data'!B1186-1</f>
        <v>-5.3660116777265454E-3</v>
      </c>
      <c r="C1186" s="7">
        <f>'Price Data'!C1187/'Price Data'!C1186-1</f>
        <v>-1.9293394746086046E-3</v>
      </c>
      <c r="D1186" s="7">
        <f>'Price Data'!D1187/'Price Data'!D1186-1</f>
        <v>5.4543879584176835E-3</v>
      </c>
      <c r="E1186" s="7">
        <f>'Price Data'!E1187/'Price Data'!E1186-1</f>
        <v>1.5972756033599822E-3</v>
      </c>
    </row>
    <row r="1187" spans="1:5" ht="15" customHeight="1" x14ac:dyDescent="0.2">
      <c r="A1187" s="4" t="s">
        <v>1189</v>
      </c>
      <c r="B1187" s="7">
        <f>'Price Data'!B1188/'Price Data'!B1187-1</f>
        <v>-3.6574619865594737E-3</v>
      </c>
      <c r="C1187" s="7">
        <f>'Price Data'!C1188/'Price Data'!C1187-1</f>
        <v>-5.7989528566889659E-3</v>
      </c>
      <c r="D1187" s="7">
        <f>'Price Data'!D1188/'Price Data'!D1187-1</f>
        <v>-9.8359680346730149E-3</v>
      </c>
      <c r="E1187" s="7">
        <f>'Price Data'!E1188/'Price Data'!E1187-1</f>
        <v>-1.8936662807871318E-3</v>
      </c>
    </row>
    <row r="1188" spans="1:5" ht="15" customHeight="1" x14ac:dyDescent="0.2">
      <c r="A1188" s="4" t="s">
        <v>1190</v>
      </c>
      <c r="B1188" s="7">
        <f>'Price Data'!B1189/'Price Data'!B1188-1</f>
        <v>-5.3534690209160463E-3</v>
      </c>
      <c r="C1188" s="7">
        <f>'Price Data'!C1189/'Price Data'!C1188-1</f>
        <v>-7.1289494890698357E-3</v>
      </c>
      <c r="D1188" s="7">
        <f>'Price Data'!D1189/'Price Data'!D1188-1</f>
        <v>-2.9866933887220393E-3</v>
      </c>
      <c r="E1188" s="7">
        <f>'Price Data'!E1189/'Price Data'!E1188-1</f>
        <v>-1.398083954953111E-3</v>
      </c>
    </row>
    <row r="1189" spans="1:5" ht="15" customHeight="1" x14ac:dyDescent="0.2">
      <c r="A1189" s="4" t="s">
        <v>1191</v>
      </c>
      <c r="B1189" s="7">
        <f>'Price Data'!B1190/'Price Data'!B1189-1</f>
        <v>6.2741074893633009E-3</v>
      </c>
      <c r="C1189" s="7">
        <f>'Price Data'!C1190/'Price Data'!C1189-1</f>
        <v>7.7241146531554783E-3</v>
      </c>
      <c r="D1189" s="7">
        <f>'Price Data'!D1190/'Price Data'!D1189-1</f>
        <v>9.8746830277953723E-3</v>
      </c>
      <c r="E1189" s="7">
        <f>'Price Data'!E1190/'Price Data'!E1189-1</f>
        <v>6.9998124289916142E-4</v>
      </c>
    </row>
    <row r="1190" spans="1:5" ht="15" customHeight="1" x14ac:dyDescent="0.2">
      <c r="A1190" s="4" t="s">
        <v>1192</v>
      </c>
      <c r="B1190" s="7">
        <f>'Price Data'!B1191/'Price Data'!B1190-1</f>
        <v>2.5347982734811314E-3</v>
      </c>
      <c r="C1190" s="7">
        <f>'Price Data'!C1191/'Price Data'!C1190-1</f>
        <v>3.8864188469853733E-3</v>
      </c>
      <c r="D1190" s="7">
        <f>'Price Data'!D1191/'Price Data'!D1190-1</f>
        <v>3.2962304732686576E-4</v>
      </c>
      <c r="E1190" s="7">
        <f>'Price Data'!E1191/'Price Data'!E1190-1</f>
        <v>1.8986651118910736E-3</v>
      </c>
    </row>
    <row r="1191" spans="1:5" ht="15" customHeight="1" x14ac:dyDescent="0.2">
      <c r="A1191" s="4" t="s">
        <v>1193</v>
      </c>
      <c r="B1191" s="7">
        <f>'Price Data'!B1192/'Price Data'!B1191-1</f>
        <v>3.2711307393415989E-3</v>
      </c>
      <c r="C1191" s="7">
        <f>'Price Data'!C1192/'Price Data'!C1191-1</f>
        <v>4.0864776359985644E-3</v>
      </c>
      <c r="D1191" s="7">
        <f>'Price Data'!D1192/'Price Data'!D1191-1</f>
        <v>4.0636664644915221E-3</v>
      </c>
      <c r="E1191" s="7">
        <f>'Price Data'!E1192/'Price Data'!E1191-1</f>
        <v>-9.9872815508383894E-5</v>
      </c>
    </row>
    <row r="1192" spans="1:5" ht="15" customHeight="1" x14ac:dyDescent="0.2">
      <c r="A1192" s="4" t="s">
        <v>1194</v>
      </c>
      <c r="B1192" s="7">
        <f>'Price Data'!B1193/'Price Data'!B1192-1</f>
        <v>3.4737141928602444E-3</v>
      </c>
      <c r="C1192" s="7">
        <f>'Price Data'!C1193/'Price Data'!C1192-1</f>
        <v>8.2467649078326044E-3</v>
      </c>
      <c r="D1192" s="7">
        <f>'Price Data'!D1193/'Price Data'!D1192-1</f>
        <v>1.5313387347213325E-3</v>
      </c>
      <c r="E1192" s="7">
        <f>'Price Data'!E1193/'Price Data'!E1192-1</f>
        <v>2.5520446361257942E-3</v>
      </c>
    </row>
    <row r="1193" spans="1:5" ht="15" customHeight="1" x14ac:dyDescent="0.2">
      <c r="A1193" s="4" t="s">
        <v>1195</v>
      </c>
      <c r="B1193" s="7">
        <f>'Price Data'!B1194/'Price Data'!B1193-1</f>
        <v>1.45765671328979E-3</v>
      </c>
      <c r="C1193" s="7">
        <f>'Price Data'!C1194/'Price Data'!C1193-1</f>
        <v>1.5933670334795647E-3</v>
      </c>
      <c r="D1193" s="7">
        <f>'Price Data'!D1194/'Price Data'!D1193-1</f>
        <v>-5.2423500193289341E-3</v>
      </c>
      <c r="E1193" s="7">
        <f>'Price Data'!E1194/'Price Data'!E1193-1</f>
        <v>1.0979535200714707E-3</v>
      </c>
    </row>
    <row r="1194" spans="1:5" ht="15" customHeight="1" x14ac:dyDescent="0.2">
      <c r="A1194" s="4" t="s">
        <v>1196</v>
      </c>
      <c r="B1194" s="7">
        <f>'Price Data'!B1195/'Price Data'!B1194-1</f>
        <v>5.4586065009454288E-4</v>
      </c>
      <c r="C1194" s="7">
        <f>'Price Data'!C1195/'Price Data'!C1194-1</f>
        <v>8.3783553087433127E-3</v>
      </c>
      <c r="D1194" s="7">
        <f>'Price Data'!D1195/'Price Data'!D1194-1</f>
        <v>3.7329219810515735E-3</v>
      </c>
      <c r="E1194" s="7">
        <f>'Price Data'!E1195/'Price Data'!E1194-1</f>
        <v>-1.0967493402725959E-3</v>
      </c>
    </row>
    <row r="1195" spans="1:5" ht="15" customHeight="1" x14ac:dyDescent="0.2">
      <c r="A1195" s="4" t="s">
        <v>1197</v>
      </c>
      <c r="B1195" s="7">
        <f>'Price Data'!B1196/'Price Data'!B1195-1</f>
        <v>3.7578242128752937E-3</v>
      </c>
      <c r="C1195" s="7">
        <f>'Price Data'!C1196/'Price Data'!C1195-1</f>
        <v>2.3138898370342886E-3</v>
      </c>
      <c r="D1195" s="7">
        <f>'Price Data'!D1196/'Price Data'!D1195-1</f>
        <v>-9.4072489491907607E-3</v>
      </c>
      <c r="E1195" s="7">
        <f>'Price Data'!E1196/'Price Data'!E1195-1</f>
        <v>-2.1961423831402538E-3</v>
      </c>
    </row>
    <row r="1196" spans="1:5" ht="15" customHeight="1" x14ac:dyDescent="0.2">
      <c r="A1196" s="4" t="s">
        <v>1198</v>
      </c>
      <c r="B1196" s="7">
        <f>'Price Data'!B1197/'Price Data'!B1196-1</f>
        <v>-4.8005855556151333E-3</v>
      </c>
      <c r="C1196" s="7">
        <f>'Price Data'!C1197/'Price Data'!C1196-1</f>
        <v>-8.7093417706871623E-3</v>
      </c>
      <c r="D1196" s="7">
        <f>'Price Data'!D1197/'Price Data'!D1196-1</f>
        <v>-3.6438381195198488E-3</v>
      </c>
      <c r="E1196" s="7">
        <f>'Price Data'!E1197/'Price Data'!E1196-1</f>
        <v>1.7007149024907964E-3</v>
      </c>
    </row>
    <row r="1197" spans="1:5" ht="15" customHeight="1" x14ac:dyDescent="0.2">
      <c r="A1197" s="4" t="s">
        <v>1199</v>
      </c>
      <c r="B1197" s="7">
        <f>'Price Data'!B1198/'Price Data'!B1197-1</f>
        <v>6.6441229280449488E-3</v>
      </c>
      <c r="C1197" s="7">
        <f>'Price Data'!C1198/'Price Data'!C1197-1</f>
        <v>2.9638676263310515E-3</v>
      </c>
      <c r="D1197" s="7">
        <f>'Price Data'!D1198/'Price Data'!D1197-1</f>
        <v>-5.2089599958243804E-3</v>
      </c>
      <c r="E1197" s="7">
        <f>'Price Data'!E1198/'Price Data'!E1197-1</f>
        <v>9.999223765100318E-5</v>
      </c>
    </row>
    <row r="1198" spans="1:5" ht="15" customHeight="1" x14ac:dyDescent="0.2">
      <c r="A1198" s="4" t="s">
        <v>1200</v>
      </c>
      <c r="B1198" s="7">
        <f>'Price Data'!B1199/'Price Data'!B1198-1</f>
        <v>-3.4658561853405656E-3</v>
      </c>
      <c r="C1198" s="7">
        <f>'Price Data'!C1199/'Price Data'!C1198-1</f>
        <v>-8.2320836154724519E-3</v>
      </c>
      <c r="D1198" s="7">
        <f>'Price Data'!D1199/'Price Data'!D1198-1</f>
        <v>-5.4589812927496872E-3</v>
      </c>
      <c r="E1198" s="7">
        <f>'Price Data'!E1199/'Price Data'!E1198-1</f>
        <v>-1.1984527395171307E-3</v>
      </c>
    </row>
    <row r="1199" spans="1:5" ht="15" customHeight="1" x14ac:dyDescent="0.2">
      <c r="A1199" s="4" t="s">
        <v>1201</v>
      </c>
      <c r="B1199" s="7">
        <f>'Price Data'!B1200/'Price Data'!B1199-1</f>
        <v>-2.6794954795643089E-2</v>
      </c>
      <c r="C1199" s="7">
        <f>'Price Data'!C1200/'Price Data'!C1199-1</f>
        <v>-1.8410273229880203E-2</v>
      </c>
      <c r="D1199" s="7">
        <f>'Price Data'!D1200/'Price Data'!D1199-1</f>
        <v>-1.2770342934876555E-2</v>
      </c>
      <c r="E1199" s="7">
        <f>'Price Data'!E1200/'Price Data'!E1199-1</f>
        <v>4.0993189906934902E-3</v>
      </c>
    </row>
    <row r="1200" spans="1:5" ht="15" customHeight="1" x14ac:dyDescent="0.2">
      <c r="A1200" s="4" t="s">
        <v>1202</v>
      </c>
      <c r="B1200" s="7">
        <f>'Price Data'!B1201/'Price Data'!B1200-1</f>
        <v>1.5941525511216303E-2</v>
      </c>
      <c r="C1200" s="7">
        <f>'Price Data'!C1201/'Price Data'!C1200-1</f>
        <v>8.022641738627323E-3</v>
      </c>
      <c r="D1200" s="7">
        <f>'Price Data'!D1201/'Price Data'!D1200-1</f>
        <v>6.3543787316600042E-3</v>
      </c>
      <c r="E1200" s="7">
        <f>'Price Data'!E1201/'Price Data'!E1200-1</f>
        <v>1.8918295437793109E-3</v>
      </c>
    </row>
    <row r="1201" spans="1:5" ht="15" customHeight="1" x14ac:dyDescent="0.2">
      <c r="A1201" s="4" t="s">
        <v>1203</v>
      </c>
      <c r="B1201" s="7">
        <f>'Price Data'!B1202/'Price Data'!B1201-1</f>
        <v>-3.058774425933608E-4</v>
      </c>
      <c r="C1201" s="7">
        <f>'Price Data'!C1202/'Price Data'!C1201-1</f>
        <v>4.5170875461095772E-3</v>
      </c>
      <c r="D1201" s="7">
        <f>'Price Data'!D1202/'Price Data'!D1201-1</f>
        <v>1.0260355503033169E-2</v>
      </c>
      <c r="E1201" s="7">
        <f>'Price Data'!E1202/'Price Data'!E1201-1</f>
        <v>1.5901319499440625E-3</v>
      </c>
    </row>
    <row r="1202" spans="1:5" ht="15" customHeight="1" x14ac:dyDescent="0.2">
      <c r="A1202" s="4" t="s">
        <v>1204</v>
      </c>
      <c r="B1202" s="7">
        <f>'Price Data'!B1203/'Price Data'!B1202-1</f>
        <v>4.7427394053753957E-3</v>
      </c>
      <c r="C1202" s="7">
        <f>'Price Data'!C1203/'Price Data'!C1202-1</f>
        <v>4.8179734486832881E-3</v>
      </c>
      <c r="D1202" s="7">
        <f>'Price Data'!D1203/'Price Data'!D1202-1</f>
        <v>1.4508985674645203E-2</v>
      </c>
      <c r="E1202" s="7">
        <f>'Price Data'!E1203/'Price Data'!E1202-1</f>
        <v>-3.9692135630997605E-4</v>
      </c>
    </row>
    <row r="1203" spans="1:5" ht="15" customHeight="1" x14ac:dyDescent="0.2">
      <c r="A1203" s="4" t="s">
        <v>1205</v>
      </c>
      <c r="B1203" s="7">
        <f>'Price Data'!B1204/'Price Data'!B1203-1</f>
        <v>-7.9482604566191162E-3</v>
      </c>
      <c r="C1203" s="7">
        <f>'Price Data'!C1204/'Price Data'!C1203-1</f>
        <v>5.2210546918911582E-3</v>
      </c>
      <c r="D1203" s="7">
        <f>'Price Data'!D1204/'Price Data'!D1203-1</f>
        <v>-3.5203617064786252E-3</v>
      </c>
      <c r="E1203" s="7">
        <f>'Price Data'!E1204/'Price Data'!E1203-1</f>
        <v>3.5736326773050386E-3</v>
      </c>
    </row>
    <row r="1204" spans="1:5" ht="15" customHeight="1" x14ac:dyDescent="0.2">
      <c r="A1204" s="4" t="s">
        <v>1206</v>
      </c>
      <c r="B1204" s="7">
        <f>'Price Data'!B1205/'Price Data'!B1204-1</f>
        <v>4.6965510488821138E-3</v>
      </c>
      <c r="C1204" s="7">
        <f>'Price Data'!C1205/'Price Data'!C1204-1</f>
        <v>1.802099287590897E-3</v>
      </c>
      <c r="D1204" s="7">
        <f>'Price Data'!D1205/'Price Data'!D1204-1</f>
        <v>6.5135564911060762E-3</v>
      </c>
      <c r="E1204" s="7">
        <f>'Price Data'!E1205/'Price Data'!E1204-1</f>
        <v>-1.3848275141565836E-3</v>
      </c>
    </row>
    <row r="1205" spans="1:5" ht="15" customHeight="1" x14ac:dyDescent="0.2">
      <c r="A1205" s="4" t="s">
        <v>1207</v>
      </c>
      <c r="B1205" s="7">
        <f>'Price Data'!B1206/'Price Data'!B1205-1</f>
        <v>1.1151999172204441E-2</v>
      </c>
      <c r="C1205" s="7">
        <f>'Price Data'!C1206/'Price Data'!C1205-1</f>
        <v>8.2529875345664916E-3</v>
      </c>
      <c r="D1205" s="7">
        <f>'Price Data'!D1206/'Price Data'!D1205-1</f>
        <v>1.0091034478483474E-2</v>
      </c>
      <c r="E1205" s="7">
        <f>'Price Data'!E1206/'Price Data'!E1205-1</f>
        <v>1.6838692687863865E-3</v>
      </c>
    </row>
    <row r="1206" spans="1:5" ht="15" customHeight="1" x14ac:dyDescent="0.2">
      <c r="A1206" s="4" t="s">
        <v>1208</v>
      </c>
      <c r="B1206" s="7">
        <f>'Price Data'!B1207/'Price Data'!B1206-1</f>
        <v>-1.2093919893252369E-4</v>
      </c>
      <c r="C1206" s="7">
        <f>'Price Data'!C1207/'Price Data'!C1206-1</f>
        <v>-7.3460311566658776E-3</v>
      </c>
      <c r="D1206" s="7">
        <f>'Price Data'!D1207/'Price Data'!D1206-1</f>
        <v>-2.8232849189818721E-3</v>
      </c>
      <c r="E1206" s="7">
        <f>'Price Data'!E1207/'Price Data'!E1206-1</f>
        <v>9.8886910287276919E-4</v>
      </c>
    </row>
    <row r="1207" spans="1:5" ht="15" customHeight="1" x14ac:dyDescent="0.2">
      <c r="A1207" s="4" t="s">
        <v>1209</v>
      </c>
      <c r="B1207" s="7">
        <f>'Price Data'!B1208/'Price Data'!B1207-1</f>
        <v>-6.0742081501862222E-3</v>
      </c>
      <c r="C1207" s="7">
        <f>'Price Data'!C1208/'Price Data'!C1207-1</f>
        <v>-1.4800122024674067E-3</v>
      </c>
      <c r="D1207" s="7">
        <f>'Price Data'!D1208/'Price Data'!D1207-1</f>
        <v>4.2469603784287546E-3</v>
      </c>
      <c r="E1207" s="7">
        <f>'Price Data'!E1208/'Price Data'!E1207-1</f>
        <v>-9.8828037661924384E-5</v>
      </c>
    </row>
    <row r="1208" spans="1:5" ht="15" customHeight="1" x14ac:dyDescent="0.2">
      <c r="A1208" s="4" t="s">
        <v>1210</v>
      </c>
      <c r="B1208" s="7">
        <f>'Price Data'!B1209/'Price Data'!B1208-1</f>
        <v>6.415281347700974E-3</v>
      </c>
      <c r="C1208" s="7">
        <f>'Price Data'!C1209/'Price Data'!C1208-1</f>
        <v>4.6585642419125772E-3</v>
      </c>
      <c r="D1208" s="7">
        <f>'Price Data'!D1209/'Price Data'!D1208-1</f>
        <v>-6.5058264301987023E-4</v>
      </c>
      <c r="E1208" s="7">
        <f>'Price Data'!E1209/'Price Data'!E1208-1</f>
        <v>-1.7783040845631426E-3</v>
      </c>
    </row>
    <row r="1209" spans="1:5" ht="15" customHeight="1" x14ac:dyDescent="0.2">
      <c r="A1209" s="4" t="s">
        <v>1211</v>
      </c>
      <c r="B1209" s="7">
        <f>'Price Data'!B1210/'Price Data'!B1209-1</f>
        <v>8.1568948438073274E-3</v>
      </c>
      <c r="C1209" s="7">
        <f>'Price Data'!C1210/'Price Data'!C1209-1</f>
        <v>1.5807732733736923E-3</v>
      </c>
      <c r="D1209" s="7">
        <f>'Price Data'!D1210/'Price Data'!D1209-1</f>
        <v>2.9296555587048356E-3</v>
      </c>
      <c r="E1209" s="7">
        <f>'Price Data'!E1210/'Price Data'!E1209-1</f>
        <v>9.8967214426792793E-4</v>
      </c>
    </row>
    <row r="1210" spans="1:5" ht="15" customHeight="1" x14ac:dyDescent="0.2">
      <c r="A1210" s="4" t="s">
        <v>1212</v>
      </c>
      <c r="B1210" s="7">
        <f>'Price Data'!B1211/'Price Data'!B1210-1</f>
        <v>1.1147404437704456E-2</v>
      </c>
      <c r="C1210" s="7">
        <f>'Price Data'!C1211/'Price Data'!C1210-1</f>
        <v>6.9444248416523635E-3</v>
      </c>
      <c r="D1210" s="7">
        <f>'Price Data'!D1211/'Price Data'!D1210-1</f>
        <v>2.8130693624617287E-3</v>
      </c>
      <c r="E1210" s="7">
        <f>'Price Data'!E1211/'Price Data'!E1210-1</f>
        <v>6.9202340074103752E-4</v>
      </c>
    </row>
    <row r="1211" spans="1:5" ht="15" customHeight="1" x14ac:dyDescent="0.2">
      <c r="A1211" s="4" t="s">
        <v>1213</v>
      </c>
      <c r="B1211" s="7">
        <f>'Price Data'!B1212/'Price Data'!B1211-1</f>
        <v>1.5411046554218988E-3</v>
      </c>
      <c r="C1211" s="7">
        <f>'Price Data'!C1212/'Price Data'!C1211-1</f>
        <v>-4.1794417637663894E-4</v>
      </c>
      <c r="D1211" s="7">
        <f>'Price Data'!D1212/'Price Data'!D1211-1</f>
        <v>-1.9635400513863033E-2</v>
      </c>
      <c r="E1211" s="7">
        <f>'Price Data'!E1212/'Price Data'!E1211-1</f>
        <v>5.9293020032802346E-4</v>
      </c>
    </row>
    <row r="1212" spans="1:5" ht="15" customHeight="1" x14ac:dyDescent="0.2">
      <c r="A1212" s="4" t="s">
        <v>1214</v>
      </c>
      <c r="B1212" s="7">
        <f>'Price Data'!B1213/'Price Data'!B1212-1</f>
        <v>-7.1024066645131168E-4</v>
      </c>
      <c r="C1212" s="7">
        <f>'Price Data'!C1213/'Price Data'!C1212-1</f>
        <v>-5.6449766957888947E-3</v>
      </c>
      <c r="D1212" s="7">
        <f>'Price Data'!D1213/'Price Data'!D1212-1</f>
        <v>-2.5751136731267055E-2</v>
      </c>
      <c r="E1212" s="7">
        <f>'Price Data'!E1213/'Price Data'!E1212-1</f>
        <v>-4.7399323097404578E-3</v>
      </c>
    </row>
    <row r="1213" spans="1:5" ht="15" customHeight="1" x14ac:dyDescent="0.2">
      <c r="A1213" s="4" t="s">
        <v>1215</v>
      </c>
      <c r="B1213" s="7">
        <f>'Price Data'!B1214/'Price Data'!B1213-1</f>
        <v>-1.0748885585570411E-2</v>
      </c>
      <c r="C1213" s="7">
        <f>'Price Data'!C1214/'Price Data'!C1213-1</f>
        <v>-4.4154626136116981E-3</v>
      </c>
      <c r="D1213" s="7">
        <f>'Price Data'!D1214/'Price Data'!D1213-1</f>
        <v>4.7440733663937085E-3</v>
      </c>
      <c r="E1213" s="7">
        <f>'Price Data'!E1214/'Price Data'!E1213-1</f>
        <v>-1.8849946627558234E-3</v>
      </c>
    </row>
    <row r="1214" spans="1:5" ht="15" customHeight="1" x14ac:dyDescent="0.2">
      <c r="A1214" s="4" t="s">
        <v>1216</v>
      </c>
      <c r="B1214" s="7">
        <f>'Price Data'!B1215/'Price Data'!B1214-1</f>
        <v>4.0111095311021749E-3</v>
      </c>
      <c r="C1214" s="7">
        <f>'Price Data'!C1215/'Price Data'!C1214-1</f>
        <v>-2.2175226953636828E-3</v>
      </c>
      <c r="D1214" s="7">
        <f>'Price Data'!D1215/'Price Data'!D1214-1</f>
        <v>2.585831679222883E-3</v>
      </c>
      <c r="E1214" s="7">
        <f>'Price Data'!E1215/'Price Data'!E1214-1</f>
        <v>-5.9644733002928163E-4</v>
      </c>
    </row>
    <row r="1215" spans="1:5" ht="15" customHeight="1" x14ac:dyDescent="0.2">
      <c r="A1215" s="4" t="s">
        <v>1217</v>
      </c>
      <c r="B1215" s="7">
        <f>'Price Data'!B1216/'Price Data'!B1215-1</f>
        <v>1.1327851672620071E-3</v>
      </c>
      <c r="C1215" s="7">
        <f>'Price Data'!C1216/'Price Data'!C1215-1</f>
        <v>4.2329617028435962E-4</v>
      </c>
      <c r="D1215" s="7">
        <f>'Price Data'!D1216/'Price Data'!D1215-1</f>
        <v>-1.4576611492372882E-3</v>
      </c>
      <c r="E1215" s="7">
        <f>'Price Data'!E1216/'Price Data'!E1215-1</f>
        <v>-1.2274527950860703E-3</v>
      </c>
    </row>
    <row r="1216" spans="1:5" ht="15" customHeight="1" x14ac:dyDescent="0.2">
      <c r="A1216" s="4" t="s">
        <v>1218</v>
      </c>
      <c r="B1216" s="7">
        <f>'Price Data'!B1217/'Price Data'!B1216-1</f>
        <v>-1.2090427119846314E-2</v>
      </c>
      <c r="C1216" s="7">
        <f>'Price Data'!C1217/'Price Data'!C1216-1</f>
        <v>-1.0261319237110156E-2</v>
      </c>
      <c r="D1216" s="7">
        <f>'Price Data'!D1217/'Price Data'!D1216-1</f>
        <v>1.6843109262476563E-3</v>
      </c>
      <c r="E1216" s="7">
        <f>'Price Data'!E1217/'Price Data'!E1216-1</f>
        <v>4.9962993418706247E-4</v>
      </c>
    </row>
    <row r="1217" spans="1:5" ht="15" customHeight="1" x14ac:dyDescent="0.2">
      <c r="A1217" s="4" t="s">
        <v>1219</v>
      </c>
      <c r="B1217" s="7">
        <f>'Price Data'!B1218/'Price Data'!B1217-1</f>
        <v>4.2804264481921539E-3</v>
      </c>
      <c r="C1217" s="7">
        <f>'Price Data'!C1218/'Price Data'!C1217-1</f>
        <v>6.4130633157701844E-3</v>
      </c>
      <c r="D1217" s="7">
        <f>'Price Data'!D1218/'Price Data'!D1217-1</f>
        <v>8.9684149164792615E-4</v>
      </c>
      <c r="E1217" s="7">
        <f>'Price Data'!E1218/'Price Data'!E1217-1</f>
        <v>-2.6962944861401716E-3</v>
      </c>
    </row>
    <row r="1218" spans="1:5" ht="15" customHeight="1" x14ac:dyDescent="0.2">
      <c r="A1218" s="4" t="s">
        <v>1220</v>
      </c>
      <c r="B1218" s="7">
        <f>'Price Data'!B1219/'Price Data'!B1218-1</f>
        <v>-1.1375954603752292E-2</v>
      </c>
      <c r="C1218" s="7">
        <f>'Price Data'!C1219/'Price Data'!C1218-1</f>
        <v>-2.2303237719495383E-3</v>
      </c>
      <c r="D1218" s="7">
        <f>'Price Data'!D1219/'Price Data'!D1218-1</f>
        <v>-4.8162366180103389E-3</v>
      </c>
      <c r="E1218" s="7">
        <f>'Price Data'!E1219/'Price Data'!E1218-1</f>
        <v>3.7048883662662568E-3</v>
      </c>
    </row>
    <row r="1219" spans="1:5" ht="15" customHeight="1" x14ac:dyDescent="0.2">
      <c r="A1219" s="4" t="s">
        <v>1221</v>
      </c>
      <c r="B1219" s="7">
        <f>'Price Data'!B1220/'Price Data'!B1219-1</f>
        <v>2.1860399856705737E-3</v>
      </c>
      <c r="C1219" s="7">
        <f>'Price Data'!C1220/'Price Data'!C1219-1</f>
        <v>3.7254873965177904E-3</v>
      </c>
      <c r="D1219" s="7">
        <f>'Price Data'!D1220/'Price Data'!D1219-1</f>
        <v>1.5531832220624375E-2</v>
      </c>
      <c r="E1219" s="7">
        <f>'Price Data'!E1220/'Price Data'!E1219-1</f>
        <v>-3.9909016507266859E-4</v>
      </c>
    </row>
    <row r="1220" spans="1:5" ht="15" customHeight="1" x14ac:dyDescent="0.2">
      <c r="A1220" s="4" t="s">
        <v>1222</v>
      </c>
      <c r="B1220" s="7">
        <f>'Price Data'!B1221/'Price Data'!B1220-1</f>
        <v>1.4632409652250544E-2</v>
      </c>
      <c r="C1220" s="7">
        <f>'Price Data'!C1221/'Price Data'!C1220-1</f>
        <v>1.0498295203710484E-2</v>
      </c>
      <c r="D1220" s="7">
        <f>'Price Data'!D1221/'Price Data'!D1220-1</f>
        <v>-5.541817011293082E-4</v>
      </c>
      <c r="E1220" s="7">
        <f>'Price Data'!E1221/'Price Data'!E1220-1</f>
        <v>-3.9917132470823624E-4</v>
      </c>
    </row>
    <row r="1221" spans="1:5" ht="15" customHeight="1" x14ac:dyDescent="0.2">
      <c r="A1221" s="4" t="s">
        <v>1223</v>
      </c>
      <c r="B1221" s="7">
        <f>'Price Data'!B1222/'Price Data'!B1221-1</f>
        <v>2.4483030060202804E-3</v>
      </c>
      <c r="C1221" s="7">
        <f>'Price Data'!C1222/'Price Data'!C1221-1</f>
        <v>7.3460311566648784E-3</v>
      </c>
      <c r="D1221" s="7">
        <f>'Price Data'!D1222/'Price Data'!D1221-1</f>
        <v>1.1199807103988046E-2</v>
      </c>
      <c r="E1221" s="7">
        <f>'Price Data'!E1222/'Price Data'!E1221-1</f>
        <v>2.9952150700187641E-3</v>
      </c>
    </row>
    <row r="1222" spans="1:5" ht="15" customHeight="1" x14ac:dyDescent="0.2">
      <c r="A1222" s="4" t="s">
        <v>1224</v>
      </c>
      <c r="B1222" s="7">
        <f>'Price Data'!B1223/'Price Data'!B1222-1</f>
        <v>3.574579221212737E-4</v>
      </c>
      <c r="C1222" s="7">
        <f>'Price Data'!C1223/'Price Data'!C1222-1</f>
        <v>5.9381017950674853E-3</v>
      </c>
      <c r="D1222" s="7">
        <f>'Price Data'!D1223/'Price Data'!D1222-1</f>
        <v>-7.4568387166806804E-3</v>
      </c>
      <c r="E1222" s="7">
        <f>'Price Data'!E1223/'Price Data'!E1222-1</f>
        <v>-3.9813821649603565E-4</v>
      </c>
    </row>
    <row r="1223" spans="1:5" ht="15" customHeight="1" x14ac:dyDescent="0.2">
      <c r="A1223" s="4" t="s">
        <v>1225</v>
      </c>
      <c r="B1223" s="7">
        <f>'Price Data'!B1224/'Price Data'!B1223-1</f>
        <v>-1.7715712206374024E-2</v>
      </c>
      <c r="C1223" s="7">
        <f>'Price Data'!C1224/'Price Data'!C1223-1</f>
        <v>-1.0666967384015957E-2</v>
      </c>
      <c r="D1223" s="7">
        <f>'Price Data'!D1224/'Price Data'!D1223-1</f>
        <v>-1.2263905891495619E-2</v>
      </c>
      <c r="E1223" s="7">
        <f>'Price Data'!E1224/'Price Data'!E1223-1</f>
        <v>-2.9873819638172039E-3</v>
      </c>
    </row>
    <row r="1224" spans="1:5" ht="15" customHeight="1" x14ac:dyDescent="0.2">
      <c r="A1224" s="4" t="s">
        <v>1226</v>
      </c>
      <c r="B1224" s="7">
        <f>'Price Data'!B1225/'Price Data'!B1224-1</f>
        <v>-1.5165056946386812E-4</v>
      </c>
      <c r="C1224" s="7">
        <f>'Price Data'!C1225/'Price Data'!C1224-1</f>
        <v>-2.8262468190579648E-3</v>
      </c>
      <c r="D1224" s="7">
        <f>'Price Data'!D1225/'Price Data'!D1224-1</f>
        <v>2.1251783896845122E-3</v>
      </c>
      <c r="E1224" s="7">
        <f>'Price Data'!E1225/'Price Data'!E1224-1</f>
        <v>-1.1986271494207612E-3</v>
      </c>
    </row>
    <row r="1225" spans="1:5" ht="15" customHeight="1" x14ac:dyDescent="0.2">
      <c r="A1225" s="4" t="s">
        <v>1227</v>
      </c>
      <c r="B1225" s="7">
        <f>'Price Data'!B1226/'Price Data'!B1225-1</f>
        <v>-1.0398366666984682E-2</v>
      </c>
      <c r="C1225" s="7">
        <f>'Price Data'!C1226/'Price Data'!C1225-1</f>
        <v>-1.301710676328649E-2</v>
      </c>
      <c r="D1225" s="7">
        <f>'Price Data'!D1226/'Price Data'!D1225-1</f>
        <v>-8.2597805604773811E-3</v>
      </c>
      <c r="E1225" s="7">
        <f>'Price Data'!E1226/'Price Data'!E1225-1</f>
        <v>1.998281524875356E-4</v>
      </c>
    </row>
    <row r="1226" spans="1:5" ht="15" customHeight="1" x14ac:dyDescent="0.2">
      <c r="A1226" s="4" t="s">
        <v>1228</v>
      </c>
      <c r="B1226" s="7">
        <f>'Price Data'!B1227/'Price Data'!B1226-1</f>
        <v>-6.7701703540090641E-3</v>
      </c>
      <c r="C1226" s="7">
        <f>'Price Data'!C1227/'Price Data'!C1226-1</f>
        <v>-1.2975870674678425E-2</v>
      </c>
      <c r="D1226" s="7">
        <f>'Price Data'!D1227/'Price Data'!D1226-1</f>
        <v>4.0518168901413354E-3</v>
      </c>
      <c r="E1226" s="7">
        <f>'Price Data'!E1227/'Price Data'!E1226-1</f>
        <v>5.9999122842846475E-4</v>
      </c>
    </row>
    <row r="1227" spans="1:5" ht="15" customHeight="1" x14ac:dyDescent="0.2">
      <c r="A1227" s="4" t="s">
        <v>1229</v>
      </c>
      <c r="B1227" s="7">
        <f>'Price Data'!B1228/'Price Data'!B1227-1</f>
        <v>3.2694206186667518E-3</v>
      </c>
      <c r="C1227" s="7">
        <f>'Price Data'!C1228/'Price Data'!C1227-1</f>
        <v>-3.0172894272342266E-3</v>
      </c>
      <c r="D1227" s="7">
        <f>'Price Data'!D1228/'Price Data'!D1227-1</f>
        <v>-7.8467246255815581E-3</v>
      </c>
      <c r="E1227" s="7">
        <f>'Price Data'!E1228/'Price Data'!E1227-1</f>
        <v>0</v>
      </c>
    </row>
    <row r="1228" spans="1:5" ht="15" customHeight="1" x14ac:dyDescent="0.2">
      <c r="A1228" s="4" t="s">
        <v>1230</v>
      </c>
      <c r="B1228" s="7">
        <f>'Price Data'!B1229/'Price Data'!B1228-1</f>
        <v>-1.5924784390331181E-2</v>
      </c>
      <c r="C1228" s="7">
        <f>'Price Data'!C1229/'Price Data'!C1228-1</f>
        <v>-1.3834836011152873E-2</v>
      </c>
      <c r="D1228" s="7">
        <f>'Price Data'!D1229/'Price Data'!D1228-1</f>
        <v>-4.1803717555326525E-3</v>
      </c>
      <c r="E1228" s="7">
        <f>'Price Data'!E1229/'Price Data'!E1228-1</f>
        <v>1.1990280976763579E-3</v>
      </c>
    </row>
    <row r="1229" spans="1:5" ht="15" customHeight="1" x14ac:dyDescent="0.2">
      <c r="A1229" s="4" t="s">
        <v>1231</v>
      </c>
      <c r="B1229" s="7">
        <f>'Price Data'!B1230/'Price Data'!B1229-1</f>
        <v>1.1558946771577316E-2</v>
      </c>
      <c r="C1229" s="7">
        <f>'Price Data'!C1230/'Price Data'!C1229-1</f>
        <v>1.5453791179626197E-2</v>
      </c>
      <c r="D1229" s="7">
        <f>'Price Data'!D1230/'Price Data'!D1229-1</f>
        <v>1.6224270758798953E-2</v>
      </c>
      <c r="E1229" s="7">
        <f>'Price Data'!E1230/'Price Data'!E1229-1</f>
        <v>2.3952624789891352E-3</v>
      </c>
    </row>
    <row r="1230" spans="1:5" ht="15" customHeight="1" x14ac:dyDescent="0.2">
      <c r="A1230" s="4" t="s">
        <v>1232</v>
      </c>
      <c r="B1230" s="7">
        <f>'Price Data'!B1231/'Price Data'!B1230-1</f>
        <v>1.4947554766483684E-2</v>
      </c>
      <c r="C1230" s="7">
        <f>'Price Data'!C1231/'Price Data'!C1230-1</f>
        <v>8.6340539932394655E-4</v>
      </c>
      <c r="D1230" s="7">
        <f>'Price Data'!D1231/'Price Data'!D1230-1</f>
        <v>2.6794101879648036E-3</v>
      </c>
      <c r="E1230" s="7">
        <f>'Price Data'!E1231/'Price Data'!E1230-1</f>
        <v>1.9912434267015389E-3</v>
      </c>
    </row>
    <row r="1231" spans="1:5" ht="15" customHeight="1" x14ac:dyDescent="0.2">
      <c r="A1231" s="4" t="s">
        <v>1233</v>
      </c>
      <c r="B1231" s="7">
        <f>'Price Data'!B1232/'Price Data'!B1231-1</f>
        <v>1.0710711667244688E-2</v>
      </c>
      <c r="C1231" s="7">
        <f>'Price Data'!C1232/'Price Data'!C1231-1</f>
        <v>1.1970202556753406E-2</v>
      </c>
      <c r="D1231" s="7">
        <f>'Price Data'!D1232/'Price Data'!D1231-1</f>
        <v>9.2417393006845039E-3</v>
      </c>
      <c r="E1231" s="7">
        <f>'Price Data'!E1232/'Price Data'!E1231-1</f>
        <v>1.5898601388530942E-3</v>
      </c>
    </row>
    <row r="1232" spans="1:5" ht="15" customHeight="1" x14ac:dyDescent="0.2">
      <c r="A1232" s="4" t="s">
        <v>1234</v>
      </c>
      <c r="B1232" s="7">
        <f>'Price Data'!B1233/'Price Data'!B1232-1</f>
        <v>6.8641596395875304E-3</v>
      </c>
      <c r="C1232" s="7">
        <f>'Price Data'!C1233/'Price Data'!C1232-1</f>
        <v>1.0976239267670218E-2</v>
      </c>
      <c r="D1232" s="7">
        <f>'Price Data'!D1233/'Price Data'!D1232-1</f>
        <v>4.4130533399548977E-3</v>
      </c>
      <c r="E1232" s="7">
        <f>'Price Data'!E1233/'Price Data'!E1232-1</f>
        <v>1.5873364958314262E-3</v>
      </c>
    </row>
    <row r="1233" spans="1:5" ht="15" customHeight="1" x14ac:dyDescent="0.2">
      <c r="A1233" s="4" t="s">
        <v>1235</v>
      </c>
      <c r="B1233" s="7">
        <f>'Price Data'!B1234/'Price Data'!B1233-1</f>
        <v>5.5915016686671759E-3</v>
      </c>
      <c r="C1233" s="7">
        <f>'Price Data'!C1234/'Price Data'!C1233-1</f>
        <v>3.3730547857959703E-3</v>
      </c>
      <c r="D1233" s="7">
        <f>'Price Data'!D1234/'Price Data'!D1233-1</f>
        <v>3.2952479002141821E-3</v>
      </c>
      <c r="E1233" s="7">
        <f>'Price Data'!E1234/'Price Data'!E1233-1</f>
        <v>-1.3868152308834647E-3</v>
      </c>
    </row>
    <row r="1234" spans="1:5" ht="15" customHeight="1" x14ac:dyDescent="0.2">
      <c r="A1234" s="4" t="s">
        <v>1236</v>
      </c>
      <c r="B1234" s="7">
        <f>'Price Data'!B1235/'Price Data'!B1234-1</f>
        <v>-4.9062123568219818E-3</v>
      </c>
      <c r="C1234" s="7">
        <f>'Price Data'!C1235/'Price Data'!C1234-1</f>
        <v>-4.937589632968864E-3</v>
      </c>
      <c r="D1234" s="7">
        <f>'Price Data'!D1235/'Price Data'!D1234-1</f>
        <v>-1.1495444200055882E-2</v>
      </c>
      <c r="E1234" s="7">
        <f>'Price Data'!E1235/'Price Data'!E1234-1</f>
        <v>-4.3186633401315344E-3</v>
      </c>
    </row>
    <row r="1235" spans="1:5" ht="15" customHeight="1" x14ac:dyDescent="0.2">
      <c r="A1235" s="4" t="s">
        <v>1237</v>
      </c>
      <c r="B1235" s="7">
        <f>'Price Data'!B1236/'Price Data'!B1235-1</f>
        <v>1.1952489589870385E-3</v>
      </c>
      <c r="C1235" s="7">
        <f>'Price Data'!C1236/'Price Data'!C1235-1</f>
        <v>3.3783966715030811E-3</v>
      </c>
      <c r="D1235" s="7">
        <f>'Price Data'!D1236/'Price Data'!D1235-1</f>
        <v>-3.5441452789183314E-3</v>
      </c>
      <c r="E1235" s="7">
        <f>'Price Data'!E1236/'Price Data'!E1235-1</f>
        <v>1.2992520911909722E-3</v>
      </c>
    </row>
    <row r="1236" spans="1:5" ht="15" customHeight="1" x14ac:dyDescent="0.2">
      <c r="A1236" s="4" t="s">
        <v>1238</v>
      </c>
      <c r="B1236" s="7">
        <f>'Price Data'!B1237/'Price Data'!B1236-1</f>
        <v>4.4768326666173586E-3</v>
      </c>
      <c r="C1236" s="7">
        <f>'Price Data'!C1237/'Price Data'!C1236-1</f>
        <v>5.3662294921359432E-3</v>
      </c>
      <c r="D1236" s="7">
        <f>'Price Data'!D1237/'Price Data'!D1236-1</f>
        <v>2.5564283572292457E-3</v>
      </c>
      <c r="E1236" s="7">
        <f>'Price Data'!E1237/'Price Data'!E1236-1</f>
        <v>1.8963949869530428E-3</v>
      </c>
    </row>
    <row r="1237" spans="1:5" ht="15" customHeight="1" x14ac:dyDescent="0.2">
      <c r="A1237" s="4" t="s">
        <v>1239</v>
      </c>
      <c r="B1237" s="7">
        <f>'Price Data'!B1238/'Price Data'!B1237-1</f>
        <v>1.5746361815571763E-3</v>
      </c>
      <c r="C1237" s="7">
        <f>'Price Data'!C1238/'Price Data'!C1237-1</f>
        <v>2.7209429365031568E-3</v>
      </c>
      <c r="D1237" s="7">
        <f>'Price Data'!D1238/'Price Data'!D1237-1</f>
        <v>-2.4390364892076244E-3</v>
      </c>
      <c r="E1237" s="7">
        <f>'Price Data'!E1238/'Price Data'!E1237-1</f>
        <v>-2.3909367489192146E-3</v>
      </c>
    </row>
    <row r="1238" spans="1:5" ht="15" customHeight="1" x14ac:dyDescent="0.2">
      <c r="A1238" s="4" t="s">
        <v>1240</v>
      </c>
      <c r="B1238" s="7">
        <f>'Price Data'!B1239/'Price Data'!B1238-1</f>
        <v>1.3943300835828065E-3</v>
      </c>
      <c r="C1238" s="7">
        <f>'Price Data'!C1239/'Price Data'!C1238-1</f>
        <v>0</v>
      </c>
      <c r="D1238" s="7">
        <f>'Price Data'!D1239/'Price Data'!D1238-1</f>
        <v>-1.1113556750809161E-3</v>
      </c>
      <c r="E1238" s="7">
        <f>'Price Data'!E1239/'Price Data'!E1238-1</f>
        <v>-1.0984528952168171E-3</v>
      </c>
    </row>
    <row r="1239" spans="1:5" ht="15" customHeight="1" x14ac:dyDescent="0.2">
      <c r="A1239" s="4" t="s">
        <v>1241</v>
      </c>
      <c r="B1239" s="7">
        <f>'Price Data'!B1240/'Price Data'!B1239-1</f>
        <v>-2.9328086291995348E-3</v>
      </c>
      <c r="C1239" s="7">
        <f>'Price Data'!C1240/'Price Data'!C1239-1</f>
        <v>-3.131106208895118E-3</v>
      </c>
      <c r="D1239" s="7">
        <f>'Price Data'!D1240/'Price Data'!D1239-1</f>
        <v>-7.6768771750302944E-3</v>
      </c>
      <c r="E1239" s="7">
        <f>'Price Data'!E1240/'Price Data'!E1239-1</f>
        <v>-1.5993789195611896E-3</v>
      </c>
    </row>
    <row r="1240" spans="1:5" ht="15" customHeight="1" x14ac:dyDescent="0.2">
      <c r="A1240" s="4" t="s">
        <v>1242</v>
      </c>
      <c r="B1240" s="7">
        <f>'Price Data'!B1241/'Price Data'!B1240-1</f>
        <v>-1.0101778875407641E-3</v>
      </c>
      <c r="C1240" s="7">
        <f>'Price Data'!C1241/'Price Data'!C1240-1</f>
        <v>-1.3611652354303949E-3</v>
      </c>
      <c r="D1240" s="7">
        <f>'Price Data'!D1241/'Price Data'!D1240-1</f>
        <v>-3.8121134077550023E-3</v>
      </c>
      <c r="E1240" s="7">
        <f>'Price Data'!E1241/'Price Data'!E1240-1</f>
        <v>-9.0119932923293788E-4</v>
      </c>
    </row>
    <row r="1241" spans="1:5" ht="15" customHeight="1" x14ac:dyDescent="0.2">
      <c r="A1241" s="4" t="s">
        <v>1243</v>
      </c>
      <c r="B1241" s="7">
        <f>'Price Data'!B1242/'Price Data'!B1241-1</f>
        <v>7.435424210638697E-3</v>
      </c>
      <c r="C1241" s="7">
        <f>'Price Data'!C1242/'Price Data'!C1241-1</f>
        <v>1.1113547899590959E-2</v>
      </c>
      <c r="D1241" s="7">
        <f>'Price Data'!D1242/'Price Data'!D1241-1</f>
        <v>3.6014972135300916E-3</v>
      </c>
      <c r="E1241" s="7">
        <f>'Price Data'!E1242/'Price Data'!E1241-1</f>
        <v>3.2069285055740249E-3</v>
      </c>
    </row>
    <row r="1242" spans="1:5" ht="15" customHeight="1" x14ac:dyDescent="0.2">
      <c r="A1242" s="4" t="s">
        <v>1244</v>
      </c>
      <c r="B1242" s="7">
        <f>'Price Data'!B1243/'Price Data'!B1242-1</f>
        <v>3.3655111233099611E-3</v>
      </c>
      <c r="C1242" s="7">
        <f>'Price Data'!C1243/'Price Data'!C1242-1</f>
        <v>5.9103935315067968E-3</v>
      </c>
      <c r="D1242" s="7">
        <f>'Price Data'!D1243/'Price Data'!D1242-1</f>
        <v>4.373738378557368E-3</v>
      </c>
      <c r="E1242" s="7">
        <f>'Price Data'!E1243/'Price Data'!E1242-1</f>
        <v>1.9991906514937874E-4</v>
      </c>
    </row>
    <row r="1243" spans="1:5" ht="15" customHeight="1" x14ac:dyDescent="0.2">
      <c r="A1243" s="4" t="s">
        <v>1245</v>
      </c>
      <c r="B1243" s="7">
        <f>'Price Data'!B1244/'Price Data'!B1243-1</f>
        <v>-1.1416060372559933E-2</v>
      </c>
      <c r="C1243" s="7">
        <f>'Price Data'!C1244/'Price Data'!C1243-1</f>
        <v>-5.2571748716246924E-3</v>
      </c>
      <c r="D1243" s="7">
        <f>'Price Data'!D1244/'Price Data'!D1243-1</f>
        <v>-1.2282330036804678E-3</v>
      </c>
      <c r="E1243" s="7">
        <f>'Price Data'!E1244/'Price Data'!E1243-1</f>
        <v>-3.0963714416668564E-3</v>
      </c>
    </row>
    <row r="1244" spans="1:5" ht="15" customHeight="1" x14ac:dyDescent="0.2">
      <c r="A1244" s="4" t="s">
        <v>1246</v>
      </c>
      <c r="B1244" s="7">
        <f>'Price Data'!B1245/'Price Data'!B1244-1</f>
        <v>-1.9645555292773231E-3</v>
      </c>
      <c r="C1244" s="7">
        <f>'Price Data'!C1245/'Price Data'!C1244-1</f>
        <v>6.1138356941512484E-3</v>
      </c>
      <c r="D1244" s="7">
        <f>'Price Data'!D1245/'Price Data'!D1244-1</f>
        <v>3.1303038334156152E-3</v>
      </c>
      <c r="E1244" s="7">
        <f>'Price Data'!E1245/'Price Data'!E1244-1</f>
        <v>1.0017955812884338E-3</v>
      </c>
    </row>
    <row r="1245" spans="1:5" ht="15" customHeight="1" x14ac:dyDescent="0.2">
      <c r="A1245" s="4" t="s">
        <v>1247</v>
      </c>
      <c r="B1245" s="7">
        <f>'Price Data'!B1246/'Price Data'!B1245-1</f>
        <v>-2.8925409646565203E-3</v>
      </c>
      <c r="C1245" s="7">
        <f>'Price Data'!C1246/'Price Data'!C1245-1</f>
        <v>-4.6348621768509402E-3</v>
      </c>
      <c r="D1245" s="7">
        <f>'Price Data'!D1246/'Price Data'!D1245-1</f>
        <v>-7.3555232255511083E-3</v>
      </c>
      <c r="E1245" s="7">
        <f>'Price Data'!E1246/'Price Data'!E1245-1</f>
        <v>1.9017880246048335E-3</v>
      </c>
    </row>
    <row r="1246" spans="1:5" ht="15" customHeight="1" x14ac:dyDescent="0.2">
      <c r="A1246" s="4" t="s">
        <v>1248</v>
      </c>
      <c r="B1246" s="7">
        <f>'Price Data'!B1247/'Price Data'!B1246-1</f>
        <v>-1.0916432641820517E-2</v>
      </c>
      <c r="C1246" s="7">
        <f>'Price Data'!C1247/'Price Data'!C1246-1</f>
        <v>-8.1120760302701989E-3</v>
      </c>
      <c r="D1246" s="7">
        <f>'Price Data'!D1247/'Price Data'!D1246-1</f>
        <v>3.7050579946458218E-3</v>
      </c>
      <c r="E1246" s="7">
        <f>'Price Data'!E1247/'Price Data'!E1246-1</f>
        <v>-2.996055908079942E-4</v>
      </c>
    </row>
    <row r="1247" spans="1:5" ht="15" customHeight="1" x14ac:dyDescent="0.2">
      <c r="A1247" s="4" t="s">
        <v>1249</v>
      </c>
      <c r="B1247" s="7">
        <f>'Price Data'!B1248/'Price Data'!B1247-1</f>
        <v>7.6804656671565219E-3</v>
      </c>
      <c r="C1247" s="7">
        <f>'Price Data'!C1248/'Price Data'!C1247-1</f>
        <v>7.1162864591354236E-3</v>
      </c>
      <c r="D1247" s="7">
        <f>'Price Data'!D1248/'Price Data'!D1247-1</f>
        <v>-5.2573206174444387E-3</v>
      </c>
      <c r="E1247" s="7">
        <f>'Price Data'!E1248/'Price Data'!E1247-1</f>
        <v>2.4982157552386752E-3</v>
      </c>
    </row>
    <row r="1248" spans="1:5" ht="15" customHeight="1" x14ac:dyDescent="0.2">
      <c r="A1248" s="4" t="s">
        <v>1250</v>
      </c>
      <c r="B1248" s="7">
        <f>'Price Data'!B1249/'Price Data'!B1248-1</f>
        <v>8.9122179102640864E-3</v>
      </c>
      <c r="C1248" s="7">
        <f>'Price Data'!C1249/'Price Data'!C1248-1</f>
        <v>6.749606036630329E-3</v>
      </c>
      <c r="D1248" s="7">
        <f>'Price Data'!D1249/'Price Data'!D1248-1</f>
        <v>-3.823258862774126E-3</v>
      </c>
      <c r="E1248" s="7">
        <f>'Price Data'!E1249/'Price Data'!E1248-1</f>
        <v>-1.4602636210910847E-3</v>
      </c>
    </row>
    <row r="1249" spans="1:5" ht="15" customHeight="1" x14ac:dyDescent="0.2">
      <c r="A1249" s="4" t="s">
        <v>1251</v>
      </c>
      <c r="B1249" s="7">
        <f>'Price Data'!B1250/'Price Data'!B1249-1</f>
        <v>6.9526948262748078E-3</v>
      </c>
      <c r="C1249" s="7">
        <f>'Price Data'!C1250/'Price Data'!C1249-1</f>
        <v>2.5141227090301754E-3</v>
      </c>
      <c r="D1249" s="7">
        <f>'Price Data'!D1250/'Price Data'!D1249-1</f>
        <v>5.1373868637145659E-3</v>
      </c>
      <c r="E1249" s="7">
        <f>'Price Data'!E1250/'Price Data'!E1249-1</f>
        <v>-4.0063593549977128E-4</v>
      </c>
    </row>
    <row r="1250" spans="1:5" ht="15" customHeight="1" x14ac:dyDescent="0.2">
      <c r="A1250" s="4" t="s">
        <v>1252</v>
      </c>
      <c r="B1250" s="7">
        <f>'Price Data'!B1251/'Price Data'!B1250-1</f>
        <v>3.3174807225997416E-3</v>
      </c>
      <c r="C1250" s="7">
        <f>'Price Data'!C1251/'Price Data'!C1250-1</f>
        <v>6.1651970580938187E-3</v>
      </c>
      <c r="D1250" s="7">
        <f>'Price Data'!D1251/'Price Data'!D1250-1</f>
        <v>-6.7994994834885691E-4</v>
      </c>
      <c r="E1250" s="7">
        <f>'Price Data'!E1251/'Price Data'!E1250-1</f>
        <v>0</v>
      </c>
    </row>
    <row r="1251" spans="1:5" ht="15" customHeight="1" x14ac:dyDescent="0.2">
      <c r="A1251" s="4" t="s">
        <v>1253</v>
      </c>
      <c r="B1251" s="7">
        <f>'Price Data'!B1252/'Price Data'!B1251-1</f>
        <v>3.4247047162019317E-3</v>
      </c>
      <c r="C1251" s="7">
        <f>'Price Data'!C1252/'Price Data'!C1251-1</f>
        <v>1.2462658907153035E-3</v>
      </c>
      <c r="D1251" s="7">
        <f>'Price Data'!D1252/'Price Data'!D1251-1</f>
        <v>6.5774981829636037E-3</v>
      </c>
      <c r="E1251" s="7">
        <f>'Price Data'!E1252/'Price Data'!E1251-1</f>
        <v>2.2043807994140963E-3</v>
      </c>
    </row>
    <row r="1252" spans="1:5" ht="15" customHeight="1" x14ac:dyDescent="0.2">
      <c r="A1252" s="4" t="s">
        <v>1254</v>
      </c>
      <c r="B1252" s="7">
        <f>'Price Data'!B1253/'Price Data'!B1252-1</f>
        <v>-6.1785492332822045E-4</v>
      </c>
      <c r="C1252" s="7">
        <f>'Price Data'!C1253/'Price Data'!C1252-1</f>
        <v>1.6595123442104676E-3</v>
      </c>
      <c r="D1252" s="7">
        <f>'Price Data'!D1253/'Price Data'!D1252-1</f>
        <v>1.1265230716379637E-3</v>
      </c>
      <c r="E1252" s="7">
        <f>'Price Data'!E1253/'Price Data'!E1252-1</f>
        <v>2.0003527654322006E-4</v>
      </c>
    </row>
    <row r="1253" spans="1:5" ht="15" customHeight="1" x14ac:dyDescent="0.2">
      <c r="A1253" s="4" t="s">
        <v>1255</v>
      </c>
      <c r="B1253" s="7">
        <f>'Price Data'!B1254/'Price Data'!B1253-1</f>
        <v>-3.768352778268369E-3</v>
      </c>
      <c r="C1253" s="7">
        <f>'Price Data'!C1254/'Price Data'!C1253-1</f>
        <v>-3.0030232472468832E-3</v>
      </c>
      <c r="D1253" s="7">
        <f>'Price Data'!D1254/'Price Data'!D1253-1</f>
        <v>2.0257049172975883E-3</v>
      </c>
      <c r="E1253" s="7">
        <f>'Price Data'!E1254/'Price Data'!E1253-1</f>
        <v>1.1996604669954891E-3</v>
      </c>
    </row>
    <row r="1254" spans="1:5" ht="15" customHeight="1" x14ac:dyDescent="0.2">
      <c r="A1254" s="4" t="s">
        <v>1256</v>
      </c>
      <c r="B1254" s="7">
        <f>'Price Data'!B1255/'Price Data'!B1254-1</f>
        <v>-1.5958950566999919E-3</v>
      </c>
      <c r="C1254" s="7">
        <f>'Price Data'!C1255/'Price Data'!C1254-1</f>
        <v>1.6618337049019161E-3</v>
      </c>
      <c r="D1254" s="7">
        <f>'Price Data'!D1255/'Price Data'!D1254-1</f>
        <v>2.0215223682293892E-3</v>
      </c>
      <c r="E1254" s="7">
        <f>'Price Data'!E1255/'Price Data'!E1254-1</f>
        <v>-3.9943356730554047E-4</v>
      </c>
    </row>
    <row r="1255" spans="1:5" ht="15" customHeight="1" x14ac:dyDescent="0.2">
      <c r="A1255" s="4" t="s">
        <v>1257</v>
      </c>
      <c r="B1255" s="7">
        <f>'Price Data'!B1256/'Price Data'!B1255-1</f>
        <v>-7.6364644882382926E-3</v>
      </c>
      <c r="C1255" s="7">
        <f>'Price Data'!C1256/'Price Data'!C1255-1</f>
        <v>-4.2513988438628303E-3</v>
      </c>
      <c r="D1255" s="7">
        <f>'Price Data'!D1256/'Price Data'!D1255-1</f>
        <v>-8.1819872473543054E-3</v>
      </c>
      <c r="E1255" s="7">
        <f>'Price Data'!E1256/'Price Data'!E1255-1</f>
        <v>-2.3972481624435771E-3</v>
      </c>
    </row>
    <row r="1256" spans="1:5" ht="15" customHeight="1" x14ac:dyDescent="0.2">
      <c r="A1256" s="4" t="s">
        <v>1258</v>
      </c>
      <c r="B1256" s="7">
        <f>'Price Data'!B1257/'Price Data'!B1256-1</f>
        <v>3.1019917488412929E-3</v>
      </c>
      <c r="C1256" s="7">
        <f>'Price Data'!C1257/'Price Data'!C1256-1</f>
        <v>1.0517590276501787E-2</v>
      </c>
      <c r="D1256" s="7">
        <f>'Price Data'!D1257/'Price Data'!D1256-1</f>
        <v>3.3905844252957174E-4</v>
      </c>
      <c r="E1256" s="7">
        <f>'Price Data'!E1257/'Price Data'!E1256-1</f>
        <v>-3.0027870445059612E-4</v>
      </c>
    </row>
    <row r="1257" spans="1:5" ht="15" customHeight="1" x14ac:dyDescent="0.2">
      <c r="A1257" s="4" t="s">
        <v>1259</v>
      </c>
      <c r="B1257" s="7">
        <f>'Price Data'!B1258/'Price Data'!B1257-1</f>
        <v>7.5227230859038485E-3</v>
      </c>
      <c r="C1257" s="7">
        <f>'Price Data'!C1258/'Price Data'!C1257-1</f>
        <v>1.1438623499700595E-2</v>
      </c>
      <c r="D1257" s="7">
        <f>'Price Data'!D1258/'Price Data'!D1257-1</f>
        <v>2.2593305474403191E-3</v>
      </c>
      <c r="E1257" s="7">
        <f>'Price Data'!E1258/'Price Data'!E1257-1</f>
        <v>1.9028299597938503E-3</v>
      </c>
    </row>
    <row r="1258" spans="1:5" ht="15" customHeight="1" x14ac:dyDescent="0.2">
      <c r="A1258" s="4" t="s">
        <v>1260</v>
      </c>
      <c r="B1258" s="7">
        <f>'Price Data'!B1259/'Price Data'!B1258-1</f>
        <v>6.9944921862383769E-3</v>
      </c>
      <c r="C1258" s="7">
        <f>'Price Data'!C1259/'Price Data'!C1258-1</f>
        <v>1.5283105413319564E-3</v>
      </c>
      <c r="D1258" s="7">
        <f>'Price Data'!D1259/'Price Data'!D1258-1</f>
        <v>7.3264033285906915E-3</v>
      </c>
      <c r="E1258" s="7">
        <f>'Price Data'!E1259/'Price Data'!E1258-1</f>
        <v>-1.999952704341279E-4</v>
      </c>
    </row>
    <row r="1259" spans="1:5" ht="15" customHeight="1" x14ac:dyDescent="0.2">
      <c r="A1259" s="4" t="s">
        <v>1261</v>
      </c>
      <c r="B1259" s="7">
        <f>'Price Data'!B1260/'Price Data'!B1259-1</f>
        <v>-3.3997127915723624E-3</v>
      </c>
      <c r="C1259" s="7">
        <f>'Price Data'!C1260/'Price Data'!C1259-1</f>
        <v>-3.7640537049784539E-3</v>
      </c>
      <c r="D1259" s="7">
        <f>'Price Data'!D1260/'Price Data'!D1259-1</f>
        <v>-9.7348309380324016E-3</v>
      </c>
      <c r="E1259" s="7">
        <f>'Price Data'!E1260/'Price Data'!E1259-1</f>
        <v>9.9994296932881532E-4</v>
      </c>
    </row>
    <row r="1260" spans="1:5" ht="15" customHeight="1" x14ac:dyDescent="0.2">
      <c r="A1260" s="4" t="s">
        <v>1262</v>
      </c>
      <c r="B1260" s="7">
        <f>'Price Data'!B1261/'Price Data'!B1260-1</f>
        <v>2.6480449429233666E-4</v>
      </c>
      <c r="C1260" s="7">
        <f>'Price Data'!C1261/'Price Data'!C1260-1</f>
        <v>1.0216902222648372E-4</v>
      </c>
      <c r="D1260" s="7">
        <f>'Price Data'!D1261/'Price Data'!D1260-1</f>
        <v>8.926592953003798E-3</v>
      </c>
      <c r="E1260" s="7">
        <f>'Price Data'!E1261/'Price Data'!E1260-1</f>
        <v>-1.7978972584618003E-3</v>
      </c>
    </row>
    <row r="1261" spans="1:5" ht="15" customHeight="1" x14ac:dyDescent="0.2">
      <c r="A1261" s="4" t="s">
        <v>1263</v>
      </c>
      <c r="B1261" s="7">
        <f>'Price Data'!B1262/'Price Data'!B1261-1</f>
        <v>6.6442645831130687E-3</v>
      </c>
      <c r="C1261" s="7">
        <f>'Price Data'!C1262/'Price Data'!C1261-1</f>
        <v>8.8828907318574402E-3</v>
      </c>
      <c r="D1261" s="7">
        <f>'Price Data'!D1262/'Price Data'!D1261-1</f>
        <v>2.0159495235521074E-3</v>
      </c>
      <c r="E1261" s="7">
        <f>'Price Data'!E1262/'Price Data'!E1261-1</f>
        <v>2.201448414765661E-3</v>
      </c>
    </row>
    <row r="1262" spans="1:5" ht="15" customHeight="1" x14ac:dyDescent="0.2">
      <c r="A1262" s="4" t="s">
        <v>1264</v>
      </c>
      <c r="B1262" s="7">
        <f>'Price Data'!B1263/'Price Data'!B1262-1</f>
        <v>1.8399229384322702E-3</v>
      </c>
      <c r="C1262" s="7">
        <f>'Price Data'!C1263/'Price Data'!C1262-1</f>
        <v>6.0723308498320527E-3</v>
      </c>
      <c r="D1262" s="7">
        <f>'Price Data'!D1263/'Price Data'!D1262-1</f>
        <v>1.3411175243234208E-3</v>
      </c>
      <c r="E1262" s="7">
        <f>'Price Data'!E1263/'Price Data'!E1262-1</f>
        <v>-4.9942792659896096E-4</v>
      </c>
    </row>
    <row r="1263" spans="1:5" ht="15" customHeight="1" x14ac:dyDescent="0.2">
      <c r="A1263" s="4" t="s">
        <v>1265</v>
      </c>
      <c r="B1263" s="7">
        <f>'Price Data'!B1264/'Price Data'!B1263-1</f>
        <v>-2.0114272048878945E-3</v>
      </c>
      <c r="C1263" s="7">
        <f>'Price Data'!C1264/'Price Data'!C1263-1</f>
        <v>-5.7338922945385784E-3</v>
      </c>
      <c r="D1263" s="7">
        <f>'Price Data'!D1264/'Price Data'!D1263-1</f>
        <v>5.5810410099765839E-3</v>
      </c>
      <c r="E1263" s="7">
        <f>'Price Data'!E1264/'Price Data'!E1263-1</f>
        <v>8.9907743119832517E-4</v>
      </c>
    </row>
    <row r="1264" spans="1:5" ht="15" customHeight="1" x14ac:dyDescent="0.2">
      <c r="A1264" s="4" t="s">
        <v>1266</v>
      </c>
      <c r="B1264" s="7">
        <f>'Price Data'!B1265/'Price Data'!B1264-1</f>
        <v>-3.9142879716741463E-3</v>
      </c>
      <c r="C1264" s="7">
        <f>'Price Data'!C1265/'Price Data'!C1264-1</f>
        <v>4.6540745675982542E-3</v>
      </c>
      <c r="D1264" s="7">
        <f>'Price Data'!D1265/'Price Data'!D1264-1</f>
        <v>8.658092387523908E-3</v>
      </c>
      <c r="E1264" s="7">
        <f>'Price Data'!E1265/'Price Data'!E1264-1</f>
        <v>1.4969869206440389E-3</v>
      </c>
    </row>
    <row r="1265" spans="1:5" ht="15" customHeight="1" x14ac:dyDescent="0.2">
      <c r="A1265" s="4" t="s">
        <v>1267</v>
      </c>
      <c r="B1265" s="7">
        <f>'Price Data'!B1266/'Price Data'!B1265-1</f>
        <v>3.0792182255574563E-3</v>
      </c>
      <c r="C1265" s="7">
        <f>'Price Data'!C1266/'Price Data'!C1265-1</f>
        <v>-4.0288164177260111E-4</v>
      </c>
      <c r="D1265" s="7">
        <f>'Price Data'!D1266/'Price Data'!D1265-1</f>
        <v>6.932883028796244E-3</v>
      </c>
      <c r="E1265" s="7">
        <f>'Price Data'!E1266/'Price Data'!E1265-1</f>
        <v>-1.295526942362013E-3</v>
      </c>
    </row>
    <row r="1266" spans="1:5" ht="15" customHeight="1" x14ac:dyDescent="0.2">
      <c r="A1266" s="4" t="s">
        <v>1268</v>
      </c>
      <c r="B1266" s="7">
        <f>'Price Data'!B1267/'Price Data'!B1266-1</f>
        <v>-5.8476430049303474E-4</v>
      </c>
      <c r="C1266" s="7">
        <f>'Price Data'!C1267/'Price Data'!C1266-1</f>
        <v>2.7201177057192272E-3</v>
      </c>
      <c r="D1266" s="7">
        <f>'Price Data'!D1267/'Price Data'!D1266-1</f>
        <v>1.2240529551255319E-2</v>
      </c>
      <c r="E1266" s="7">
        <f>'Price Data'!E1267/'Price Data'!E1266-1</f>
        <v>-1.6960914421810802E-3</v>
      </c>
    </row>
    <row r="1267" spans="1:5" ht="15" customHeight="1" x14ac:dyDescent="0.2">
      <c r="A1267" s="4" t="s">
        <v>1269</v>
      </c>
      <c r="B1267" s="7">
        <f>'Price Data'!B1268/'Price Data'!B1267-1</f>
        <v>-1.9716246273146165E-2</v>
      </c>
      <c r="C1267" s="7">
        <f>'Price Data'!C1268/'Price Data'!C1267-1</f>
        <v>-1.5171340621498608E-2</v>
      </c>
      <c r="D1267" s="7">
        <f>'Price Data'!D1268/'Price Data'!D1267-1</f>
        <v>-1.857054562352789E-2</v>
      </c>
      <c r="E1267" s="7">
        <f>'Price Data'!E1268/'Price Data'!E1267-1</f>
        <v>-3.7981299862553941E-3</v>
      </c>
    </row>
    <row r="1268" spans="1:5" ht="15" customHeight="1" x14ac:dyDescent="0.2">
      <c r="A1268" s="4" t="s">
        <v>1270</v>
      </c>
      <c r="B1268" s="7">
        <f>'Price Data'!B1269/'Price Data'!B1268-1</f>
        <v>1.184688385205579E-2</v>
      </c>
      <c r="C1268" s="7">
        <f>'Price Data'!C1269/'Price Data'!C1268-1</f>
        <v>1.0304062388120316E-2</v>
      </c>
      <c r="D1268" s="7">
        <f>'Price Data'!D1269/'Price Data'!D1268-1</f>
        <v>3.9604012928231569E-3</v>
      </c>
      <c r="E1268" s="7">
        <f>'Price Data'!E1269/'Price Data'!E1268-1</f>
        <v>3.3108055827717475E-3</v>
      </c>
    </row>
    <row r="1269" spans="1:5" ht="15" customHeight="1" x14ac:dyDescent="0.2">
      <c r="A1269" s="4" t="s">
        <v>1271</v>
      </c>
      <c r="B1269" s="7">
        <f>'Price Data'!B1270/'Price Data'!B1269-1</f>
        <v>5.2789161521276107E-3</v>
      </c>
      <c r="C1269" s="7">
        <f>'Price Data'!C1270/'Price Data'!C1269-1</f>
        <v>3.9382190613028722E-3</v>
      </c>
      <c r="D1269" s="7">
        <f>'Price Data'!D1270/'Price Data'!D1269-1</f>
        <v>-9.8619033489666386E-3</v>
      </c>
      <c r="E1269" s="7">
        <f>'Price Data'!E1270/'Price Data'!E1269-1</f>
        <v>1.9999746306709199E-4</v>
      </c>
    </row>
    <row r="1270" spans="1:5" ht="15" customHeight="1" x14ac:dyDescent="0.2">
      <c r="A1270" s="4" t="s">
        <v>1272</v>
      </c>
      <c r="B1270" s="7">
        <f>'Price Data'!B1271/'Price Data'!B1270-1</f>
        <v>-9.0940982931753123E-4</v>
      </c>
      <c r="C1270" s="7">
        <f>'Price Data'!C1271/'Price Data'!C1270-1</f>
        <v>5.5321180036540518E-3</v>
      </c>
      <c r="D1270" s="7">
        <f>'Price Data'!D1271/'Price Data'!D1270-1</f>
        <v>1.9919914008370565E-3</v>
      </c>
      <c r="E1270" s="7">
        <f>'Price Data'!E1271/'Price Data'!E1270-1</f>
        <v>8.998086243601211E-4</v>
      </c>
    </row>
    <row r="1271" spans="1:5" ht="15" customHeight="1" x14ac:dyDescent="0.2">
      <c r="A1271" s="4" t="s">
        <v>1273</v>
      </c>
      <c r="B1271" s="7">
        <f>'Price Data'!B1272/'Price Data'!B1271-1</f>
        <v>4.3165293812827965E-3</v>
      </c>
      <c r="C1271" s="7">
        <f>'Price Data'!C1272/'Price Data'!C1271-1</f>
        <v>5.0014938973481637E-3</v>
      </c>
      <c r="D1271" s="7">
        <f>'Price Data'!D1272/'Price Data'!D1271-1</f>
        <v>-1.3253541731079732E-3</v>
      </c>
      <c r="E1271" s="7">
        <f>'Price Data'!E1272/'Price Data'!E1271-1</f>
        <v>1.498410562317698E-3</v>
      </c>
    </row>
    <row r="1272" spans="1:5" ht="15" customHeight="1" x14ac:dyDescent="0.2">
      <c r="A1272" s="4" t="s">
        <v>1274</v>
      </c>
      <c r="B1272" s="7">
        <f>'Price Data'!B1273/'Price Data'!B1272-1</f>
        <v>3.625301712026463E-3</v>
      </c>
      <c r="C1272" s="7">
        <f>'Price Data'!C1273/'Price Data'!C1272-1</f>
        <v>1.6124148880474198E-2</v>
      </c>
      <c r="D1272" s="7">
        <f>'Price Data'!D1273/'Price Data'!D1272-1</f>
        <v>-3.318212824517941E-4</v>
      </c>
      <c r="E1272" s="7">
        <f>'Price Data'!E1273/'Price Data'!E1272-1</f>
        <v>-6.9817583226527979E-4</v>
      </c>
    </row>
    <row r="1273" spans="1:5" ht="15" customHeight="1" x14ac:dyDescent="0.2">
      <c r="A1273" s="4" t="s">
        <v>1275</v>
      </c>
      <c r="B1273" s="7">
        <f>'Price Data'!B1274/'Price Data'!B1273-1</f>
        <v>-5.5352939608499518E-4</v>
      </c>
      <c r="C1273" s="7">
        <f>'Price Data'!C1274/'Price Data'!C1273-1</f>
        <v>-1.0578857513450335E-2</v>
      </c>
      <c r="D1273" s="7">
        <f>'Price Data'!D1274/'Price Data'!D1273-1</f>
        <v>-1.028875538194407E-2</v>
      </c>
      <c r="E1273" s="7">
        <f>'Price Data'!E1274/'Price Data'!E1273-1</f>
        <v>-3.9915868316942049E-4</v>
      </c>
    </row>
    <row r="1274" spans="1:5" ht="15" customHeight="1" x14ac:dyDescent="0.2">
      <c r="A1274" s="4" t="s">
        <v>1276</v>
      </c>
      <c r="B1274" s="7">
        <f>'Price Data'!B1275/'Price Data'!B1274-1</f>
        <v>-2.3025938118402811E-3</v>
      </c>
      <c r="C1274" s="7">
        <f>'Price Data'!C1275/'Price Data'!C1274-1</f>
        <v>6.73204414188322E-3</v>
      </c>
      <c r="D1274" s="7">
        <f>'Price Data'!D1275/'Price Data'!D1274-1</f>
        <v>1.3972659533876275E-2</v>
      </c>
      <c r="E1274" s="7">
        <f>'Price Data'!E1275/'Price Data'!E1274-1</f>
        <v>0</v>
      </c>
    </row>
    <row r="1275" spans="1:5" ht="15" customHeight="1" x14ac:dyDescent="0.2">
      <c r="A1275" s="4" t="s">
        <v>1277</v>
      </c>
      <c r="B1275" s="7">
        <f>'Price Data'!B1276/'Price Data'!B1275-1</f>
        <v>-5.0249985245390816E-3</v>
      </c>
      <c r="C1275" s="7">
        <f>'Price Data'!C1276/'Price Data'!C1275-1</f>
        <v>-9.3422202047754865E-3</v>
      </c>
      <c r="D1275" s="7">
        <f>'Price Data'!D1276/'Price Data'!D1275-1</f>
        <v>9.9228145496210729E-4</v>
      </c>
      <c r="E1275" s="7">
        <f>'Price Data'!E1276/'Price Data'!E1275-1</f>
        <v>-1.9977559241068921E-4</v>
      </c>
    </row>
    <row r="1276" spans="1:5" ht="15" customHeight="1" x14ac:dyDescent="0.2">
      <c r="A1276" s="4" t="s">
        <v>1278</v>
      </c>
      <c r="B1276" s="7">
        <f>'Price Data'!B1277/'Price Data'!B1276-1</f>
        <v>5.6082943584245815E-3</v>
      </c>
      <c r="C1276" s="7">
        <f>'Price Data'!C1277/'Price Data'!C1276-1</f>
        <v>6.5516031159900123E-3</v>
      </c>
      <c r="D1276" s="7">
        <f>'Price Data'!D1277/'Price Data'!D1276-1</f>
        <v>-1.0352469724551394E-2</v>
      </c>
      <c r="E1276" s="7">
        <f>'Price Data'!E1277/'Price Data'!E1276-1</f>
        <v>-1.1522616729844337E-3</v>
      </c>
    </row>
    <row r="1277" spans="1:5" ht="15" customHeight="1" x14ac:dyDescent="0.2">
      <c r="A1277" s="4" t="s">
        <v>1279</v>
      </c>
      <c r="B1277" s="7">
        <f>'Price Data'!B1278/'Price Data'!B1277-1</f>
        <v>-7.6792562280333376E-3</v>
      </c>
      <c r="C1277" s="7">
        <f>'Price Data'!C1278/'Price Data'!C1277-1</f>
        <v>4.9305779063790744E-4</v>
      </c>
      <c r="D1277" s="7">
        <f>'Price Data'!D1278/'Price Data'!D1277-1</f>
        <v>-2.2256393129455043E-3</v>
      </c>
      <c r="E1277" s="7">
        <f>'Price Data'!E1278/'Price Data'!E1277-1</f>
        <v>1.0029533825872683E-4</v>
      </c>
    </row>
    <row r="1278" spans="1:5" ht="15" customHeight="1" x14ac:dyDescent="0.2">
      <c r="A1278" s="4" t="s">
        <v>1280</v>
      </c>
      <c r="B1278" s="7">
        <f>'Price Data'!B1279/'Price Data'!B1278-1</f>
        <v>-4.7079460897476721E-3</v>
      </c>
      <c r="C1278" s="7">
        <f>'Price Data'!C1279/'Price Data'!C1278-1</f>
        <v>3.252837447512924E-3</v>
      </c>
      <c r="D1278" s="7">
        <f>'Price Data'!D1279/'Price Data'!D1278-1</f>
        <v>1.4387611620205742E-2</v>
      </c>
      <c r="E1278" s="7">
        <f>'Price Data'!E1279/'Price Data'!E1278-1</f>
        <v>-6.0178948151312639E-4</v>
      </c>
    </row>
    <row r="1279" spans="1:5" ht="15" customHeight="1" x14ac:dyDescent="0.2">
      <c r="A1279" s="4" t="s">
        <v>1281</v>
      </c>
      <c r="B1279" s="7">
        <f>'Price Data'!B1280/'Price Data'!B1279-1</f>
        <v>-1.2860395873174224E-2</v>
      </c>
      <c r="C1279" s="7">
        <f>'Price Data'!C1280/'Price Data'!C1279-1</f>
        <v>-1.4246357753061822E-2</v>
      </c>
      <c r="D1279" s="7">
        <f>'Price Data'!D1280/'Price Data'!D1279-1</f>
        <v>-1.4292851119737104E-3</v>
      </c>
      <c r="E1279" s="7">
        <f>'Price Data'!E1280/'Price Data'!E1279-1</f>
        <v>4.3155643135932564E-3</v>
      </c>
    </row>
    <row r="1280" spans="1:5" ht="15" customHeight="1" x14ac:dyDescent="0.2">
      <c r="A1280" s="4" t="s">
        <v>1282</v>
      </c>
      <c r="B1280" s="7">
        <f>'Price Data'!B1281/'Price Data'!B1280-1</f>
        <v>2.114404862401198E-2</v>
      </c>
      <c r="C1280" s="7">
        <f>'Price Data'!C1281/'Price Data'!C1280-1</f>
        <v>2.2724946559052217E-2</v>
      </c>
      <c r="D1280" s="7">
        <f>'Price Data'!D1281/'Price Data'!D1280-1</f>
        <v>1.5745410679162353E-2</v>
      </c>
      <c r="E1280" s="7">
        <f>'Price Data'!E1281/'Price Data'!E1280-1</f>
        <v>5.9956439147135221E-4</v>
      </c>
    </row>
    <row r="1281" spans="1:5" ht="15" customHeight="1" x14ac:dyDescent="0.2">
      <c r="A1281" s="4" t="s">
        <v>1283</v>
      </c>
      <c r="B1281" s="7">
        <f>'Price Data'!B1282/'Price Data'!B1281-1</f>
        <v>4.9272731742158182E-3</v>
      </c>
      <c r="C1281" s="7">
        <f>'Price Data'!C1282/'Price Data'!C1281-1</f>
        <v>1.3448934404902468E-2</v>
      </c>
      <c r="D1281" s="7">
        <f>'Price Data'!D1282/'Price Data'!D1281-1</f>
        <v>4.2275987020126138E-3</v>
      </c>
      <c r="E1281" s="7">
        <f>'Price Data'!E1282/'Price Data'!E1281-1</f>
        <v>2.9971876479617521E-4</v>
      </c>
    </row>
    <row r="1282" spans="1:5" ht="15" customHeight="1" x14ac:dyDescent="0.2">
      <c r="A1282" s="4" t="s">
        <v>1284</v>
      </c>
      <c r="B1282" s="7">
        <f>'Price Data'!B1283/'Price Data'!B1282-1</f>
        <v>-2.4516018966243003E-3</v>
      </c>
      <c r="C1282" s="7">
        <f>'Price Data'!C1283/'Price Data'!C1282-1</f>
        <v>2.4041116584578859E-3</v>
      </c>
      <c r="D1282" s="7">
        <f>'Price Data'!D1283/'Price Data'!D1282-1</f>
        <v>1.3385127842854505E-2</v>
      </c>
      <c r="E1282" s="7">
        <f>'Price Data'!E1283/'Price Data'!E1282-1</f>
        <v>2.8952258163845723E-3</v>
      </c>
    </row>
    <row r="1283" spans="1:5" ht="15" customHeight="1" x14ac:dyDescent="0.2">
      <c r="A1283" s="4" t="s">
        <v>1285</v>
      </c>
      <c r="B1283" s="7">
        <f>'Price Data'!B1284/'Price Data'!B1283-1</f>
        <v>-9.6540971483349836E-4</v>
      </c>
      <c r="C1283" s="7">
        <f>'Price Data'!C1284/'Price Data'!C1283-1</f>
        <v>6.7153384092737411E-3</v>
      </c>
      <c r="D1283" s="7">
        <f>'Price Data'!D1284/'Price Data'!D1283-1</f>
        <v>-5.538873952875556E-3</v>
      </c>
      <c r="E1283" s="7">
        <f>'Price Data'!E1284/'Price Data'!E1283-1</f>
        <v>-2.2897258398476561E-3</v>
      </c>
    </row>
    <row r="1284" spans="1:5" ht="15" customHeight="1" x14ac:dyDescent="0.2">
      <c r="A1284" s="4" t="s">
        <v>1286</v>
      </c>
      <c r="B1284" s="7">
        <f>'Price Data'!B1285/'Price Data'!B1284-1</f>
        <v>-1.5989607950624984E-2</v>
      </c>
      <c r="C1284" s="7">
        <f>'Price Data'!C1285/'Price Data'!C1284-1</f>
        <v>-7.5281235612485453E-3</v>
      </c>
      <c r="D1284" s="7">
        <f>'Price Data'!D1285/'Price Data'!D1284-1</f>
        <v>-1.1783358185420978E-3</v>
      </c>
      <c r="E1284" s="7">
        <f>'Price Data'!E1285/'Price Data'!E1284-1</f>
        <v>4.4901964881813861E-3</v>
      </c>
    </row>
    <row r="1285" spans="1:5" ht="15" customHeight="1" x14ac:dyDescent="0.2">
      <c r="A1285" s="4" t="s">
        <v>1287</v>
      </c>
      <c r="B1285" s="7">
        <f>'Price Data'!B1286/'Price Data'!B1285-1</f>
        <v>1.9046084031024701E-3</v>
      </c>
      <c r="C1285" s="7">
        <f>'Price Data'!C1286/'Price Data'!C1285-1</f>
        <v>8.640850476391293E-4</v>
      </c>
      <c r="D1285" s="7">
        <f>'Price Data'!D1286/'Price Data'!D1285-1</f>
        <v>1.4369932755120995E-2</v>
      </c>
      <c r="E1285" s="7">
        <f>'Price Data'!E1286/'Price Data'!E1285-1</f>
        <v>3.1785927139618142E-3</v>
      </c>
    </row>
    <row r="1286" spans="1:5" ht="15" customHeight="1" x14ac:dyDescent="0.2">
      <c r="A1286" s="4" t="s">
        <v>1288</v>
      </c>
      <c r="B1286" s="7">
        <f>'Price Data'!B1287/'Price Data'!B1286-1</f>
        <v>1.247565969610509E-3</v>
      </c>
      <c r="C1286" s="7">
        <f>'Price Data'!C1287/'Price Data'!C1286-1</f>
        <v>-1.9182007812357238E-4</v>
      </c>
      <c r="D1286" s="7">
        <f>'Price Data'!D1287/'Price Data'!D1286-1</f>
        <v>9.5148024760300931E-3</v>
      </c>
      <c r="E1286" s="7">
        <f>'Price Data'!E1287/'Price Data'!E1286-1</f>
        <v>9.9081095803033037E-5</v>
      </c>
    </row>
    <row r="1287" spans="1:5" ht="15" customHeight="1" x14ac:dyDescent="0.2">
      <c r="A1287" s="4" t="s">
        <v>1289</v>
      </c>
      <c r="B1287" s="7">
        <f>'Price Data'!B1288/'Price Data'!B1287-1</f>
        <v>5.2214074974923363E-3</v>
      </c>
      <c r="C1287" s="7">
        <f>'Price Data'!C1288/'Price Data'!C1287-1</f>
        <v>1.1513643701313026E-3</v>
      </c>
      <c r="D1287" s="7">
        <f>'Price Data'!D1288/'Price Data'!D1287-1</f>
        <v>-1.172898380903431E-2</v>
      </c>
      <c r="E1287" s="7">
        <f>'Price Data'!E1288/'Price Data'!E1287-1</f>
        <v>-1.3860763226707373E-3</v>
      </c>
    </row>
    <row r="1288" spans="1:5" ht="15" customHeight="1" x14ac:dyDescent="0.2">
      <c r="A1288" s="4" t="s">
        <v>1290</v>
      </c>
      <c r="B1288" s="7">
        <f>'Price Data'!B1289/'Price Data'!B1288-1</f>
        <v>-1.8887571425293403E-3</v>
      </c>
      <c r="C1288" s="7">
        <f>'Price Data'!C1289/'Price Data'!C1288-1</f>
        <v>-2.7793196571975765E-3</v>
      </c>
      <c r="D1288" s="7">
        <f>'Price Data'!D1289/'Price Data'!D1288-1</f>
        <v>-2.1192746920443151E-3</v>
      </c>
      <c r="E1288" s="7">
        <f>'Price Data'!E1289/'Price Data'!E1288-1</f>
        <v>1.9818686321881884E-4</v>
      </c>
    </row>
    <row r="1289" spans="1:5" ht="15" customHeight="1" x14ac:dyDescent="0.2">
      <c r="A1289" s="4" t="s">
        <v>1291</v>
      </c>
      <c r="B1289" s="7">
        <f>'Price Data'!B1290/'Price Data'!B1289-1</f>
        <v>6.1503263624682614E-3</v>
      </c>
      <c r="C1289" s="7">
        <f>'Price Data'!C1290/'Price Data'!C1289-1</f>
        <v>8.1691015567377789E-3</v>
      </c>
      <c r="D1289" s="7">
        <f>'Price Data'!D1290/'Price Data'!D1289-1</f>
        <v>7.5394445257184195E-3</v>
      </c>
      <c r="E1289" s="7">
        <f>'Price Data'!E1290/'Price Data'!E1289-1</f>
        <v>1.9830137456811059E-4</v>
      </c>
    </row>
    <row r="1290" spans="1:5" ht="15" customHeight="1" x14ac:dyDescent="0.2">
      <c r="A1290" s="4" t="s">
        <v>1292</v>
      </c>
      <c r="B1290" s="7">
        <f>'Price Data'!B1291/'Price Data'!B1290-1</f>
        <v>-1.1196974320377917E-2</v>
      </c>
      <c r="C1290" s="7">
        <f>'Price Data'!C1291/'Price Data'!C1290-1</f>
        <v>-4.0991442797092548E-3</v>
      </c>
      <c r="D1290" s="7">
        <f>'Price Data'!D1291/'Price Data'!D1290-1</f>
        <v>1.0551714469220208E-4</v>
      </c>
      <c r="E1290" s="7">
        <f>'Price Data'!E1291/'Price Data'!E1290-1</f>
        <v>1.9821593359679035E-3</v>
      </c>
    </row>
    <row r="1291" spans="1:5" ht="15" customHeight="1" x14ac:dyDescent="0.2">
      <c r="A1291" s="4" t="s">
        <v>1293</v>
      </c>
      <c r="B1291" s="7">
        <f>'Price Data'!B1292/'Price Data'!B1291-1</f>
        <v>8.1733431649855248E-3</v>
      </c>
      <c r="C1291" s="7">
        <f>'Price Data'!C1292/'Price Data'!C1291-1</f>
        <v>1.8187239095339702E-3</v>
      </c>
      <c r="D1291" s="7">
        <f>'Price Data'!D1292/'Price Data'!D1291-1</f>
        <v>2.5291930708370991E-3</v>
      </c>
      <c r="E1291" s="7">
        <f>'Price Data'!E1292/'Price Data'!E1291-1</f>
        <v>-9.8896562941930277E-5</v>
      </c>
    </row>
    <row r="1292" spans="1:5" ht="15" customHeight="1" x14ac:dyDescent="0.2">
      <c r="A1292" s="4" t="s">
        <v>1294</v>
      </c>
      <c r="B1292" s="7">
        <f>'Price Data'!B1293/'Price Data'!B1292-1</f>
        <v>7.7237794440914165E-3</v>
      </c>
      <c r="C1292" s="7">
        <f>'Price Data'!C1293/'Price Data'!C1292-1</f>
        <v>9.5548105910316927E-3</v>
      </c>
      <c r="D1292" s="7">
        <f>'Price Data'!D1293/'Price Data'!D1292-1</f>
        <v>-2.7330467571535788E-3</v>
      </c>
      <c r="E1292" s="7">
        <f>'Price Data'!E1293/'Price Data'!E1292-1</f>
        <v>-4.9460845326165792E-4</v>
      </c>
    </row>
    <row r="1293" spans="1:5" ht="15" customHeight="1" x14ac:dyDescent="0.2">
      <c r="A1293" s="4" t="s">
        <v>1295</v>
      </c>
      <c r="B1293" s="7">
        <f>'Price Data'!B1294/'Price Data'!B1293-1</f>
        <v>-3.9200386129978337E-3</v>
      </c>
      <c r="C1293" s="7">
        <f>'Price Data'!C1294/'Price Data'!C1293-1</f>
        <v>-8.518829738423106E-4</v>
      </c>
      <c r="D1293" s="7">
        <f>'Price Data'!D1294/'Price Data'!D1293-1</f>
        <v>6.8513829284968519E-3</v>
      </c>
      <c r="E1293" s="7">
        <f>'Price Data'!E1294/'Price Data'!E1293-1</f>
        <v>1.5835149240928104E-3</v>
      </c>
    </row>
    <row r="1294" spans="1:5" ht="15" customHeight="1" x14ac:dyDescent="0.2">
      <c r="A1294" s="4" t="s">
        <v>1296</v>
      </c>
      <c r="B1294" s="7">
        <f>'Price Data'!B1295/'Price Data'!B1294-1</f>
        <v>-5.051563384208424E-3</v>
      </c>
      <c r="C1294" s="7">
        <f>'Price Data'!C1295/'Price Data'!C1294-1</f>
        <v>-1.799773508687319E-3</v>
      </c>
      <c r="D1294" s="7">
        <f>'Price Data'!D1295/'Price Data'!D1294-1</f>
        <v>1.7798996428473046E-3</v>
      </c>
      <c r="E1294" s="7">
        <f>'Price Data'!E1295/'Price Data'!E1294-1</f>
        <v>1.9762833731589158E-3</v>
      </c>
    </row>
    <row r="1295" spans="1:5" ht="15" customHeight="1" x14ac:dyDescent="0.2">
      <c r="A1295" s="4" t="s">
        <v>1297</v>
      </c>
      <c r="B1295" s="7">
        <f>'Price Data'!B1296/'Price Data'!B1295-1</f>
        <v>1.0332229996288245E-3</v>
      </c>
      <c r="C1295" s="7">
        <f>'Price Data'!C1296/'Price Data'!C1295-1</f>
        <v>-1.9738037204420911E-2</v>
      </c>
      <c r="D1295" s="7">
        <f>'Price Data'!D1296/'Price Data'!D1295-1</f>
        <v>2.5080479953172308E-3</v>
      </c>
      <c r="E1295" s="7">
        <f>'Price Data'!E1296/'Price Data'!E1295-1</f>
        <v>-3.9966353785843012E-3</v>
      </c>
    </row>
    <row r="1296" spans="1:5" ht="15" customHeight="1" x14ac:dyDescent="0.2">
      <c r="A1296" s="4" t="s">
        <v>1298</v>
      </c>
      <c r="B1296" s="7">
        <f>'Price Data'!B1297/'Price Data'!B1296-1</f>
        <v>-9.9964647212240632E-3</v>
      </c>
      <c r="C1296" s="7">
        <f>'Price Data'!C1297/'Price Data'!C1296-1</f>
        <v>-3.1074553058580534E-2</v>
      </c>
      <c r="D1296" s="7">
        <f>'Price Data'!D1297/'Price Data'!D1296-1</f>
        <v>-5.3164712571756034E-3</v>
      </c>
      <c r="E1296" s="7">
        <f>'Price Data'!E1297/'Price Data'!E1296-1</f>
        <v>-1.0926825521783146E-3</v>
      </c>
    </row>
    <row r="1297" spans="1:5" ht="15" customHeight="1" x14ac:dyDescent="0.2">
      <c r="A1297" s="4" t="s">
        <v>1299</v>
      </c>
      <c r="B1297" s="7">
        <f>'Price Data'!B1298/'Price Data'!B1297-1</f>
        <v>7.3273133659848E-3</v>
      </c>
      <c r="C1297" s="7">
        <f>'Price Data'!C1298/'Price Data'!C1297-1</f>
        <v>1.2888407402179114E-2</v>
      </c>
      <c r="D1297" s="7">
        <f>'Price Data'!D1298/'Price Data'!D1297-1</f>
        <v>1.2575725621237765E-3</v>
      </c>
      <c r="E1297" s="7">
        <f>'Price Data'!E1298/'Price Data'!E1297-1</f>
        <v>-3.9758502656817019E-4</v>
      </c>
    </row>
    <row r="1298" spans="1:5" ht="15" customHeight="1" x14ac:dyDescent="0.2">
      <c r="A1298" s="4" t="s">
        <v>1300</v>
      </c>
      <c r="B1298" s="7">
        <f>'Price Data'!B1299/'Price Data'!B1298-1</f>
        <v>-6.4755949178202377E-3</v>
      </c>
      <c r="C1298" s="7">
        <f>'Price Data'!C1299/'Price Data'!C1298-1</f>
        <v>-2.1897736562690673E-2</v>
      </c>
      <c r="D1298" s="7">
        <f>'Price Data'!D1299/'Price Data'!D1298-1</f>
        <v>-1.0048107318768484E-2</v>
      </c>
      <c r="E1298" s="7">
        <f>'Price Data'!E1299/'Price Data'!E1298-1</f>
        <v>-2.8847340158937307E-3</v>
      </c>
    </row>
    <row r="1299" spans="1:5" ht="15" customHeight="1" x14ac:dyDescent="0.2">
      <c r="A1299" s="4" t="s">
        <v>1301</v>
      </c>
      <c r="B1299" s="7">
        <f>'Price Data'!B1300/'Price Data'!B1299-1</f>
        <v>-1.3660684157178693E-2</v>
      </c>
      <c r="C1299" s="7">
        <f>'Price Data'!C1300/'Price Data'!C1299-1</f>
        <v>-8.8746593102473348E-3</v>
      </c>
      <c r="D1299" s="7">
        <f>'Price Data'!D1300/'Price Data'!D1299-1</f>
        <v>-1.0890236916463181E-2</v>
      </c>
      <c r="E1299" s="7">
        <f>'Price Data'!E1300/'Price Data'!E1299-1</f>
        <v>-1.1970673008233623E-3</v>
      </c>
    </row>
    <row r="1300" spans="1:5" ht="15" customHeight="1" x14ac:dyDescent="0.2">
      <c r="A1300" s="4" t="s">
        <v>1302</v>
      </c>
      <c r="B1300" s="7">
        <f>'Price Data'!B1301/'Price Data'!B1300-1</f>
        <v>8.6599171665733277E-3</v>
      </c>
      <c r="C1300" s="7">
        <f>'Price Data'!C1301/'Price Data'!C1300-1</f>
        <v>7.2243035374581765E-3</v>
      </c>
      <c r="D1300" s="7">
        <f>'Price Data'!D1301/'Price Data'!D1300-1</f>
        <v>2.2447850075366649E-3</v>
      </c>
      <c r="E1300" s="7">
        <f>'Price Data'!E1301/'Price Data'!E1300-1</f>
        <v>3.1961340240023173E-3</v>
      </c>
    </row>
    <row r="1301" spans="1:5" ht="15" customHeight="1" x14ac:dyDescent="0.2">
      <c r="A1301" s="4" t="s">
        <v>1303</v>
      </c>
      <c r="B1301" s="7">
        <f>'Price Data'!B1302/'Price Data'!B1301-1</f>
        <v>-2.3034201288610889E-3</v>
      </c>
      <c r="C1301" s="7">
        <f>'Price Data'!C1302/'Price Data'!C1301-1</f>
        <v>2.3234718809559407E-3</v>
      </c>
      <c r="D1301" s="7">
        <f>'Price Data'!D1302/'Price Data'!D1301-1</f>
        <v>-1.493143833963817E-3</v>
      </c>
      <c r="E1301" s="7">
        <f>'Price Data'!E1302/'Price Data'!E1301-1</f>
        <v>-3.2856494077048159E-3</v>
      </c>
    </row>
    <row r="1302" spans="1:5" ht="15" customHeight="1" x14ac:dyDescent="0.2">
      <c r="A1302" s="4" t="s">
        <v>1304</v>
      </c>
      <c r="B1302" s="7">
        <f>'Price Data'!B1303/'Price Data'!B1302-1</f>
        <v>-8.0971533203866297E-4</v>
      </c>
      <c r="C1302" s="7">
        <f>'Price Data'!C1303/'Price Data'!C1302-1</f>
        <v>-2.1164826239640222E-3</v>
      </c>
      <c r="D1302" s="7">
        <f>'Price Data'!D1303/'Price Data'!D1302-1</f>
        <v>-1.0361031632903139E-2</v>
      </c>
      <c r="E1302" s="7">
        <f>'Price Data'!E1303/'Price Data'!E1302-1</f>
        <v>-4.4950251167591437E-3</v>
      </c>
    </row>
    <row r="1303" spans="1:5" ht="15" customHeight="1" x14ac:dyDescent="0.2">
      <c r="A1303" s="4" t="s">
        <v>1305</v>
      </c>
      <c r="B1303" s="7">
        <f>'Price Data'!B1304/'Price Data'!B1303-1</f>
        <v>-1.5964300168753387E-2</v>
      </c>
      <c r="C1303" s="7">
        <f>'Price Data'!C1304/'Price Data'!C1303-1</f>
        <v>-1.5655003018721247E-2</v>
      </c>
      <c r="D1303" s="7">
        <f>'Price Data'!D1304/'Price Data'!D1303-1</f>
        <v>-6.9077450721847233E-3</v>
      </c>
      <c r="E1303" s="7">
        <f>'Price Data'!E1304/'Price Data'!E1303-1</f>
        <v>-3.7125805185153071E-3</v>
      </c>
    </row>
    <row r="1304" spans="1:5" ht="15" customHeight="1" x14ac:dyDescent="0.2">
      <c r="A1304" s="4" t="s">
        <v>1306</v>
      </c>
      <c r="B1304" s="7">
        <f>'Price Data'!B1305/'Price Data'!B1304-1</f>
        <v>-5.4587585432072094E-3</v>
      </c>
      <c r="C1304" s="7">
        <f>'Price Data'!C1305/'Price Data'!C1304-1</f>
        <v>-1.1902319471216116E-2</v>
      </c>
      <c r="D1304" s="7">
        <f>'Price Data'!D1305/'Price Data'!D1304-1</f>
        <v>1.6302668428005429E-3</v>
      </c>
      <c r="E1304" s="7">
        <f>'Price Data'!E1305/'Price Data'!E1304-1</f>
        <v>-8.0573242876758044E-4</v>
      </c>
    </row>
    <row r="1305" spans="1:5" ht="15" customHeight="1" x14ac:dyDescent="0.2">
      <c r="A1305" s="4" t="s">
        <v>1307</v>
      </c>
      <c r="B1305" s="7">
        <f>'Price Data'!B1306/'Price Data'!B1305-1</f>
        <v>1.0210591568335481E-2</v>
      </c>
      <c r="C1305" s="7">
        <f>'Price Data'!C1306/'Price Data'!C1305-1</f>
        <v>1.8691564716566633E-2</v>
      </c>
      <c r="D1305" s="7">
        <f>'Price Data'!D1306/'Price Data'!D1305-1</f>
        <v>8.3550764859281479E-3</v>
      </c>
      <c r="E1305" s="7">
        <f>'Price Data'!E1306/'Price Data'!E1305-1</f>
        <v>3.9309766179571604E-3</v>
      </c>
    </row>
    <row r="1306" spans="1:5" ht="15" customHeight="1" x14ac:dyDescent="0.2">
      <c r="A1306" s="4" t="s">
        <v>1308</v>
      </c>
      <c r="B1306" s="7">
        <f>'Price Data'!B1307/'Price Data'!B1306-1</f>
        <v>3.3692539640857166E-3</v>
      </c>
      <c r="C1306" s="7">
        <f>'Price Data'!C1307/'Price Data'!C1306-1</f>
        <v>2.752361201052933E-3</v>
      </c>
      <c r="D1306" s="7">
        <f>'Price Data'!D1307/'Price Data'!D1306-1</f>
        <v>4.4117915414472186E-3</v>
      </c>
      <c r="E1306" s="7">
        <f>'Price Data'!E1307/'Price Data'!E1306-1</f>
        <v>2.0080617487725494E-3</v>
      </c>
    </row>
    <row r="1307" spans="1:5" ht="15" customHeight="1" x14ac:dyDescent="0.2">
      <c r="A1307" s="4" t="s">
        <v>1309</v>
      </c>
      <c r="B1307" s="7">
        <f>'Price Data'!B1308/'Price Data'!B1307-1</f>
        <v>-1.3764155687837398E-2</v>
      </c>
      <c r="C1307" s="7">
        <f>'Price Data'!C1308/'Price Data'!C1307-1</f>
        <v>-1.7078402085986766E-2</v>
      </c>
      <c r="D1307" s="7">
        <f>'Price Data'!D1308/'Price Data'!D1307-1</f>
        <v>-1.4784526738214954E-2</v>
      </c>
      <c r="E1307" s="7">
        <f>'Price Data'!E1308/'Price Data'!E1307-1</f>
        <v>-4.208362566143875E-3</v>
      </c>
    </row>
    <row r="1308" spans="1:5" ht="15" customHeight="1" x14ac:dyDescent="0.2">
      <c r="A1308" s="4" t="s">
        <v>1310</v>
      </c>
      <c r="B1308" s="7">
        <f>'Price Data'!B1309/'Price Data'!B1308-1</f>
        <v>-1.7789623087115514E-3</v>
      </c>
      <c r="C1308" s="7">
        <f>'Price Data'!C1309/'Price Data'!C1308-1</f>
        <v>-1.7582661392616661E-3</v>
      </c>
      <c r="D1308" s="7">
        <f>'Price Data'!D1309/'Price Data'!D1308-1</f>
        <v>-4.0236182653294872E-3</v>
      </c>
      <c r="E1308" s="7">
        <f>'Price Data'!E1309/'Price Data'!E1308-1</f>
        <v>1.1068204258743997E-3</v>
      </c>
    </row>
    <row r="1309" spans="1:5" ht="15" customHeight="1" x14ac:dyDescent="0.2">
      <c r="A1309" s="4" t="s">
        <v>1311</v>
      </c>
      <c r="B1309" s="7">
        <f>'Price Data'!B1310/'Price Data'!B1309-1</f>
        <v>-1.5671182704587894E-2</v>
      </c>
      <c r="C1309" s="7">
        <f>'Price Data'!C1310/'Price Data'!C1309-1</f>
        <v>-3.0356373310370777E-2</v>
      </c>
      <c r="D1309" s="7">
        <f>'Price Data'!D1310/'Price Data'!D1309-1</f>
        <v>-3.1007636061834543E-2</v>
      </c>
      <c r="E1309" s="7">
        <f>'Price Data'!E1310/'Price Data'!E1309-1</f>
        <v>-8.3425336857251287E-3</v>
      </c>
    </row>
    <row r="1310" spans="1:5" ht="15" customHeight="1" x14ac:dyDescent="0.2">
      <c r="A1310" s="4" t="s">
        <v>1312</v>
      </c>
      <c r="B1310" s="7">
        <f>'Price Data'!B1311/'Price Data'!B1310-1</f>
        <v>1.2018474419889458E-2</v>
      </c>
      <c r="C1310" s="7">
        <f>'Price Data'!C1311/'Price Data'!C1310-1</f>
        <v>2.4040958160334025E-2</v>
      </c>
      <c r="D1310" s="7">
        <f>'Price Data'!D1311/'Price Data'!D1310-1</f>
        <v>7.7746216072092089E-3</v>
      </c>
      <c r="E1310" s="7">
        <f>'Price Data'!E1311/'Price Data'!E1310-1</f>
        <v>3.7502889133229633E-3</v>
      </c>
    </row>
    <row r="1311" spans="1:5" ht="15" customHeight="1" x14ac:dyDescent="0.2">
      <c r="A1311" s="4" t="s">
        <v>1313</v>
      </c>
      <c r="B1311" s="7">
        <f>'Price Data'!B1312/'Price Data'!B1311-1</f>
        <v>-3.1153922461324424E-3</v>
      </c>
      <c r="C1311" s="7">
        <f>'Price Data'!C1312/'Price Data'!C1311-1</f>
        <v>-5.9473971494992117E-3</v>
      </c>
      <c r="D1311" s="7">
        <f>'Price Data'!D1312/'Price Data'!D1311-1</f>
        <v>-6.599294035481984E-3</v>
      </c>
      <c r="E1311" s="7">
        <f>'Price Data'!E1312/'Price Data'!E1311-1</f>
        <v>-2.7263498559012556E-3</v>
      </c>
    </row>
    <row r="1312" spans="1:5" ht="15" customHeight="1" x14ac:dyDescent="0.2">
      <c r="A1312" s="4" t="s">
        <v>1314</v>
      </c>
      <c r="B1312" s="7">
        <f>'Price Data'!B1313/'Price Data'!B1312-1</f>
        <v>6.0956007861228123E-3</v>
      </c>
      <c r="C1312" s="7">
        <f>'Price Data'!C1313/'Price Data'!C1312-1</f>
        <v>1.4590200381478624E-2</v>
      </c>
      <c r="D1312" s="7">
        <f>'Price Data'!D1313/'Price Data'!D1312-1</f>
        <v>-7.9636710912855957E-4</v>
      </c>
      <c r="E1312" s="7">
        <f>'Price Data'!E1313/'Price Data'!E1312-1</f>
        <v>3.5437812124397006E-3</v>
      </c>
    </row>
    <row r="1313" spans="1:5" ht="15" customHeight="1" x14ac:dyDescent="0.2">
      <c r="A1313" s="4" t="s">
        <v>1315</v>
      </c>
      <c r="B1313" s="7">
        <f>'Price Data'!B1314/'Price Data'!B1313-1</f>
        <v>-1.7222820541730077E-2</v>
      </c>
      <c r="C1313" s="7">
        <f>'Price Data'!C1314/'Price Data'!C1313-1</f>
        <v>-2.0691055267872738E-2</v>
      </c>
      <c r="D1313" s="7">
        <f>'Price Data'!D1314/'Price Data'!D1313-1</f>
        <v>-1.3660134452876393E-3</v>
      </c>
      <c r="E1313" s="7">
        <f>'Price Data'!E1314/'Price Data'!E1313-1</f>
        <v>-5.6502147268840952E-3</v>
      </c>
    </row>
    <row r="1314" spans="1:5" ht="15" customHeight="1" x14ac:dyDescent="0.2">
      <c r="A1314" s="4" t="s">
        <v>1316</v>
      </c>
      <c r="B1314" s="7">
        <f>'Price Data'!B1315/'Price Data'!B1314-1</f>
        <v>-1.7146295035024628E-2</v>
      </c>
      <c r="C1314" s="7">
        <f>'Price Data'!C1315/'Price Data'!C1314-1</f>
        <v>-9.0851511659248985E-3</v>
      </c>
      <c r="D1314" s="7">
        <f>'Price Data'!D1315/'Price Data'!D1314-1</f>
        <v>-8.2079938707646516E-3</v>
      </c>
      <c r="E1314" s="7">
        <f>'Price Data'!E1315/'Price Data'!E1314-1</f>
        <v>-1.0153166877968633E-4</v>
      </c>
    </row>
    <row r="1315" spans="1:5" ht="15" customHeight="1" x14ac:dyDescent="0.2">
      <c r="A1315" s="4" t="s">
        <v>1317</v>
      </c>
      <c r="B1315" s="7">
        <f>'Price Data'!B1316/'Price Data'!B1315-1</f>
        <v>-4.5034626906617081E-3</v>
      </c>
      <c r="C1315" s="7">
        <f>'Price Data'!C1316/'Price Data'!C1315-1</f>
        <v>2.8783701271493101E-3</v>
      </c>
      <c r="D1315" s="7">
        <f>'Price Data'!D1316/'Price Data'!D1315-1</f>
        <v>3.7931164437905451E-3</v>
      </c>
      <c r="E1315" s="7">
        <f>'Price Data'!E1316/'Price Data'!E1315-1</f>
        <v>5.0741170124561918E-3</v>
      </c>
    </row>
    <row r="1316" spans="1:5" ht="15" customHeight="1" x14ac:dyDescent="0.2">
      <c r="A1316" s="4" t="s">
        <v>1318</v>
      </c>
      <c r="B1316" s="7">
        <f>'Price Data'!B1317/'Price Data'!B1316-1</f>
        <v>2.9292891205238369E-2</v>
      </c>
      <c r="C1316" s="7">
        <f>'Price Data'!C1317/'Price Data'!C1316-1</f>
        <v>3.2528944335936449E-2</v>
      </c>
      <c r="D1316" s="7">
        <f>'Price Data'!D1317/'Price Data'!D1316-1</f>
        <v>1.5687555027934286E-2</v>
      </c>
      <c r="E1316" s="7">
        <f>'Price Data'!E1317/'Price Data'!E1316-1</f>
        <v>2.3222695531599502E-3</v>
      </c>
    </row>
    <row r="1317" spans="1:5" ht="15" customHeight="1" x14ac:dyDescent="0.2">
      <c r="A1317" s="4" t="s">
        <v>1319</v>
      </c>
      <c r="B1317" s="7">
        <f>'Price Data'!B1318/'Price Data'!B1317-1</f>
        <v>7.5744956902905614E-3</v>
      </c>
      <c r="C1317" s="7">
        <f>'Price Data'!C1318/'Price Data'!C1317-1</f>
        <v>1.523742012794016E-2</v>
      </c>
      <c r="D1317" s="7">
        <f>'Price Data'!D1318/'Price Data'!D1317-1</f>
        <v>3.6077025060246015E-3</v>
      </c>
      <c r="E1317" s="7">
        <f>'Price Data'!E1318/'Price Data'!E1317-1</f>
        <v>6.7721335196169186E-4</v>
      </c>
    </row>
    <row r="1318" spans="1:5" ht="15" customHeight="1" x14ac:dyDescent="0.2">
      <c r="A1318" s="4" t="s">
        <v>1320</v>
      </c>
      <c r="B1318" s="7">
        <f>'Price Data'!B1319/'Price Data'!B1318-1</f>
        <v>1.6087605347971934E-3</v>
      </c>
      <c r="C1318" s="7">
        <f>'Price Data'!C1319/'Price Data'!C1318-1</f>
        <v>-6.1860320905969823E-3</v>
      </c>
      <c r="D1318" s="7">
        <f>'Price Data'!D1319/'Price Data'!D1318-1</f>
        <v>1.359249792885886E-2</v>
      </c>
      <c r="E1318" s="7">
        <f>'Price Data'!E1319/'Price Data'!E1318-1</f>
        <v>2.3232609909644708E-3</v>
      </c>
    </row>
    <row r="1319" spans="1:5" ht="15" customHeight="1" x14ac:dyDescent="0.2">
      <c r="A1319" s="4" t="s">
        <v>1321</v>
      </c>
      <c r="B1319" s="7">
        <f>'Price Data'!B1320/'Price Data'!B1319-1</f>
        <v>4.478596191647144E-3</v>
      </c>
      <c r="C1319" s="7">
        <f>'Price Data'!C1320/'Price Data'!C1319-1</f>
        <v>5.0000173982418517E-3</v>
      </c>
      <c r="D1319" s="7">
        <f>'Price Data'!D1320/'Price Data'!D1319-1</f>
        <v>1.4407208619962031E-3</v>
      </c>
      <c r="E1319" s="7">
        <f>'Price Data'!E1320/'Price Data'!E1319-1</f>
        <v>-1.8138548189239323E-3</v>
      </c>
    </row>
    <row r="1320" spans="1:5" ht="15" customHeight="1" x14ac:dyDescent="0.2">
      <c r="A1320" s="4" t="s">
        <v>1322</v>
      </c>
      <c r="B1320" s="7">
        <f>'Price Data'!B1321/'Price Data'!B1320-1</f>
        <v>6.7645939196925298E-4</v>
      </c>
      <c r="C1320" s="7">
        <f>'Price Data'!C1321/'Price Data'!C1320-1</f>
        <v>-1.4215252363819486E-3</v>
      </c>
      <c r="D1320" s="7">
        <f>'Price Data'!D1321/'Price Data'!D1320-1</f>
        <v>1.4386481715622512E-3</v>
      </c>
      <c r="E1320" s="7">
        <f>'Price Data'!E1321/'Price Data'!E1320-1</f>
        <v>1.2113042406625141E-3</v>
      </c>
    </row>
    <row r="1321" spans="1:5" ht="15" customHeight="1" x14ac:dyDescent="0.2">
      <c r="A1321" s="4" t="s">
        <v>1323</v>
      </c>
      <c r="B1321" s="7">
        <f>'Price Data'!B1322/'Price Data'!B1321-1</f>
        <v>2.5412619439499906E-2</v>
      </c>
      <c r="C1321" s="7">
        <f>'Price Data'!C1322/'Price Data'!C1321-1</f>
        <v>3.9044323944711579E-2</v>
      </c>
      <c r="D1321" s="7">
        <f>'Price Data'!D1322/'Price Data'!D1321-1</f>
        <v>1.8013149185537536E-2</v>
      </c>
      <c r="E1321" s="7">
        <f>'Price Data'!E1322/'Price Data'!E1321-1</f>
        <v>2.6218742173320653E-3</v>
      </c>
    </row>
    <row r="1322" spans="1:5" ht="15" customHeight="1" x14ac:dyDescent="0.2">
      <c r="A1322" s="4" t="s">
        <v>1324</v>
      </c>
      <c r="B1322" s="7">
        <f>'Price Data'!B1323/'Price Data'!B1322-1</f>
        <v>5.2442751830208412E-3</v>
      </c>
      <c r="C1322" s="7">
        <f>'Price Data'!C1323/'Price Data'!C1322-1</f>
        <v>-2.3486239867939185E-3</v>
      </c>
      <c r="D1322" s="7">
        <f>'Price Data'!D1323/'Price Data'!D1322-1</f>
        <v>7.164508566396055E-3</v>
      </c>
      <c r="E1322" s="7">
        <f>'Price Data'!E1323/'Price Data'!E1322-1</f>
        <v>6.034537613435198E-4</v>
      </c>
    </row>
    <row r="1323" spans="1:5" ht="15" customHeight="1" x14ac:dyDescent="0.2">
      <c r="A1323" s="4" t="s">
        <v>1325</v>
      </c>
      <c r="B1323" s="7">
        <f>'Price Data'!B1324/'Price Data'!B1323-1</f>
        <v>-1.1925553017759771E-3</v>
      </c>
      <c r="C1323" s="7">
        <f>'Price Data'!C1324/'Price Data'!C1323-1</f>
        <v>2.2560126191268903E-3</v>
      </c>
      <c r="D1323" s="7">
        <f>'Price Data'!D1324/'Price Data'!D1323-1</f>
        <v>2.1556896361072386E-3</v>
      </c>
      <c r="E1323" s="7">
        <f>'Price Data'!E1324/'Price Data'!E1323-1</f>
        <v>-1.7087286833969983E-3</v>
      </c>
    </row>
    <row r="1324" spans="1:5" ht="15" customHeight="1" x14ac:dyDescent="0.2">
      <c r="A1324" s="4" t="s">
        <v>1326</v>
      </c>
      <c r="B1324" s="7">
        <f>'Price Data'!B1325/'Price Data'!B1324-1</f>
        <v>1.0804456608847879E-2</v>
      </c>
      <c r="C1324" s="7">
        <f>'Price Data'!C1325/'Price Data'!C1324-1</f>
        <v>6.1655899569070804E-3</v>
      </c>
      <c r="D1324" s="7">
        <f>'Price Data'!D1325/'Price Data'!D1324-1</f>
        <v>3.7642179438641676E-3</v>
      </c>
      <c r="E1324" s="7">
        <f>'Price Data'!E1325/'Price Data'!E1324-1</f>
        <v>2.0136368965442131E-3</v>
      </c>
    </row>
    <row r="1325" spans="1:5" ht="15" customHeight="1" x14ac:dyDescent="0.2">
      <c r="A1325" s="4" t="s">
        <v>1327</v>
      </c>
      <c r="B1325" s="7">
        <f>'Price Data'!B1326/'Price Data'!B1325-1</f>
        <v>1.1751801150002406E-2</v>
      </c>
      <c r="C1325" s="7">
        <f>'Price Data'!C1326/'Price Data'!C1325-1</f>
        <v>8.0731420107833518E-3</v>
      </c>
      <c r="D1325" s="7">
        <f>'Price Data'!D1326/'Price Data'!D1325-1</f>
        <v>9.5360648968656481E-3</v>
      </c>
      <c r="E1325" s="7">
        <f>'Price Data'!E1326/'Price Data'!E1325-1</f>
        <v>2.6125758135993049E-3</v>
      </c>
    </row>
    <row r="1326" spans="1:5" ht="15" customHeight="1" x14ac:dyDescent="0.2">
      <c r="A1326" s="4" t="s">
        <v>1328</v>
      </c>
      <c r="B1326" s="7">
        <f>'Price Data'!B1327/'Price Data'!B1326-1</f>
        <v>7.5586718174303069E-3</v>
      </c>
      <c r="C1326" s="7">
        <f>'Price Data'!C1327/'Price Data'!C1326-1</f>
        <v>-3.1841022813157149E-3</v>
      </c>
      <c r="D1326" s="7">
        <f>'Price Data'!D1327/'Price Data'!D1326-1</f>
        <v>7.4295200358598379E-4</v>
      </c>
      <c r="E1326" s="7">
        <f>'Price Data'!E1327/'Price Data'!E1326-1</f>
        <v>-1.6035139213459448E-3</v>
      </c>
    </row>
    <row r="1327" spans="1:5" ht="15" customHeight="1" x14ac:dyDescent="0.2">
      <c r="A1327" s="4" t="s">
        <v>1329</v>
      </c>
      <c r="B1327" s="7">
        <f>'Price Data'!B1328/'Price Data'!B1327-1</f>
        <v>2.2883104506732366E-3</v>
      </c>
      <c r="C1327" s="7">
        <f>'Price Data'!C1328/'Price Data'!C1327-1</f>
        <v>-2.9038778836402157E-3</v>
      </c>
      <c r="D1327" s="7">
        <f>'Price Data'!D1328/'Price Data'!D1327-1</f>
        <v>9.2268252500380399E-3</v>
      </c>
      <c r="E1327" s="7">
        <f>'Price Data'!E1328/'Price Data'!E1327-1</f>
        <v>-1.4053474837107949E-3</v>
      </c>
    </row>
    <row r="1328" spans="1:5" ht="15" customHeight="1" x14ac:dyDescent="0.2">
      <c r="A1328" s="4" t="s">
        <v>1330</v>
      </c>
      <c r="B1328" s="7">
        <f>'Price Data'!B1329/'Price Data'!B1328-1</f>
        <v>1.3004648427922483E-2</v>
      </c>
      <c r="C1328" s="7">
        <f>'Price Data'!C1329/'Price Data'!C1328-1</f>
        <v>1.2717248608252074E-2</v>
      </c>
      <c r="D1328" s="7">
        <f>'Price Data'!D1329/'Price Data'!D1328-1</f>
        <v>1.5973115789216008E-2</v>
      </c>
      <c r="E1328" s="7">
        <f>'Price Data'!E1329/'Price Data'!E1328-1</f>
        <v>3.7192987620535689E-3</v>
      </c>
    </row>
    <row r="1329" spans="1:5" ht="15" customHeight="1" x14ac:dyDescent="0.2">
      <c r="A1329" s="4" t="s">
        <v>1331</v>
      </c>
      <c r="B1329" s="7">
        <f>'Price Data'!B1330/'Price Data'!B1329-1</f>
        <v>-9.1293095627853482E-4</v>
      </c>
      <c r="C1329" s="7">
        <f>'Price Data'!C1330/'Price Data'!C1329-1</f>
        <v>-3.930187355867365E-3</v>
      </c>
      <c r="D1329" s="7">
        <f>'Price Data'!D1330/'Price Data'!D1329-1</f>
        <v>3.6201592093068058E-3</v>
      </c>
      <c r="E1329" s="7">
        <f>'Price Data'!E1330/'Price Data'!E1329-1</f>
        <v>-1.0010112760761025E-4</v>
      </c>
    </row>
    <row r="1330" spans="1:5" ht="15" customHeight="1" x14ac:dyDescent="0.2">
      <c r="A1330" s="4" t="s">
        <v>1332</v>
      </c>
      <c r="B1330" s="7">
        <f>'Price Data'!B1331/'Price Data'!B1330-1</f>
        <v>-6.7673328955032419E-3</v>
      </c>
      <c r="C1330" s="7">
        <f>'Price Data'!C1331/'Price Data'!C1330-1</f>
        <v>-2.1942155617839409E-2</v>
      </c>
      <c r="D1330" s="7">
        <f>'Price Data'!D1331/'Price Data'!D1330-1</f>
        <v>-1.7726465082336995E-2</v>
      </c>
      <c r="E1330" s="7">
        <f>'Price Data'!E1331/'Price Data'!E1330-1</f>
        <v>-3.7059649881132639E-3</v>
      </c>
    </row>
    <row r="1331" spans="1:5" ht="15" customHeight="1" x14ac:dyDescent="0.2">
      <c r="A1331" s="4" t="s">
        <v>1333</v>
      </c>
      <c r="B1331" s="7">
        <f>'Price Data'!B1332/'Price Data'!B1331-1</f>
        <v>9.7170974740021787E-3</v>
      </c>
      <c r="C1331" s="7">
        <f>'Price Data'!C1332/'Price Data'!C1331-1</f>
        <v>3.3455257568015817E-3</v>
      </c>
      <c r="D1331" s="7">
        <f>'Price Data'!D1332/'Price Data'!D1331-1</f>
        <v>-8.2888070620122933E-3</v>
      </c>
      <c r="E1331" s="7">
        <f>'Price Data'!E1332/'Price Data'!E1331-1</f>
        <v>1.4074667867818302E-3</v>
      </c>
    </row>
    <row r="1332" spans="1:5" ht="15" customHeight="1" x14ac:dyDescent="0.2">
      <c r="A1332" s="4" t="s">
        <v>1334</v>
      </c>
      <c r="B1332" s="7">
        <f>'Price Data'!B1333/'Price Data'!B1332-1</f>
        <v>-4.04304165839664E-3</v>
      </c>
      <c r="C1332" s="7">
        <f>'Price Data'!C1333/'Price Data'!C1332-1</f>
        <v>-7.1589667289574388E-3</v>
      </c>
      <c r="D1332" s="7">
        <f>'Price Data'!D1333/'Price Data'!D1332-1</f>
        <v>1.0262458529383789E-2</v>
      </c>
      <c r="E1332" s="7">
        <f>'Price Data'!E1333/'Price Data'!E1332-1</f>
        <v>-1.6063279558000687E-3</v>
      </c>
    </row>
    <row r="1333" spans="1:5" ht="15" customHeight="1" x14ac:dyDescent="0.2">
      <c r="A1333" s="4" t="s">
        <v>1335</v>
      </c>
      <c r="B1333" s="7">
        <f>'Price Data'!B1334/'Price Data'!B1333-1</f>
        <v>6.4322011127662115E-3</v>
      </c>
      <c r="C1333" s="7">
        <f>'Price Data'!C1334/'Price Data'!C1333-1</f>
        <v>5.2350093171480427E-3</v>
      </c>
      <c r="D1333" s="7">
        <f>'Price Data'!D1334/'Price Data'!D1333-1</f>
        <v>-1.9897292699531111E-3</v>
      </c>
      <c r="E1333" s="7">
        <f>'Price Data'!E1334/'Price Data'!E1333-1</f>
        <v>1.4077499162918894E-3</v>
      </c>
    </row>
    <row r="1334" spans="1:5" ht="15" customHeight="1" x14ac:dyDescent="0.2">
      <c r="A1334" s="4" t="s">
        <v>1336</v>
      </c>
      <c r="B1334" s="7">
        <f>'Price Data'!B1335/'Price Data'!B1334-1</f>
        <v>1.36348403030917E-3</v>
      </c>
      <c r="C1334" s="7">
        <f>'Price Data'!C1335/'Price Data'!C1334-1</f>
        <v>-3.8321126332415689E-3</v>
      </c>
      <c r="D1334" s="7">
        <f>'Price Data'!D1335/'Price Data'!D1334-1</f>
        <v>-5.4564571697346409E-3</v>
      </c>
      <c r="E1334" s="7">
        <f>'Price Data'!E1335/'Price Data'!E1334-1</f>
        <v>-1.5060560274816615E-3</v>
      </c>
    </row>
    <row r="1335" spans="1:5" ht="15" customHeight="1" x14ac:dyDescent="0.2">
      <c r="A1335" s="4" t="s">
        <v>1337</v>
      </c>
      <c r="B1335" s="7">
        <f>'Price Data'!B1336/'Price Data'!B1335-1</f>
        <v>-5.389558373093073E-3</v>
      </c>
      <c r="C1335" s="7">
        <f>'Price Data'!C1336/'Price Data'!C1335-1</f>
        <v>-4.1428542815811209E-3</v>
      </c>
      <c r="D1335" s="7">
        <f>'Price Data'!D1336/'Price Data'!D1335-1</f>
        <v>9.1791239002265712E-3</v>
      </c>
      <c r="E1335" s="7">
        <f>'Price Data'!E1336/'Price Data'!E1335-1</f>
        <v>-4.0228787180818237E-4</v>
      </c>
    </row>
    <row r="1336" spans="1:5" ht="15" customHeight="1" x14ac:dyDescent="0.2">
      <c r="A1336" s="4" t="s">
        <v>1338</v>
      </c>
      <c r="B1336" s="7">
        <f>'Price Data'!B1337/'Price Data'!B1336-1</f>
        <v>-1.1979237268925358E-3</v>
      </c>
      <c r="C1336" s="7">
        <f>'Price Data'!C1337/'Price Data'!C1336-1</f>
        <v>-1.0202055211203986E-2</v>
      </c>
      <c r="D1336" s="7">
        <f>'Price Data'!D1337/'Price Data'!D1336-1</f>
        <v>-7.841077622927406E-3</v>
      </c>
      <c r="E1336" s="7">
        <f>'Price Data'!E1337/'Price Data'!E1336-1</f>
        <v>-4.4265598553129282E-3</v>
      </c>
    </row>
    <row r="1337" spans="1:5" ht="15" customHeight="1" x14ac:dyDescent="0.2">
      <c r="A1337" s="4" t="s">
        <v>1339</v>
      </c>
      <c r="B1337" s="7">
        <f>'Price Data'!B1338/'Price Data'!B1337-1</f>
        <v>1.1336071307938456E-2</v>
      </c>
      <c r="C1337" s="7">
        <f>'Price Data'!C1338/'Price Data'!C1337-1</f>
        <v>2.3916735122364585E-2</v>
      </c>
      <c r="D1337" s="7">
        <f>'Price Data'!D1338/'Price Data'!D1337-1</f>
        <v>1.5068544700852282E-2</v>
      </c>
      <c r="E1337" s="7">
        <f>'Price Data'!E1338/'Price Data'!E1337-1</f>
        <v>1.4147202549750215E-3</v>
      </c>
    </row>
    <row r="1338" spans="1:5" ht="15" customHeight="1" x14ac:dyDescent="0.2">
      <c r="A1338" s="4" t="s">
        <v>1340</v>
      </c>
      <c r="B1338" s="7">
        <f>'Price Data'!B1339/'Price Data'!B1338-1</f>
        <v>3.1340729788202903E-3</v>
      </c>
      <c r="C1338" s="7">
        <f>'Price Data'!C1339/'Price Data'!C1338-1</f>
        <v>-2.1500691618450141E-3</v>
      </c>
      <c r="D1338" s="7">
        <f>'Price Data'!D1339/'Price Data'!D1338-1</f>
        <v>-2.8029254420717242E-3</v>
      </c>
      <c r="E1338" s="7">
        <f>'Price Data'!E1339/'Price Data'!E1338-1</f>
        <v>1.3162176821557292E-3</v>
      </c>
    </row>
    <row r="1339" spans="1:5" ht="15" customHeight="1" x14ac:dyDescent="0.2">
      <c r="A1339" s="4" t="s">
        <v>1341</v>
      </c>
      <c r="B1339" s="7">
        <f>'Price Data'!B1340/'Price Data'!B1339-1</f>
        <v>-3.6871325508793795E-3</v>
      </c>
      <c r="C1339" s="7">
        <f>'Price Data'!C1340/'Price Data'!C1339-1</f>
        <v>-1.3712105225604954E-2</v>
      </c>
      <c r="D1339" s="7">
        <f>'Price Data'!D1340/'Price Data'!D1339-1</f>
        <v>-6.2460884828345886E-3</v>
      </c>
      <c r="E1339" s="7">
        <f>'Price Data'!E1340/'Price Data'!E1339-1</f>
        <v>-3.1345471879364872E-3</v>
      </c>
    </row>
    <row r="1340" spans="1:5" ht="15" customHeight="1" x14ac:dyDescent="0.2">
      <c r="A1340" s="4" t="s">
        <v>1342</v>
      </c>
      <c r="B1340" s="7">
        <f>'Price Data'!B1341/'Price Data'!B1340-1</f>
        <v>8.5032379968554839E-3</v>
      </c>
      <c r="C1340" s="7">
        <f>'Price Data'!C1341/'Price Data'!C1340-1</f>
        <v>1.3306897219706126E-2</v>
      </c>
      <c r="D1340" s="7">
        <f>'Price Data'!D1341/'Price Data'!D1340-1</f>
        <v>3.142673659164652E-3</v>
      </c>
      <c r="E1340" s="7">
        <f>'Price Data'!E1341/'Price Data'!E1340-1</f>
        <v>1.825782659412134E-3</v>
      </c>
    </row>
    <row r="1341" spans="1:5" ht="15" customHeight="1" x14ac:dyDescent="0.2">
      <c r="A1341" s="4" t="s">
        <v>1343</v>
      </c>
      <c r="B1341" s="7">
        <f>'Price Data'!B1342/'Price Data'!B1341-1</f>
        <v>1.3641801754841865E-2</v>
      </c>
      <c r="C1341" s="7">
        <f>'Price Data'!C1342/'Price Data'!C1341-1</f>
        <v>2.7146174936230505E-2</v>
      </c>
      <c r="D1341" s="7">
        <f>'Price Data'!D1342/'Price Data'!D1341-1</f>
        <v>1.3888834189734744E-2</v>
      </c>
      <c r="E1341" s="7">
        <f>'Price Data'!E1342/'Price Data'!E1341-1</f>
        <v>4.2523178254341154E-3</v>
      </c>
    </row>
    <row r="1342" spans="1:5" ht="15" customHeight="1" x14ac:dyDescent="0.2">
      <c r="A1342" s="4" t="s">
        <v>1344</v>
      </c>
      <c r="B1342" s="7">
        <f>'Price Data'!B1343/'Price Data'!B1342-1</f>
        <v>-4.5873371462757939E-3</v>
      </c>
      <c r="C1342" s="7">
        <f>'Price Data'!C1343/'Price Data'!C1342-1</f>
        <v>-1.8318795715749681E-2</v>
      </c>
      <c r="D1342" s="7">
        <f>'Price Data'!D1343/'Price Data'!D1342-1</f>
        <v>-7.2097439513513217E-3</v>
      </c>
      <c r="E1342" s="7">
        <f>'Price Data'!E1343/'Price Data'!E1342-1</f>
        <v>-2.4196512103134005E-3</v>
      </c>
    </row>
    <row r="1343" spans="1:5" ht="15" customHeight="1" x14ac:dyDescent="0.2">
      <c r="A1343" s="4" t="s">
        <v>1345</v>
      </c>
      <c r="B1343" s="7">
        <f>'Price Data'!B1344/'Price Data'!B1343-1</f>
        <v>7.4124966575839224E-3</v>
      </c>
      <c r="C1343" s="7">
        <f>'Price Data'!C1344/'Price Data'!C1343-1</f>
        <v>1.0399434645333994E-2</v>
      </c>
      <c r="D1343" s="7">
        <f>'Price Data'!D1344/'Price Data'!D1343-1</f>
        <v>2.3861260222357572E-3</v>
      </c>
      <c r="E1343" s="7">
        <f>'Price Data'!E1344/'Price Data'!E1343-1</f>
        <v>2.3244567845557285E-3</v>
      </c>
    </row>
    <row r="1344" spans="1:5" ht="15" customHeight="1" x14ac:dyDescent="0.2">
      <c r="A1344" s="4" t="s">
        <v>1346</v>
      </c>
      <c r="B1344" s="7">
        <f>'Price Data'!B1345/'Price Data'!B1344-1</f>
        <v>2.0944774382949394E-3</v>
      </c>
      <c r="C1344" s="7">
        <f>'Price Data'!C1345/'Price Data'!C1344-1</f>
        <v>-2.1162256440636629E-3</v>
      </c>
      <c r="D1344" s="7">
        <f>'Price Data'!D1345/'Price Data'!D1344-1</f>
        <v>7.2449741228153286E-4</v>
      </c>
      <c r="E1344" s="7">
        <f>'Price Data'!E1345/'Price Data'!E1344-1</f>
        <v>-2.6215531130132641E-3</v>
      </c>
    </row>
    <row r="1345" spans="1:5" ht="15" customHeight="1" x14ac:dyDescent="0.2">
      <c r="A1345" s="4" t="s">
        <v>1347</v>
      </c>
      <c r="B1345" s="7">
        <f>'Price Data'!B1346/'Price Data'!B1345-1</f>
        <v>-2.3100261075179596E-3</v>
      </c>
      <c r="C1345" s="7">
        <f>'Price Data'!C1346/'Price Data'!C1345-1</f>
        <v>-5.7836827352131248E-3</v>
      </c>
      <c r="D1345" s="7">
        <f>'Price Data'!D1346/'Price Data'!D1345-1</f>
        <v>0</v>
      </c>
      <c r="E1345" s="7">
        <f>'Price Data'!E1346/'Price Data'!E1345-1</f>
        <v>-2.9316480401121447E-3</v>
      </c>
    </row>
    <row r="1346" spans="1:5" ht="15" customHeight="1" x14ac:dyDescent="0.2">
      <c r="A1346" s="4" t="s">
        <v>1348</v>
      </c>
      <c r="B1346" s="7">
        <f>'Price Data'!B1347/'Price Data'!B1346-1</f>
        <v>5.2923090939975825E-3</v>
      </c>
      <c r="C1346" s="7">
        <f>'Price Data'!C1347/'Price Data'!C1346-1</f>
        <v>6.6899501065951217E-3</v>
      </c>
      <c r="D1346" s="7">
        <f>'Price Data'!D1347/'Price Data'!D1346-1</f>
        <v>-8.2739077223114021E-3</v>
      </c>
      <c r="E1346" s="7">
        <f>'Price Data'!E1347/'Price Data'!E1346-1</f>
        <v>4.0556493022059215E-4</v>
      </c>
    </row>
    <row r="1347" spans="1:5" ht="15" customHeight="1" x14ac:dyDescent="0.2">
      <c r="A1347" s="4" t="s">
        <v>1349</v>
      </c>
      <c r="B1347" s="7">
        <f>'Price Data'!B1348/'Price Data'!B1347-1</f>
        <v>7.3757153817910481E-3</v>
      </c>
      <c r="C1347" s="7">
        <f>'Price Data'!C1348/'Price Data'!C1347-1</f>
        <v>-3.5635052752117646E-3</v>
      </c>
      <c r="D1347" s="7">
        <f>'Price Data'!D1348/'Price Data'!D1347-1</f>
        <v>-5.9442880118215635E-3</v>
      </c>
      <c r="E1347" s="7">
        <f>'Price Data'!E1348/'Price Data'!E1347-1</f>
        <v>-3.0397254361158588E-4</v>
      </c>
    </row>
    <row r="1348" spans="1:5" ht="15" customHeight="1" x14ac:dyDescent="0.2">
      <c r="A1348" s="4" t="s">
        <v>1350</v>
      </c>
      <c r="B1348" s="7">
        <f>'Price Data'!B1349/'Price Data'!B1348-1</f>
        <v>-1.2683732141596793E-2</v>
      </c>
      <c r="C1348" s="7">
        <f>'Price Data'!C1349/'Price Data'!C1348-1</f>
        <v>-1.6818132207729652E-2</v>
      </c>
      <c r="D1348" s="7">
        <f>'Price Data'!D1349/'Price Data'!D1348-1</f>
        <v>-1.479221211784798E-2</v>
      </c>
      <c r="E1348" s="7">
        <f>'Price Data'!E1349/'Price Data'!E1348-1</f>
        <v>-6.2856186223245736E-3</v>
      </c>
    </row>
    <row r="1349" spans="1:5" ht="15" customHeight="1" x14ac:dyDescent="0.2">
      <c r="A1349" s="4" t="s">
        <v>1351</v>
      </c>
      <c r="B1349" s="7">
        <f>'Price Data'!B1350/'Price Data'!B1349-1</f>
        <v>-1.047656163583377E-3</v>
      </c>
      <c r="C1349" s="7">
        <f>'Price Data'!C1350/'Price Data'!C1349-1</f>
        <v>9.2411032790298275E-3</v>
      </c>
      <c r="D1349" s="7">
        <f>'Price Data'!D1350/'Price Data'!D1349-1</f>
        <v>1.1713300138860516E-2</v>
      </c>
      <c r="E1349" s="7">
        <f>'Price Data'!E1350/'Price Data'!E1349-1</f>
        <v>-1.0186550211910284E-4</v>
      </c>
    </row>
    <row r="1350" spans="1:5" ht="15" customHeight="1" x14ac:dyDescent="0.2">
      <c r="A1350" s="4" t="s">
        <v>1352</v>
      </c>
      <c r="B1350" s="7">
        <f>'Price Data'!B1351/'Price Data'!B1350-1</f>
        <v>-6.3471757943601714E-3</v>
      </c>
      <c r="C1350" s="7">
        <f>'Price Data'!C1351/'Price Data'!C1350-1</f>
        <v>-7.2083113113523556E-3</v>
      </c>
      <c r="D1350" s="7">
        <f>'Price Data'!D1351/'Price Data'!D1350-1</f>
        <v>2.8417863786724951E-3</v>
      </c>
      <c r="E1350" s="7">
        <f>'Price Data'!E1351/'Price Data'!E1350-1</f>
        <v>-3.8772392514294651E-3</v>
      </c>
    </row>
    <row r="1351" spans="1:5" ht="15" customHeight="1" x14ac:dyDescent="0.2">
      <c r="A1351" s="4" t="s">
        <v>1353</v>
      </c>
      <c r="B1351" s="7">
        <f>'Price Data'!B1352/'Price Data'!B1351-1</f>
        <v>1.147025335742291E-2</v>
      </c>
      <c r="C1351" s="7">
        <f>'Price Data'!C1352/'Price Data'!C1351-1</f>
        <v>1.6679804062948111E-2</v>
      </c>
      <c r="D1351" s="7">
        <f>'Price Data'!D1352/'Price Data'!D1351-1</f>
        <v>1.2699375124602508E-2</v>
      </c>
      <c r="E1351" s="7">
        <f>'Price Data'!E1352/'Price Data'!E1351-1</f>
        <v>6.0432769654994445E-3</v>
      </c>
    </row>
    <row r="1352" spans="1:5" ht="15" customHeight="1" x14ac:dyDescent="0.2">
      <c r="A1352" s="4" t="s">
        <v>1354</v>
      </c>
      <c r="B1352" s="7">
        <f>'Price Data'!B1353/'Price Data'!B1352-1</f>
        <v>2.4712703373246381E-3</v>
      </c>
      <c r="C1352" s="7">
        <f>'Price Data'!C1353/'Price Data'!C1352-1</f>
        <v>5.5008539199330464E-3</v>
      </c>
      <c r="D1352" s="7">
        <f>'Price Data'!D1353/'Price Data'!D1352-1</f>
        <v>1.865492019032633E-3</v>
      </c>
      <c r="E1352" s="7">
        <f>'Price Data'!E1353/'Price Data'!E1352-1</f>
        <v>1.2216953640871164E-3</v>
      </c>
    </row>
    <row r="1353" spans="1:5" ht="15" customHeight="1" x14ac:dyDescent="0.2">
      <c r="A1353" s="4" t="s">
        <v>1355</v>
      </c>
      <c r="B1353" s="7">
        <f>'Price Data'!B1354/'Price Data'!B1353-1</f>
        <v>4.6564011684198103E-3</v>
      </c>
      <c r="C1353" s="7">
        <f>'Price Data'!C1354/'Price Data'!C1353-1</f>
        <v>-2.0155236080573458E-3</v>
      </c>
      <c r="D1353" s="7">
        <f>'Price Data'!D1354/'Price Data'!D1353-1</f>
        <v>1.034472380869067E-3</v>
      </c>
      <c r="E1353" s="7">
        <f>'Price Data'!E1354/'Price Data'!E1353-1</f>
        <v>1.0169022906858505E-3</v>
      </c>
    </row>
    <row r="1354" spans="1:5" ht="15" customHeight="1" x14ac:dyDescent="0.2">
      <c r="A1354" s="4" t="s">
        <v>1356</v>
      </c>
      <c r="B1354" s="7">
        <f>'Price Data'!B1355/'Price Data'!B1354-1</f>
        <v>7.2793185131365679E-3</v>
      </c>
      <c r="C1354" s="7">
        <f>'Price Data'!C1355/'Price Data'!C1354-1</f>
        <v>1.1059767420210642E-2</v>
      </c>
      <c r="D1354" s="7">
        <f>'Price Data'!D1355/'Price Data'!D1354-1</f>
        <v>4.6501957882987277E-3</v>
      </c>
      <c r="E1354" s="7">
        <f>'Price Data'!E1355/'Price Data'!E1354-1</f>
        <v>2.8444339025679444E-3</v>
      </c>
    </row>
    <row r="1355" spans="1:5" ht="15" customHeight="1" x14ac:dyDescent="0.2">
      <c r="A1355" s="4" t="s">
        <v>1357</v>
      </c>
      <c r="B1355" s="7">
        <f>'Price Data'!B1356/'Price Data'!B1355-1</f>
        <v>-2.707149093682526E-4</v>
      </c>
      <c r="C1355" s="7">
        <f>'Price Data'!C1356/'Price Data'!C1355-1</f>
        <v>-3.4243422068690466E-3</v>
      </c>
      <c r="D1355" s="7">
        <f>'Price Data'!D1356/'Price Data'!D1355-1</f>
        <v>-3.0857810395380492E-3</v>
      </c>
      <c r="E1355" s="7">
        <f>'Price Data'!E1356/'Price Data'!E1355-1</f>
        <v>8.1039029909280025E-4</v>
      </c>
    </row>
    <row r="1356" spans="1:5" ht="15" customHeight="1" x14ac:dyDescent="0.2">
      <c r="A1356" s="4" t="s">
        <v>1358</v>
      </c>
      <c r="B1356" s="7">
        <f>'Price Data'!B1357/'Price Data'!B1356-1</f>
        <v>6.2270517759004385E-3</v>
      </c>
      <c r="C1356" s="7">
        <f>'Price Data'!C1357/'Price Data'!C1356-1</f>
        <v>-7.6354681625367959E-4</v>
      </c>
      <c r="D1356" s="7">
        <f>'Price Data'!D1357/'Price Data'!D1356-1</f>
        <v>-3.8175079976131565E-3</v>
      </c>
      <c r="E1356" s="7">
        <f>'Price Data'!E1357/'Price Data'!E1356-1</f>
        <v>2.0241797671891604E-3</v>
      </c>
    </row>
    <row r="1357" spans="1:5" ht="15" customHeight="1" x14ac:dyDescent="0.2">
      <c r="A1357" s="4" t="s">
        <v>1359</v>
      </c>
      <c r="B1357" s="7">
        <f>'Price Data'!B1358/'Price Data'!B1357-1</f>
        <v>2.3678271303375631E-3</v>
      </c>
      <c r="C1357" s="7">
        <f>'Price Data'!C1358/'Price Data'!C1357-1</f>
        <v>1.0507716516450216E-3</v>
      </c>
      <c r="D1357" s="7">
        <f>'Price Data'!D1358/'Price Data'!D1357-1</f>
        <v>-8.8038234640438473E-3</v>
      </c>
      <c r="E1357" s="7">
        <f>'Price Data'!E1358/'Price Data'!E1357-1</f>
        <v>6.0607377155985631E-4</v>
      </c>
    </row>
    <row r="1358" spans="1:5" ht="15" customHeight="1" x14ac:dyDescent="0.2">
      <c r="A1358" s="4" t="s">
        <v>1360</v>
      </c>
      <c r="B1358" s="7">
        <f>'Price Data'!B1359/'Price Data'!B1358-1</f>
        <v>2.3084234081822697E-3</v>
      </c>
      <c r="C1358" s="7">
        <f>'Price Data'!C1359/'Price Data'!C1358-1</f>
        <v>-3.4351247215528291E-3</v>
      </c>
      <c r="D1358" s="7">
        <f>'Price Data'!D1359/'Price Data'!D1358-1</f>
        <v>-1.6823391544971145E-2</v>
      </c>
      <c r="E1358" s="7">
        <f>'Price Data'!E1359/'Price Data'!E1358-1</f>
        <v>-4.9622666145210381E-4</v>
      </c>
    </row>
    <row r="1359" spans="1:5" ht="15" customHeight="1" x14ac:dyDescent="0.2">
      <c r="A1359" s="4" t="s">
        <v>1361</v>
      </c>
      <c r="B1359" s="7">
        <f>'Price Data'!B1360/'Price Data'!B1359-1</f>
        <v>2.5709652639758218E-3</v>
      </c>
      <c r="C1359" s="7">
        <f>'Price Data'!C1360/'Price Data'!C1359-1</f>
        <v>5.5533165809655838E-3</v>
      </c>
      <c r="D1359" s="7">
        <f>'Price Data'!D1360/'Price Data'!D1359-1</f>
        <v>4.5700487083026875E-3</v>
      </c>
      <c r="E1359" s="7">
        <f>'Price Data'!E1360/'Price Data'!E1359-1</f>
        <v>3.03934579750198E-4</v>
      </c>
    </row>
    <row r="1360" spans="1:5" ht="15" customHeight="1" x14ac:dyDescent="0.2">
      <c r="A1360" s="4" t="s">
        <v>1362</v>
      </c>
      <c r="B1360" s="7">
        <f>'Price Data'!B1361/'Price Data'!B1360-1</f>
        <v>-7.2390562893904775E-3</v>
      </c>
      <c r="C1360" s="7">
        <f>'Price Data'!C1361/'Price Data'!C1360-1</f>
        <v>-8.5697120608929644E-3</v>
      </c>
      <c r="D1360" s="7">
        <f>'Price Data'!D1361/'Price Data'!D1360-1</f>
        <v>-1.1636974914169818E-3</v>
      </c>
      <c r="E1360" s="7">
        <f>'Price Data'!E1361/'Price Data'!E1360-1</f>
        <v>-2.1274384734993879E-3</v>
      </c>
    </row>
    <row r="1361" spans="1:5" ht="15" customHeight="1" x14ac:dyDescent="0.2">
      <c r="A1361" s="4" t="s">
        <v>1363</v>
      </c>
      <c r="B1361" s="7">
        <f>'Price Data'!B1362/'Price Data'!B1361-1</f>
        <v>4.6549964688338274E-3</v>
      </c>
      <c r="C1361" s="7">
        <f>'Price Data'!C1362/'Price Data'!C1361-1</f>
        <v>7.9714939483623848E-3</v>
      </c>
      <c r="D1361" s="7">
        <f>'Price Data'!D1362/'Price Data'!D1361-1</f>
        <v>1.7900618209494068E-2</v>
      </c>
      <c r="E1361" s="7">
        <f>'Price Data'!E1362/'Price Data'!E1361-1</f>
        <v>1.6244130426488201E-3</v>
      </c>
    </row>
    <row r="1362" spans="1:5" ht="15" customHeight="1" x14ac:dyDescent="0.2">
      <c r="A1362" s="4" t="s">
        <v>1364</v>
      </c>
      <c r="B1362" s="7">
        <f>'Price Data'!B1363/'Price Data'!B1362-1</f>
        <v>-2.6782355776802436E-2</v>
      </c>
      <c r="C1362" s="7">
        <f>'Price Data'!C1363/'Price Data'!C1362-1</f>
        <v>-2.5631170054895236E-2</v>
      </c>
      <c r="D1362" s="7">
        <f>'Price Data'!D1363/'Price Data'!D1362-1</f>
        <v>7.1800600482081478E-3</v>
      </c>
      <c r="E1362" s="7">
        <f>'Price Data'!E1363/'Price Data'!E1362-1</f>
        <v>-4.9665902900143388E-3</v>
      </c>
    </row>
    <row r="1363" spans="1:5" ht="15" customHeight="1" x14ac:dyDescent="0.2">
      <c r="A1363" s="4" t="s">
        <v>1365</v>
      </c>
      <c r="B1363" s="7">
        <f>'Price Data'!B1364/'Price Data'!B1363-1</f>
        <v>2.9995579075805523E-3</v>
      </c>
      <c r="C1363" s="7">
        <f>'Price Data'!C1364/'Price Data'!C1363-1</f>
        <v>6.0629233494704504E-3</v>
      </c>
      <c r="D1363" s="7">
        <f>'Price Data'!D1364/'Price Data'!D1363-1</f>
        <v>-1.3637818833237447E-2</v>
      </c>
      <c r="E1363" s="7">
        <f>'Price Data'!E1364/'Price Data'!E1363-1</f>
        <v>0</v>
      </c>
    </row>
    <row r="1364" spans="1:5" ht="15" customHeight="1" x14ac:dyDescent="0.2">
      <c r="A1364" s="4" t="s">
        <v>1366</v>
      </c>
      <c r="B1364" s="7">
        <f>'Price Data'!B1365/'Price Data'!B1364-1</f>
        <v>-2.1949504635132566E-3</v>
      </c>
      <c r="C1364" s="7">
        <f>'Price Data'!C1365/'Price Data'!C1364-1</f>
        <v>1.9443113374895127E-4</v>
      </c>
      <c r="D1364" s="7">
        <f>'Price Data'!D1365/'Price Data'!D1364-1</f>
        <v>2.3043886891074283E-2</v>
      </c>
      <c r="E1364" s="7">
        <f>'Price Data'!E1365/'Price Data'!E1364-1</f>
        <v>2.0373029094438166E-3</v>
      </c>
    </row>
    <row r="1365" spans="1:5" ht="15" customHeight="1" x14ac:dyDescent="0.2">
      <c r="A1365" s="4" t="s">
        <v>1367</v>
      </c>
      <c r="B1365" s="7">
        <f>'Price Data'!B1366/'Price Data'!B1365-1</f>
        <v>-1.5481094222306369E-2</v>
      </c>
      <c r="C1365" s="7">
        <f>'Price Data'!C1366/'Price Data'!C1365-1</f>
        <v>-1.2925161050477918E-2</v>
      </c>
      <c r="D1365" s="7">
        <f>'Price Data'!D1366/'Price Data'!D1365-1</f>
        <v>1.0244324782049397E-4</v>
      </c>
      <c r="E1365" s="7">
        <f>'Price Data'!E1366/'Price Data'!E1365-1</f>
        <v>-6.0994044170448181E-4</v>
      </c>
    </row>
    <row r="1366" spans="1:5" ht="15" customHeight="1" x14ac:dyDescent="0.2">
      <c r="A1366" s="4" t="s">
        <v>1368</v>
      </c>
      <c r="B1366" s="7">
        <f>'Price Data'!B1367/'Price Data'!B1366-1</f>
        <v>1.7484053437835323E-2</v>
      </c>
      <c r="C1366" s="7">
        <f>'Price Data'!C1367/'Price Data'!C1366-1</f>
        <v>3.1111600130452555E-2</v>
      </c>
      <c r="D1366" s="7">
        <f>'Price Data'!D1367/'Price Data'!D1366-1</f>
        <v>-7.1663530779908502E-4</v>
      </c>
      <c r="E1366" s="7">
        <f>'Price Data'!E1367/'Price Data'!E1366-1</f>
        <v>5.7979706129531738E-3</v>
      </c>
    </row>
    <row r="1367" spans="1:5" ht="15" customHeight="1" x14ac:dyDescent="0.2">
      <c r="A1367" s="4" t="s">
        <v>1369</v>
      </c>
      <c r="B1367" s="7">
        <f>'Price Data'!B1368/'Price Data'!B1367-1</f>
        <v>5.6546414383684684E-3</v>
      </c>
      <c r="C1367" s="7">
        <f>'Price Data'!C1368/'Price Data'!C1367-1</f>
        <v>2.7688956015947674E-3</v>
      </c>
      <c r="D1367" s="7">
        <f>'Price Data'!D1368/'Price Data'!D1367-1</f>
        <v>9.2203550846789994E-3</v>
      </c>
      <c r="E1367" s="7">
        <f>'Price Data'!E1368/'Price Data'!E1367-1</f>
        <v>-1.2135890386187898E-3</v>
      </c>
    </row>
    <row r="1368" spans="1:5" ht="15" customHeight="1" x14ac:dyDescent="0.2">
      <c r="A1368" s="4" t="s">
        <v>1370</v>
      </c>
      <c r="B1368" s="7">
        <f>'Price Data'!B1369/'Price Data'!B1368-1</f>
        <v>1.6841472125108004E-2</v>
      </c>
      <c r="C1368" s="7">
        <f>'Price Data'!C1369/'Price Data'!C1368-1</f>
        <v>6.7322487830439037E-3</v>
      </c>
      <c r="D1368" s="7">
        <f>'Price Data'!D1369/'Price Data'!D1368-1</f>
        <v>-7.0044031248459593E-3</v>
      </c>
      <c r="E1368" s="7">
        <f>'Price Data'!E1369/'Price Data'!E1368-1</f>
        <v>9.1129771988751607E-4</v>
      </c>
    </row>
    <row r="1369" spans="1:5" ht="15" customHeight="1" x14ac:dyDescent="0.2">
      <c r="A1369" s="4" t="s">
        <v>1371</v>
      </c>
      <c r="B1369" s="7">
        <f>'Price Data'!B1370/'Price Data'!B1369-1</f>
        <v>-5.7982016176404416E-3</v>
      </c>
      <c r="C1369" s="7">
        <f>'Price Data'!C1370/'Price Data'!C1369-1</f>
        <v>2.2097974970478607E-3</v>
      </c>
      <c r="D1369" s="7">
        <f>'Price Data'!D1370/'Price Data'!D1369-1</f>
        <v>2.4534515362668596E-3</v>
      </c>
      <c r="E1369" s="7">
        <f>'Price Data'!E1370/'Price Data'!E1369-1</f>
        <v>1.2139573499521106E-3</v>
      </c>
    </row>
    <row r="1370" spans="1:5" ht="15" customHeight="1" x14ac:dyDescent="0.2">
      <c r="A1370" s="4" t="s">
        <v>1372</v>
      </c>
      <c r="B1370" s="7">
        <f>'Price Data'!B1371/'Price Data'!B1370-1</f>
        <v>-1.2446996126256105E-2</v>
      </c>
      <c r="C1370" s="7">
        <f>'Price Data'!C1371/'Price Data'!C1370-1</f>
        <v>-5.0809969485359208E-3</v>
      </c>
      <c r="D1370" s="7">
        <f>'Price Data'!D1371/'Price Data'!D1370-1</f>
        <v>-2.4984647533747184E-2</v>
      </c>
      <c r="E1370" s="7">
        <f>'Price Data'!E1371/'Price Data'!E1370-1</f>
        <v>-3.6374563330057175E-3</v>
      </c>
    </row>
    <row r="1371" spans="1:5" ht="15" customHeight="1" x14ac:dyDescent="0.2">
      <c r="A1371" s="4" t="s">
        <v>1373</v>
      </c>
      <c r="B1371" s="7">
        <f>'Price Data'!B1372/'Price Data'!B1371-1</f>
        <v>1.1564870674019456E-2</v>
      </c>
      <c r="C1371" s="7">
        <f>'Price Data'!C1372/'Price Data'!C1371-1</f>
        <v>6.0705809425938284E-3</v>
      </c>
      <c r="D1371" s="7">
        <f>'Price Data'!D1372/'Price Data'!D1371-1</f>
        <v>-5.2301086819295239E-4</v>
      </c>
      <c r="E1371" s="7">
        <f>'Price Data'!E1372/'Price Data'!E1371-1</f>
        <v>2.9408963212949057E-3</v>
      </c>
    </row>
    <row r="1372" spans="1:5" ht="15" customHeight="1" x14ac:dyDescent="0.2">
      <c r="A1372" s="4" t="s">
        <v>1374</v>
      </c>
      <c r="B1372" s="7">
        <f>'Price Data'!B1373/'Price Data'!B1372-1</f>
        <v>-3.1892479289318265E-3</v>
      </c>
      <c r="C1372" s="7">
        <f>'Price Data'!C1373/'Price Data'!C1372-1</f>
        <v>1.6281789386403123E-3</v>
      </c>
      <c r="D1372" s="7">
        <f>'Price Data'!D1373/'Price Data'!D1372-1</f>
        <v>1.0778598604182177E-2</v>
      </c>
      <c r="E1372" s="7">
        <f>'Price Data'!E1373/'Price Data'!E1372-1</f>
        <v>-2.7301004801124629E-3</v>
      </c>
    </row>
    <row r="1373" spans="1:5" ht="15" customHeight="1" x14ac:dyDescent="0.2">
      <c r="A1373" s="4" t="s">
        <v>1375</v>
      </c>
      <c r="B1373" s="7">
        <f>'Price Data'!B1374/'Price Data'!B1373-1</f>
        <v>-1.3855356399261609E-2</v>
      </c>
      <c r="C1373" s="7">
        <f>'Price Data'!C1374/'Price Data'!C1373-1</f>
        <v>-2.0271588348284686E-2</v>
      </c>
      <c r="D1373" s="7">
        <f>'Price Data'!D1374/'Price Data'!D1373-1</f>
        <v>1.3148353672841173E-2</v>
      </c>
      <c r="E1373" s="7">
        <f>'Price Data'!E1374/'Price Data'!E1373-1</f>
        <v>8.1113601030224913E-4</v>
      </c>
    </row>
    <row r="1374" spans="1:5" ht="15" customHeight="1" x14ac:dyDescent="0.2">
      <c r="A1374" s="4" t="s">
        <v>1376</v>
      </c>
      <c r="B1374" s="7">
        <f>'Price Data'!B1375/'Price Data'!B1374-1</f>
        <v>-1.3750113812849296E-4</v>
      </c>
      <c r="C1374" s="7">
        <f>'Price Data'!C1375/'Price Data'!C1374-1</f>
        <v>-1.9519514935493198E-3</v>
      </c>
      <c r="D1374" s="7">
        <f>'Price Data'!D1375/'Price Data'!D1374-1</f>
        <v>5.1594071998506408E-5</v>
      </c>
      <c r="E1374" s="7">
        <f>'Price Data'!E1375/'Price Data'!E1374-1</f>
        <v>4.8627940611944975E-3</v>
      </c>
    </row>
    <row r="1375" spans="1:5" ht="15" customHeight="1" x14ac:dyDescent="0.2">
      <c r="A1375" s="4" t="s">
        <v>1377</v>
      </c>
      <c r="B1375" s="7">
        <f>'Price Data'!B1376/'Price Data'!B1375-1</f>
        <v>9.0751448589410089E-4</v>
      </c>
      <c r="C1375" s="7">
        <f>'Price Data'!C1376/'Price Data'!C1375-1</f>
        <v>8.7032991497726364E-3</v>
      </c>
      <c r="D1375" s="7">
        <f>'Price Data'!D1376/'Price Data'!D1375-1</f>
        <v>1.8554819215745866E-3</v>
      </c>
      <c r="E1375" s="7">
        <f>'Price Data'!E1376/'Price Data'!E1375-1</f>
        <v>6.0489806911956379E-4</v>
      </c>
    </row>
    <row r="1376" spans="1:5" ht="15" customHeight="1" x14ac:dyDescent="0.2">
      <c r="A1376" s="4" t="s">
        <v>1378</v>
      </c>
      <c r="B1376" s="7">
        <f>'Price Data'!B1377/'Price Data'!B1376-1</f>
        <v>-1.9728090043913404E-3</v>
      </c>
      <c r="C1376" s="7">
        <f>'Price Data'!C1377/'Price Data'!C1376-1</f>
        <v>-5.9137237162227851E-3</v>
      </c>
      <c r="D1376" s="7">
        <f>'Price Data'!D1377/'Price Data'!D1376-1</f>
        <v>1.5227859762956264E-2</v>
      </c>
      <c r="E1376" s="7">
        <f>'Price Data'!E1377/'Price Data'!E1376-1</f>
        <v>9.0672145456682784E-4</v>
      </c>
    </row>
    <row r="1377" spans="1:5" ht="15" customHeight="1" x14ac:dyDescent="0.2">
      <c r="A1377" s="4" t="s">
        <v>1379</v>
      </c>
      <c r="B1377" s="7">
        <f>'Price Data'!B1378/'Price Data'!B1377-1</f>
        <v>1.35276734580414E-2</v>
      </c>
      <c r="C1377" s="7">
        <f>'Price Data'!C1378/'Price Data'!C1377-1</f>
        <v>8.8745467582418414E-3</v>
      </c>
      <c r="D1377" s="7">
        <f>'Price Data'!D1378/'Price Data'!D1377-1</f>
        <v>-5.2700583025859782E-3</v>
      </c>
      <c r="E1377" s="7">
        <f>'Price Data'!E1378/'Price Data'!E1377-1</f>
        <v>3.0206942988786345E-4</v>
      </c>
    </row>
    <row r="1378" spans="1:5" ht="15" customHeight="1" x14ac:dyDescent="0.2">
      <c r="A1378" s="4" t="s">
        <v>1380</v>
      </c>
      <c r="B1378" s="7">
        <f>'Price Data'!B1379/'Price Data'!B1378-1</f>
        <v>7.9538392530265067E-3</v>
      </c>
      <c r="C1378" s="7">
        <f>'Price Data'!C1379/'Price Data'!C1378-1</f>
        <v>4.1566004626478747E-3</v>
      </c>
      <c r="D1378" s="7">
        <f>'Price Data'!D1379/'Price Data'!D1378-1</f>
        <v>-1.7524209821327408E-2</v>
      </c>
      <c r="E1378" s="7">
        <f>'Price Data'!E1379/'Price Data'!E1378-1</f>
        <v>-3.9247152911675576E-3</v>
      </c>
    </row>
    <row r="1381" spans="1:5" ht="15" customHeight="1" x14ac:dyDescent="0.2">
      <c r="A1381" s="5" t="s">
        <v>1381</v>
      </c>
    </row>
    <row r="1382" spans="1:5" ht="15" customHeight="1" x14ac:dyDescent="0.2">
      <c r="A1382" s="6"/>
      <c r="B1382" s="6" t="s">
        <v>1</v>
      </c>
      <c r="C1382" s="6" t="s">
        <v>2</v>
      </c>
      <c r="D1382" s="6" t="s">
        <v>3</v>
      </c>
      <c r="E1382" s="6" t="s">
        <v>4</v>
      </c>
    </row>
    <row r="1383" spans="1:5" ht="15" customHeight="1" x14ac:dyDescent="0.2">
      <c r="A1383" s="5" t="s">
        <v>1382</v>
      </c>
      <c r="B1383" s="7">
        <f>AVERAGE(B4:B1378)</f>
        <v>5.799546860175076E-4</v>
      </c>
      <c r="C1383" s="7">
        <f>AVERAGE(C4:C1378)</f>
        <v>4.1459550787839117E-4</v>
      </c>
      <c r="D1383" s="7">
        <f>AVERAGE(D4:D1378)</f>
        <v>3.3143929778375387E-4</v>
      </c>
      <c r="E1383" s="7">
        <f>AVERAGE(E4:E1378)</f>
        <v>3.1384519196468603E-6</v>
      </c>
    </row>
    <row r="1384" spans="1:5" ht="15" customHeight="1" x14ac:dyDescent="0.2">
      <c r="A1384" s="5" t="s">
        <v>1383</v>
      </c>
      <c r="B1384" s="7">
        <f>STDEV(B4:B1378)</f>
        <v>1.0863086141873804E-2</v>
      </c>
      <c r="C1384" s="7">
        <f>STDEV(C4:C1378)</f>
        <v>1.0279416318877431E-2</v>
      </c>
      <c r="D1384" s="7">
        <f>STDEV(D4:D1378)</f>
        <v>1.1680899516692654E-2</v>
      </c>
      <c r="E1384" s="7">
        <f>STDEV(E4:E1378)</f>
        <v>3.729508147762E-3</v>
      </c>
    </row>
    <row r="1385" spans="1:5" ht="15" customHeight="1" x14ac:dyDescent="0.2">
      <c r="A1385" s="5" t="s">
        <v>1384</v>
      </c>
      <c r="B1385" s="8">
        <f>VAR(B4:B1378)</f>
        <v>1.1800664052577068E-4</v>
      </c>
      <c r="C1385" s="8">
        <f>VAR(C4:C1378)</f>
        <v>1.0566639985680362E-4</v>
      </c>
      <c r="D1385" s="8">
        <f>VAR(D4:D1378)</f>
        <v>1.3644341351907066E-4</v>
      </c>
      <c r="E1385" s="8">
        <f>VAR(E4:E1378)</f>
        <v>1.3909231024223145E-5</v>
      </c>
    </row>
    <row r="1386" spans="1:5" ht="15" customHeight="1" x14ac:dyDescent="0.2">
      <c r="A1386" s="5" t="s">
        <v>1385</v>
      </c>
      <c r="B1386" s="9">
        <f>B1383*252</f>
        <v>0.14614858087641192</v>
      </c>
      <c r="C1386" s="9">
        <f>C1383*252</f>
        <v>0.10447806798535457</v>
      </c>
      <c r="D1386" s="9">
        <f>D1383*252</f>
        <v>8.3522703041505969E-2</v>
      </c>
      <c r="E1386" s="9">
        <f>E1383*252</f>
        <v>7.9088988375100881E-4</v>
      </c>
    </row>
    <row r="1387" spans="1:5" ht="15" customHeight="1" x14ac:dyDescent="0.2">
      <c r="A1387" s="5" t="s">
        <v>1386</v>
      </c>
      <c r="B1387" s="9">
        <f>B1384*SQRT(252)</f>
        <v>0.1724461464124212</v>
      </c>
      <c r="C1387" s="9">
        <f>C1384*SQRT(252)</f>
        <v>0.16318067521589227</v>
      </c>
      <c r="D1387" s="9">
        <f>D1384*SQRT(252)</f>
        <v>0.18542853126421999</v>
      </c>
      <c r="E1387" s="9">
        <f>E1384*SQRT(252)</f>
        <v>5.920410642940431E-2</v>
      </c>
    </row>
    <row r="1390" spans="1:5" ht="15" customHeight="1" x14ac:dyDescent="0.2">
      <c r="A1390" s="5" t="s">
        <v>1387</v>
      </c>
    </row>
    <row r="1391" spans="1:5" ht="15" customHeight="1" x14ac:dyDescent="0.2">
      <c r="A1391" s="6"/>
      <c r="B1391" s="6" t="s">
        <v>1</v>
      </c>
      <c r="C1391" s="6" t="s">
        <v>2</v>
      </c>
      <c r="D1391" s="6" t="s">
        <v>3</v>
      </c>
      <c r="E1391" s="6" t="s">
        <v>4</v>
      </c>
    </row>
    <row r="1392" spans="1:5" ht="15" customHeight="1" x14ac:dyDescent="0.2">
      <c r="A1392" s="5" t="s">
        <v>1</v>
      </c>
      <c r="B1392" s="10">
        <f>CORREL(B4:B1378,B4:B1378)</f>
        <v>1</v>
      </c>
      <c r="C1392" s="10">
        <f>CORREL(B4:B1378,C4:C1378)</f>
        <v>0.80983747231343783</v>
      </c>
      <c r="D1392" s="10">
        <f>CORREL(B4:B1378,D4:D1378)</f>
        <v>0.68102311201782184</v>
      </c>
      <c r="E1392" s="10">
        <f>CORREL(B4:B1378,E4:E1378)</f>
        <v>0.2172933854167392</v>
      </c>
    </row>
    <row r="1393" spans="1:5" ht="15" customHeight="1" x14ac:dyDescent="0.2">
      <c r="A1393" s="5" t="s">
        <v>2</v>
      </c>
      <c r="B1393" s="10">
        <f>CORREL(C4:C1378,B4:B1378)</f>
        <v>0.80983747231343783</v>
      </c>
      <c r="C1393" s="10">
        <f>CORREL(C4:C1378,C4:C1378)</f>
        <v>0.99999999999999989</v>
      </c>
      <c r="D1393" s="10">
        <f>CORREL(C4:C1378,D4:D1378)</f>
        <v>0.62585974793083965</v>
      </c>
      <c r="E1393" s="10">
        <f>CORREL(C4:C1378,E4:E1378)</f>
        <v>0.27490851723707288</v>
      </c>
    </row>
    <row r="1394" spans="1:5" ht="15" customHeight="1" x14ac:dyDescent="0.2">
      <c r="A1394" s="5" t="s">
        <v>3</v>
      </c>
      <c r="B1394" s="10">
        <f>CORREL(D4:D1378,B4:B1378)</f>
        <v>0.68102311201782184</v>
      </c>
      <c r="C1394" s="10">
        <f>CORREL(D4:D1378,C4:C1378)</f>
        <v>0.62585974793083965</v>
      </c>
      <c r="D1394" s="10">
        <f>CORREL(D4:D1378,D4:D1378)</f>
        <v>1</v>
      </c>
      <c r="E1394" s="10">
        <f>CORREL(D4:D1378,E4:E1378)</f>
        <v>0.38474912065741135</v>
      </c>
    </row>
    <row r="1395" spans="1:5" ht="15" customHeight="1" x14ac:dyDescent="0.2">
      <c r="A1395" s="5" t="s">
        <v>4</v>
      </c>
      <c r="B1395" s="10">
        <f>CORREL(E4:E1378,B4:B1378)</f>
        <v>0.2172933854167392</v>
      </c>
      <c r="C1395" s="10">
        <f>CORREL(E4:E1378,C4:C1378)</f>
        <v>0.27490851723707288</v>
      </c>
      <c r="D1395" s="10">
        <f>CORREL(E4:E1378,D4:D1378)</f>
        <v>0.38474912065741135</v>
      </c>
      <c r="E1395" s="10">
        <f>CORREL(E4:E1378,E4:E1378)</f>
        <v>1</v>
      </c>
    </row>
    <row r="1398" spans="1:5" ht="15" customHeight="1" x14ac:dyDescent="0.2">
      <c r="A1398" s="5" t="s">
        <v>1388</v>
      </c>
    </row>
    <row r="1399" spans="1:5" ht="15" customHeight="1" x14ac:dyDescent="0.2">
      <c r="A1399" s="6"/>
      <c r="B1399" s="6" t="s">
        <v>1</v>
      </c>
      <c r="C1399" s="6" t="s">
        <v>2</v>
      </c>
      <c r="D1399" s="6" t="s">
        <v>3</v>
      </c>
      <c r="E1399" s="6" t="s">
        <v>4</v>
      </c>
    </row>
    <row r="1400" spans="1:5" ht="15" customHeight="1" x14ac:dyDescent="0.2">
      <c r="A1400" s="5" t="s">
        <v>1</v>
      </c>
      <c r="B1400" s="8">
        <f>SUMPRODUCT((B4:B1378-B$1383),(B4:B1378-B$1383))/1375*252</f>
        <v>2.9716046013648859E-2</v>
      </c>
      <c r="C1400" s="8">
        <f>SUMPRODUCT((B4:B1378-B$1383),(C4:C1378-C$1383))/1375*252</f>
        <v>2.2772154544211588E-2</v>
      </c>
      <c r="D1400" s="8">
        <f>SUMPRODUCT((B4:B1378-B$1383),(D4:D1378-D$1383))/1375*252</f>
        <v>2.1760854124597315E-2</v>
      </c>
      <c r="E1400" s="8">
        <f>SUMPRODUCT((B4:B1378-B$1383),(E4:E1378-E$1383))/1375*252</f>
        <v>2.2168477391818994E-3</v>
      </c>
    </row>
    <row r="1401" spans="1:5" ht="15" customHeight="1" x14ac:dyDescent="0.2">
      <c r="A1401" s="5" t="s">
        <v>2</v>
      </c>
      <c r="B1401" s="8">
        <f>SUMPRODUCT((C4:C1378-C$1383),(B4:B1378-B$1383))/1375*252</f>
        <v>2.2772154544211588E-2</v>
      </c>
      <c r="C1401" s="8">
        <f>SUMPRODUCT((C4:C1378-C$1383),(C4:C1378-C$1383))/1375*252</f>
        <v>2.6608566994631665E-2</v>
      </c>
      <c r="D1401" s="8">
        <f>SUMPRODUCT((C4:C1378-C$1383),(D4:D1378-D$1383))/1375*252</f>
        <v>1.8923712424852548E-2</v>
      </c>
      <c r="E1401" s="8">
        <f>SUMPRODUCT((C4:C1378-C$1383),(E4:E1378-E$1383))/1375*252</f>
        <v>2.6539503049352957E-3</v>
      </c>
    </row>
    <row r="1402" spans="1:5" ht="15" customHeight="1" x14ac:dyDescent="0.2">
      <c r="A1402" s="5" t="s">
        <v>3</v>
      </c>
      <c r="B1402" s="8">
        <f>SUMPRODUCT((D4:D1378-D$1383),(B4:B1378-B$1383))/1375*252</f>
        <v>2.1760854124597315E-2</v>
      </c>
      <c r="C1402" s="8">
        <f>SUMPRODUCT((D4:D1378-D$1383),(C4:C1378-C$1383))/1375*252</f>
        <v>1.8923712424852548E-2</v>
      </c>
      <c r="D1402" s="8">
        <f>SUMPRODUCT((D4:D1378-D$1383),(D4:D1378-D$1383))/1375*252</f>
        <v>3.4358733850291777E-2</v>
      </c>
      <c r="E1402" s="8">
        <f>SUMPRODUCT((D4:D1378-D$1383),(E4:E1378-E$1383))/1375*252</f>
        <v>4.220754182847561E-3</v>
      </c>
    </row>
    <row r="1403" spans="1:5" ht="15" customHeight="1" x14ac:dyDescent="0.2">
      <c r="A1403" s="5" t="s">
        <v>4</v>
      </c>
      <c r="B1403" s="8">
        <f>SUMPRODUCT((E4:E1378-E$1383),(B4:B1378-B$1383))/1375*252</f>
        <v>2.2168477391818994E-3</v>
      </c>
      <c r="C1403" s="8">
        <f>SUMPRODUCT((E4:E1378-E$1383),(C4:C1378-C$1383))/1375*252</f>
        <v>2.6539503049352957E-3</v>
      </c>
      <c r="D1403" s="8">
        <f>SUMPRODUCT((E4:E1378-E$1383),(D4:D1378-D$1383))/1375*252</f>
        <v>4.220754182847561E-3</v>
      </c>
      <c r="E1403" s="8">
        <f>SUMPRODUCT((E4:E1378-E$1383),(E4:E1378-E$1383))/1375*252</f>
        <v>3.5025770354001596E-3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zoomScaleNormal="100" workbookViewId="0">
      <selection activeCell="L31" sqref="L31"/>
    </sheetView>
  </sheetViews>
  <sheetFormatPr baseColWidth="10" defaultColWidth="8.6640625" defaultRowHeight="15" x14ac:dyDescent="0.2"/>
  <cols>
    <col min="1" max="3" width="24" customWidth="1"/>
  </cols>
  <sheetData>
    <row r="1" spans="1:7" ht="15.75" customHeight="1" x14ac:dyDescent="0.2">
      <c r="A1" s="2"/>
      <c r="B1" s="2"/>
      <c r="C1" s="2"/>
      <c r="D1" s="2"/>
      <c r="E1" s="2"/>
      <c r="F1" s="2"/>
      <c r="G1" s="2"/>
    </row>
    <row r="3" spans="1:7" ht="15" customHeight="1" x14ac:dyDescent="0.2">
      <c r="A3" s="5" t="s">
        <v>1389</v>
      </c>
      <c r="B3" s="11">
        <v>20000000</v>
      </c>
    </row>
    <row r="4" spans="1:7" ht="15" customHeight="1" x14ac:dyDescent="0.2">
      <c r="A4" s="5" t="s">
        <v>1390</v>
      </c>
      <c r="B4" s="12">
        <v>3.7499999999999999E-2</v>
      </c>
    </row>
    <row r="6" spans="1:7" ht="15" customHeight="1" x14ac:dyDescent="0.2">
      <c r="A6" s="3" t="s">
        <v>1391</v>
      </c>
    </row>
    <row r="7" spans="1:7" ht="15" customHeight="1" x14ac:dyDescent="0.2">
      <c r="A7" s="6" t="s">
        <v>1392</v>
      </c>
      <c r="B7" s="6" t="s">
        <v>1393</v>
      </c>
      <c r="C7" s="6" t="s">
        <v>1394</v>
      </c>
    </row>
    <row r="8" spans="1:7" ht="15" customHeight="1" x14ac:dyDescent="0.2">
      <c r="A8" s="5" t="s">
        <v>1</v>
      </c>
      <c r="B8" s="13">
        <f>'Returns  Stats'!B1386</f>
        <v>0.14614858087641192</v>
      </c>
      <c r="C8" s="13">
        <f>'Returns  Stats'!B1387</f>
        <v>0.1724461464124212</v>
      </c>
    </row>
    <row r="9" spans="1:7" ht="15" customHeight="1" x14ac:dyDescent="0.2">
      <c r="A9" s="5" t="s">
        <v>2</v>
      </c>
      <c r="B9" s="13">
        <f>'Returns  Stats'!C1386</f>
        <v>0.10447806798535457</v>
      </c>
      <c r="C9" s="13">
        <f>'Returns  Stats'!C1387</f>
        <v>0.16318067521589227</v>
      </c>
    </row>
    <row r="10" spans="1:7" ht="15" customHeight="1" x14ac:dyDescent="0.2">
      <c r="A10" s="5" t="s">
        <v>3</v>
      </c>
      <c r="B10" s="13">
        <f>'Returns  Stats'!D1386</f>
        <v>8.3522703041505969E-2</v>
      </c>
      <c r="C10" s="13">
        <f>'Returns  Stats'!D1387</f>
        <v>0.18542853126421999</v>
      </c>
    </row>
    <row r="11" spans="1:7" ht="15" customHeight="1" x14ac:dyDescent="0.2">
      <c r="A11" s="5" t="s">
        <v>4</v>
      </c>
      <c r="B11" s="13">
        <f>'Returns  Stats'!E1386</f>
        <v>7.9088988375100881E-4</v>
      </c>
      <c r="C11" s="13">
        <f>'Returns  Stats'!E1387</f>
        <v>5.920410642940431E-2</v>
      </c>
    </row>
    <row r="14" spans="1:7" ht="15" customHeight="1" x14ac:dyDescent="0.2">
      <c r="A14" s="3" t="s">
        <v>1395</v>
      </c>
    </row>
    <row r="15" spans="1:7" ht="15" customHeight="1" x14ac:dyDescent="0.2">
      <c r="A15" s="6" t="s">
        <v>1392</v>
      </c>
      <c r="B15" s="6" t="s">
        <v>1396</v>
      </c>
      <c r="C15" s="6" t="s">
        <v>1397</v>
      </c>
    </row>
    <row r="16" spans="1:7" ht="15" customHeight="1" x14ac:dyDescent="0.2">
      <c r="A16" s="5" t="s">
        <v>1</v>
      </c>
      <c r="B16" s="12">
        <v>0.6</v>
      </c>
      <c r="C16" s="9">
        <f>B16*B8</f>
        <v>8.7689148525847152E-2</v>
      </c>
    </row>
    <row r="17" spans="1:3" ht="15" customHeight="1" x14ac:dyDescent="0.2">
      <c r="A17" s="5" t="s">
        <v>2</v>
      </c>
      <c r="B17" s="12">
        <v>0.3</v>
      </c>
      <c r="C17" s="9">
        <f>B17*B9</f>
        <v>3.1343420395606371E-2</v>
      </c>
    </row>
    <row r="18" spans="1:3" ht="15" customHeight="1" x14ac:dyDescent="0.2">
      <c r="A18" s="5" t="s">
        <v>3</v>
      </c>
      <c r="B18" s="12">
        <v>0.05</v>
      </c>
      <c r="C18" s="9">
        <f>B18*B10</f>
        <v>4.1761351520752986E-3</v>
      </c>
    </row>
    <row r="19" spans="1:3" ht="15" customHeight="1" x14ac:dyDescent="0.2">
      <c r="A19" s="5" t="s">
        <v>4</v>
      </c>
      <c r="B19" s="12">
        <v>0.05</v>
      </c>
      <c r="C19" s="9">
        <f>B19*B11</f>
        <v>3.9544494187550446E-5</v>
      </c>
    </row>
    <row r="20" spans="1:3" ht="15" customHeight="1" x14ac:dyDescent="0.2">
      <c r="A20" s="5" t="s">
        <v>1398</v>
      </c>
      <c r="B20" s="14">
        <f>SUM(B16:B19)</f>
        <v>1</v>
      </c>
    </row>
    <row r="22" spans="1:3" ht="15" customHeight="1" x14ac:dyDescent="0.2">
      <c r="A22" s="5" t="s">
        <v>1399</v>
      </c>
      <c r="B22" s="9">
        <f>SUM(C16:C19)</f>
        <v>0.12324824856771638</v>
      </c>
    </row>
    <row r="23" spans="1:3" ht="15" customHeight="1" x14ac:dyDescent="0.2">
      <c r="A23" s="5" t="s">
        <v>1400</v>
      </c>
      <c r="B23" s="8">
        <f>B16*B16*'Returns  Stats'!B1400+B16*B17*'Returns  Stats'!C1400+B16*B18*'Returns  Stats'!D1400+B16*B19*'Returns  Stats'!E1400+B17*B16*'Returns  Stats'!B1401+B17*B17*'Returns  Stats'!C1401+B17*B18*'Returns  Stats'!D1401+B17*B19*'Returns  Stats'!E1401+B18*B16*'Returns  Stats'!B1402+B18*B17*'Returns  Stats'!C1402+B18*B18*'Returns  Stats'!D1402+B18*B19*'Returns  Stats'!E1402+B19*B16*'Returns  Stats'!B1403+B19*B17*'Returns  Stats'!C1403+B19*B18*'Returns  Stats'!D1403+B19*B19*'Returns  Stats'!E1403</f>
        <v>2.3492272272195466E-2</v>
      </c>
    </row>
    <row r="24" spans="1:3" ht="15" customHeight="1" x14ac:dyDescent="0.2">
      <c r="A24" s="5" t="s">
        <v>1401</v>
      </c>
      <c r="B24" s="9">
        <f>SQRT(B23)</f>
        <v>0.15327189002617364</v>
      </c>
    </row>
    <row r="25" spans="1:3" ht="15" customHeight="1" x14ac:dyDescent="0.2">
      <c r="A25" s="5" t="s">
        <v>1402</v>
      </c>
      <c r="B25" s="10">
        <f>(B22-B4)/B24</f>
        <v>0.55945189005677087</v>
      </c>
    </row>
    <row r="27" spans="1:3" ht="15" customHeight="1" x14ac:dyDescent="0.2">
      <c r="A27" s="3" t="s">
        <v>1403</v>
      </c>
    </row>
    <row r="28" spans="1:3" ht="15" customHeight="1" x14ac:dyDescent="0.2">
      <c r="A28" s="5" t="s">
        <v>1</v>
      </c>
      <c r="B28" s="15">
        <f>B16*$B$3</f>
        <v>12000000</v>
      </c>
    </row>
    <row r="29" spans="1:3" ht="15" customHeight="1" x14ac:dyDescent="0.2">
      <c r="A29" s="5" t="s">
        <v>2</v>
      </c>
      <c r="B29" s="15">
        <f>B17*$B$3</f>
        <v>6000000</v>
      </c>
    </row>
    <row r="30" spans="1:3" ht="15" customHeight="1" x14ac:dyDescent="0.2">
      <c r="A30" s="5" t="s">
        <v>3</v>
      </c>
      <c r="B30" s="15">
        <f>B18*$B$3</f>
        <v>1000000</v>
      </c>
    </row>
    <row r="31" spans="1:3" ht="15" customHeight="1" x14ac:dyDescent="0.2">
      <c r="A31" s="5" t="s">
        <v>4</v>
      </c>
      <c r="B31" s="15">
        <f>B19*$B$3</f>
        <v>1000000</v>
      </c>
    </row>
    <row r="34" spans="1:2" ht="15" customHeight="1" x14ac:dyDescent="0.2">
      <c r="A34" s="3" t="s">
        <v>1404</v>
      </c>
    </row>
    <row r="35" spans="1:2" ht="15" customHeight="1" x14ac:dyDescent="0.2">
      <c r="A35" s="6" t="s">
        <v>1392</v>
      </c>
      <c r="B35" s="6" t="s">
        <v>1396</v>
      </c>
    </row>
    <row r="36" spans="1:2" ht="15" customHeight="1" x14ac:dyDescent="0.2">
      <c r="A36" s="5" t="s">
        <v>1</v>
      </c>
      <c r="B36">
        <v>0.141066035762697</v>
      </c>
    </row>
    <row r="37" spans="1:2" ht="15" customHeight="1" x14ac:dyDescent="0.2">
      <c r="A37" s="5" t="s">
        <v>2</v>
      </c>
      <c r="B37" s="12">
        <v>0.206518415863752</v>
      </c>
    </row>
    <row r="38" spans="1:2" ht="15" customHeight="1" x14ac:dyDescent="0.2">
      <c r="A38" s="5" t="s">
        <v>3</v>
      </c>
      <c r="B38" s="12">
        <v>5.2415548373551002E-2</v>
      </c>
    </row>
    <row r="39" spans="1:2" ht="15" customHeight="1" x14ac:dyDescent="0.2">
      <c r="A39" s="5" t="s">
        <v>4</v>
      </c>
      <c r="B39" s="12">
        <v>0.59999999999999898</v>
      </c>
    </row>
    <row r="40" spans="1:2" ht="15" customHeight="1" x14ac:dyDescent="0.2">
      <c r="A40" s="5" t="s">
        <v>1405</v>
      </c>
      <c r="B40" s="9">
        <f>B36*B8+B37*B9+B38*B10+B39*B11</f>
        <v>4.7045668241232547E-2</v>
      </c>
    </row>
    <row r="41" spans="1:2" ht="15" customHeight="1" x14ac:dyDescent="0.2">
      <c r="A41" s="5" t="s">
        <v>1406</v>
      </c>
      <c r="B41" s="8">
        <f>B36*B36*'Returns  Stats'!B1400+B36*B37*'Returns  Stats'!C1400+B36*B38*'Returns  Stats'!D1400+B36*B39*'Returns  Stats'!E1400+B37*B36*'Returns  Stats'!B1401+B37*B37*'Returns  Stats'!C1401+B37*B38*'Returns  Stats'!D1401+B37*B39*'Returns  Stats'!E1401+B38*B36*'Returns  Stats'!B1402+B38*B37*'Returns  Stats'!C1402+B38*B38*'Returns  Stats'!D1402+B38*B39*'Returns  Stats'!E1402+B39*B36*'Returns  Stats'!B1403+B39*B37*'Returns  Stats'!C1403+B39*B38*'Returns  Stats'!D1403+B39*B39*'Returns  Stats'!E1403</f>
        <v>6.4382899431668543E-3</v>
      </c>
    </row>
    <row r="42" spans="1:2" ht="15" customHeight="1" x14ac:dyDescent="0.2">
      <c r="A42" s="5" t="s">
        <v>1407</v>
      </c>
      <c r="B42" s="9">
        <f>SQRT(B41)</f>
        <v>8.0238955272154772E-2</v>
      </c>
    </row>
    <row r="45" spans="1:2" ht="15" customHeight="1" x14ac:dyDescent="0.2">
      <c r="A45" s="3" t="s">
        <v>1408</v>
      </c>
    </row>
    <row r="46" spans="1:2" ht="15" customHeight="1" x14ac:dyDescent="0.2">
      <c r="A46" s="6" t="s">
        <v>1409</v>
      </c>
      <c r="B46" s="6" t="s">
        <v>1410</v>
      </c>
    </row>
    <row r="47" spans="1:2" ht="15" customHeight="1" x14ac:dyDescent="0.2">
      <c r="A47" s="9">
        <v>8.1645018882817499E-2</v>
      </c>
      <c r="B47" s="9">
        <v>4.0964785092121897E-2</v>
      </c>
    </row>
    <row r="48" spans="1:2" ht="15" customHeight="1" x14ac:dyDescent="0.2">
      <c r="A48" s="9">
        <v>8.0362303658166698E-2</v>
      </c>
      <c r="B48" s="9">
        <v>4.4616957383791997E-2</v>
      </c>
    </row>
    <row r="49" spans="1:2" ht="15" customHeight="1" x14ac:dyDescent="0.2">
      <c r="A49" s="9">
        <v>8.0341813800797898E-2</v>
      </c>
      <c r="B49" s="9">
        <v>4.8269129675462E-2</v>
      </c>
    </row>
    <row r="50" spans="1:2" ht="15" customHeight="1" x14ac:dyDescent="0.2">
      <c r="A50" s="9">
        <v>8.1246549486293895E-2</v>
      </c>
      <c r="B50" s="9">
        <v>5.19213019671321E-2</v>
      </c>
    </row>
    <row r="51" spans="1:2" ht="15" customHeight="1" x14ac:dyDescent="0.2">
      <c r="A51" s="9">
        <v>8.3531718548321393E-2</v>
      </c>
      <c r="B51" s="9">
        <v>5.5573474258802102E-2</v>
      </c>
    </row>
    <row r="52" spans="1:2" ht="15" customHeight="1" x14ac:dyDescent="0.2">
      <c r="A52" s="9">
        <v>8.6515611652352095E-2</v>
      </c>
      <c r="B52" s="9">
        <v>5.9225646550472098E-2</v>
      </c>
    </row>
    <row r="53" spans="1:2" ht="15" customHeight="1" x14ac:dyDescent="0.2">
      <c r="A53" s="9">
        <v>8.9603145247233604E-2</v>
      </c>
      <c r="B53" s="9">
        <v>6.2877818842142205E-2</v>
      </c>
    </row>
    <row r="54" spans="1:2" ht="15" customHeight="1" x14ac:dyDescent="0.2">
      <c r="A54" s="9">
        <v>9.2783973468265099E-2</v>
      </c>
      <c r="B54" s="9">
        <v>6.6529991133812194E-2</v>
      </c>
    </row>
    <row r="55" spans="1:2" ht="15" customHeight="1" x14ac:dyDescent="0.2">
      <c r="A55" s="9">
        <v>9.6048827965526995E-2</v>
      </c>
      <c r="B55" s="9">
        <v>7.0182163425482294E-2</v>
      </c>
    </row>
    <row r="56" spans="1:2" ht="15" customHeight="1" x14ac:dyDescent="0.2">
      <c r="A56" s="9">
        <v>9.9389428485174403E-2</v>
      </c>
      <c r="B56" s="9">
        <v>7.3834335717152297E-2</v>
      </c>
    </row>
    <row r="57" spans="1:2" ht="15" customHeight="1" x14ac:dyDescent="0.2">
      <c r="A57" s="9">
        <v>0.102798390851626</v>
      </c>
      <c r="B57" s="9">
        <v>7.7486508008822397E-2</v>
      </c>
    </row>
    <row r="58" spans="1:2" ht="15" customHeight="1" x14ac:dyDescent="0.2">
      <c r="A58" s="9">
        <v>0.10626913640869901</v>
      </c>
      <c r="B58" s="9">
        <v>8.11386803004924E-2</v>
      </c>
    </row>
    <row r="59" spans="1:2" ht="15" customHeight="1" x14ac:dyDescent="0.2">
      <c r="A59" s="9">
        <v>0.109795806180069</v>
      </c>
      <c r="B59" s="9">
        <v>8.4790852592162499E-2</v>
      </c>
    </row>
    <row r="60" spans="1:2" ht="15" customHeight="1" x14ac:dyDescent="0.2">
      <c r="A60" s="9">
        <v>0.113373181479337</v>
      </c>
      <c r="B60" s="9">
        <v>8.8443024883832502E-2</v>
      </c>
    </row>
    <row r="61" spans="1:2" ht="15" customHeight="1" x14ac:dyDescent="0.2">
      <c r="A61" s="9">
        <v>0.116996611186186</v>
      </c>
      <c r="B61" s="9">
        <v>9.2095197175502602E-2</v>
      </c>
    </row>
    <row r="62" spans="1:2" ht="15" customHeight="1" x14ac:dyDescent="0.2">
      <c r="A62" s="9">
        <v>0.120661946291855</v>
      </c>
      <c r="B62" s="9">
        <v>9.5747369467172605E-2</v>
      </c>
    </row>
    <row r="63" spans="1:2" ht="15" customHeight="1" x14ac:dyDescent="0.2">
      <c r="A63" s="9">
        <v>0.12457052055503</v>
      </c>
      <c r="B63" s="9">
        <v>9.9399541758842705E-2</v>
      </c>
    </row>
    <row r="64" spans="1:2" ht="15" customHeight="1" x14ac:dyDescent="0.2">
      <c r="A64" s="9">
        <v>0.12872971653061599</v>
      </c>
      <c r="B64" s="9">
        <v>0.103051714050513</v>
      </c>
    </row>
    <row r="65" spans="1:2" ht="15" customHeight="1" x14ac:dyDescent="0.2">
      <c r="A65" s="9">
        <v>0.132990431119731</v>
      </c>
      <c r="B65" s="9">
        <v>0.106703886342183</v>
      </c>
    </row>
    <row r="66" spans="1:2" ht="15" customHeight="1" x14ac:dyDescent="0.2">
      <c r="A66" s="9">
        <v>0.137343216550214</v>
      </c>
      <c r="B66" s="9">
        <v>0.110356058633853</v>
      </c>
    </row>
    <row r="67" spans="1:2" ht="15" customHeight="1" x14ac:dyDescent="0.2">
      <c r="A67" s="9">
        <v>0.14177959315270999</v>
      </c>
      <c r="B67" s="9">
        <v>0.11400823092552299</v>
      </c>
    </row>
    <row r="68" spans="1:2" ht="15" customHeight="1" x14ac:dyDescent="0.2">
      <c r="A68" s="9">
        <v>0.14629195618850399</v>
      </c>
      <c r="B68" s="9">
        <v>0.117660403217193</v>
      </c>
    </row>
    <row r="69" spans="1:2" ht="15" customHeight="1" x14ac:dyDescent="0.2">
      <c r="A69" s="9">
        <v>0.15087348800369199</v>
      </c>
      <c r="B69" s="9">
        <v>0.121312575508863</v>
      </c>
    </row>
    <row r="70" spans="1:2" ht="15" customHeight="1" x14ac:dyDescent="0.2">
      <c r="A70" s="5" t="s">
        <v>1411</v>
      </c>
    </row>
    <row r="71" spans="1:2" ht="15" customHeight="1" x14ac:dyDescent="0.2">
      <c r="A71" s="14">
        <f>B24</f>
        <v>0.15327189002617364</v>
      </c>
      <c r="B71" s="16">
        <f>B22</f>
        <v>0.12324824856771638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78"/>
  <sheetViews>
    <sheetView zoomScaleNormal="100" workbookViewId="0">
      <pane ySplit="3" topLeftCell="A4" activePane="bottomLeft" state="frozen"/>
      <selection pane="bottomLeft" activeCell="E27" sqref="E27"/>
    </sheetView>
  </sheetViews>
  <sheetFormatPr baseColWidth="10" defaultColWidth="8.6640625" defaultRowHeight="15" x14ac:dyDescent="0.2"/>
  <cols>
    <col min="1" max="1" width="14" style="31" customWidth="1"/>
    <col min="2" max="2" width="20" style="31" customWidth="1"/>
    <col min="3" max="16384" width="8.6640625" style="31"/>
  </cols>
  <sheetData>
    <row r="1" spans="1:2" ht="15.75" customHeight="1" x14ac:dyDescent="0.2">
      <c r="A1" s="34"/>
    </row>
    <row r="3" spans="1:2" s="37" customFormat="1" ht="15" customHeight="1" x14ac:dyDescent="0.2">
      <c r="A3" s="36" t="s">
        <v>0</v>
      </c>
      <c r="B3" s="36" t="s">
        <v>1412</v>
      </c>
    </row>
    <row r="4" spans="1:2" ht="15" customHeight="1" x14ac:dyDescent="0.2">
      <c r="A4" s="32" t="str">
        <f>'Returns  Stats'!A4</f>
        <v>2021-01-07</v>
      </c>
      <c r="B4" s="35">
        <f>'MPT Optimisation'!$B$16*'Returns  Stats'!B4+'MPT Optimisation'!$B$17*'Returns  Stats'!C4+'MPT Optimisation'!$B$18*'Returns  Stats'!D4+'MPT Optimisation'!$B$19*'Returns  Stats'!E4</f>
        <v>9.7950506244576171E-3</v>
      </c>
    </row>
    <row r="5" spans="1:2" ht="15" customHeight="1" x14ac:dyDescent="0.2">
      <c r="A5" s="32" t="str">
        <f>'Returns  Stats'!A5</f>
        <v>2021-01-08</v>
      </c>
      <c r="B5" s="35">
        <f>'MPT Optimisation'!$B$16*'Returns  Stats'!B5+'MPT Optimisation'!$B$17*'Returns  Stats'!C5+'MPT Optimisation'!$B$18*'Returns  Stats'!D5+'MPT Optimisation'!$B$19*'Returns  Stats'!E5</f>
        <v>6.1301512957947163E-3</v>
      </c>
    </row>
    <row r="6" spans="1:2" ht="15" customHeight="1" x14ac:dyDescent="0.2">
      <c r="A6" s="32" t="str">
        <f>'Returns  Stats'!A6</f>
        <v>2021-01-11</v>
      </c>
      <c r="B6" s="35">
        <f>'MPT Optimisation'!$B$16*'Returns  Stats'!B6+'MPT Optimisation'!$B$17*'Returns  Stats'!C6+'MPT Optimisation'!$B$18*'Returns  Stats'!D6+'MPT Optimisation'!$B$19*'Returns  Stats'!E6</f>
        <v>-8.2485834344838624E-3</v>
      </c>
    </row>
    <row r="7" spans="1:2" ht="15" customHeight="1" x14ac:dyDescent="0.2">
      <c r="A7" s="32" t="str">
        <f>'Returns  Stats'!A7</f>
        <v>2021-01-12</v>
      </c>
      <c r="B7" s="35">
        <f>'MPT Optimisation'!$B$16*'Returns  Stats'!B7+'MPT Optimisation'!$B$17*'Returns  Stats'!C7+'MPT Optimisation'!$B$18*'Returns  Stats'!D7+'MPT Optimisation'!$B$19*'Returns  Stats'!E7</f>
        <v>3.6440013560619655E-3</v>
      </c>
    </row>
    <row r="8" spans="1:2" ht="15" customHeight="1" x14ac:dyDescent="0.2">
      <c r="A8" s="32" t="str">
        <f>'Returns  Stats'!A8</f>
        <v>2021-01-13</v>
      </c>
      <c r="B8" s="35">
        <f>'MPT Optimisation'!$B$16*'Returns  Stats'!B8+'MPT Optimisation'!$B$17*'Returns  Stats'!C8+'MPT Optimisation'!$B$18*'Returns  Stats'!D8+'MPT Optimisation'!$B$19*'Returns  Stats'!E8</f>
        <v>1.0313874544176762E-3</v>
      </c>
    </row>
    <row r="9" spans="1:2" ht="15" customHeight="1" x14ac:dyDescent="0.2">
      <c r="A9" s="32" t="str">
        <f>'Returns  Stats'!A9</f>
        <v>2021-01-14</v>
      </c>
      <c r="B9" s="35">
        <f>'MPT Optimisation'!$B$16*'Returns  Stats'!B9+'MPT Optimisation'!$B$17*'Returns  Stats'!C9+'MPT Optimisation'!$B$18*'Returns  Stats'!D9+'MPT Optimisation'!$B$19*'Returns  Stats'!E9</f>
        <v>2.0242776706347332E-3</v>
      </c>
    </row>
    <row r="10" spans="1:2" ht="15" customHeight="1" x14ac:dyDescent="0.2">
      <c r="A10" s="32" t="str">
        <f>'Returns  Stats'!A10</f>
        <v>2021-01-15</v>
      </c>
      <c r="B10" s="35">
        <f>'MPT Optimisation'!$B$16*'Returns  Stats'!B10+'MPT Optimisation'!$B$17*'Returns  Stats'!C10+'MPT Optimisation'!$B$18*'Returns  Stats'!D10+'MPT Optimisation'!$B$19*'Returns  Stats'!E10</f>
        <v>-9.2802509706594646E-3</v>
      </c>
    </row>
    <row r="11" spans="1:2" ht="15" customHeight="1" x14ac:dyDescent="0.2">
      <c r="A11" s="32" t="str">
        <f>'Returns  Stats'!A11</f>
        <v>2021-01-19</v>
      </c>
      <c r="B11" s="35">
        <f>'MPT Optimisation'!$B$16*'Returns  Stats'!B11+'MPT Optimisation'!$B$17*'Returns  Stats'!C11+'MPT Optimisation'!$B$18*'Returns  Stats'!D11+'MPT Optimisation'!$B$19*'Returns  Stats'!E11</f>
        <v>7.584397239505841E-3</v>
      </c>
    </row>
    <row r="12" spans="1:2" ht="15" customHeight="1" x14ac:dyDescent="0.2">
      <c r="A12" s="32" t="str">
        <f>'Returns  Stats'!A12</f>
        <v>2021-01-20</v>
      </c>
      <c r="B12" s="35">
        <f>'MPT Optimisation'!$B$16*'Returns  Stats'!B12+'MPT Optimisation'!$B$17*'Returns  Stats'!C12+'MPT Optimisation'!$B$18*'Returns  Stats'!D12+'MPT Optimisation'!$B$19*'Returns  Stats'!E12</f>
        <v>1.057309486434962E-2</v>
      </c>
    </row>
    <row r="13" spans="1:2" ht="15" customHeight="1" x14ac:dyDescent="0.2">
      <c r="A13" s="32" t="str">
        <f>'Returns  Stats'!A13</f>
        <v>2021-01-21</v>
      </c>
      <c r="B13" s="35">
        <f>'MPT Optimisation'!$B$16*'Returns  Stats'!B13+'MPT Optimisation'!$B$17*'Returns  Stats'!C13+'MPT Optimisation'!$B$18*'Returns  Stats'!D13+'MPT Optimisation'!$B$19*'Returns  Stats'!E13</f>
        <v>-5.1933432332357807E-4</v>
      </c>
    </row>
    <row r="14" spans="1:2" ht="15" customHeight="1" x14ac:dyDescent="0.2">
      <c r="A14" s="32" t="str">
        <f>'Returns  Stats'!A14</f>
        <v>2021-01-22</v>
      </c>
      <c r="B14" s="35">
        <f>'MPT Optimisation'!$B$16*'Returns  Stats'!B14+'MPT Optimisation'!$B$17*'Returns  Stats'!C14+'MPT Optimisation'!$B$18*'Returns  Stats'!D14+'MPT Optimisation'!$B$19*'Returns  Stats'!E14</f>
        <v>-2.2971199795049357E-3</v>
      </c>
    </row>
    <row r="15" spans="1:2" ht="15" customHeight="1" x14ac:dyDescent="0.2">
      <c r="A15" s="32" t="str">
        <f>'Returns  Stats'!A15</f>
        <v>2021-01-25</v>
      </c>
      <c r="B15" s="35">
        <f>'MPT Optimisation'!$B$16*'Returns  Stats'!B15+'MPT Optimisation'!$B$17*'Returns  Stats'!C15+'MPT Optimisation'!$B$18*'Returns  Stats'!D15+'MPT Optimisation'!$B$19*'Returns  Stats'!E15</f>
        <v>1.8498825293682298E-3</v>
      </c>
    </row>
    <row r="16" spans="1:2" ht="15" customHeight="1" x14ac:dyDescent="0.2">
      <c r="A16" s="32" t="str">
        <f>'Returns  Stats'!A16</f>
        <v>2021-01-26</v>
      </c>
      <c r="B16" s="35">
        <f>'MPT Optimisation'!$B$16*'Returns  Stats'!B16+'MPT Optimisation'!$B$17*'Returns  Stats'!C16+'MPT Optimisation'!$B$18*'Returns  Stats'!D16+'MPT Optimisation'!$B$19*'Returns  Stats'!E16</f>
        <v>-1.3985713166321462E-3</v>
      </c>
    </row>
    <row r="17" spans="1:2" ht="15" customHeight="1" x14ac:dyDescent="0.2">
      <c r="A17" s="32" t="str">
        <f>'Returns  Stats'!A17</f>
        <v>2021-01-27</v>
      </c>
      <c r="B17" s="35">
        <f>'MPT Optimisation'!$B$16*'Returns  Stats'!B17+'MPT Optimisation'!$B$17*'Returns  Stats'!C17+'MPT Optimisation'!$B$18*'Returns  Stats'!D17+'MPT Optimisation'!$B$19*'Returns  Stats'!E17</f>
        <v>-2.2152272366838921E-2</v>
      </c>
    </row>
    <row r="18" spans="1:2" ht="15" customHeight="1" x14ac:dyDescent="0.2">
      <c r="A18" s="32" t="str">
        <f>'Returns  Stats'!A18</f>
        <v>2021-01-28</v>
      </c>
      <c r="B18" s="35">
        <f>'MPT Optimisation'!$B$16*'Returns  Stats'!B18+'MPT Optimisation'!$B$17*'Returns  Stats'!C18+'MPT Optimisation'!$B$18*'Returns  Stats'!D18+'MPT Optimisation'!$B$19*'Returns  Stats'!E18</f>
        <v>6.8710089300237131E-3</v>
      </c>
    </row>
    <row r="19" spans="1:2" ht="15" customHeight="1" x14ac:dyDescent="0.2">
      <c r="A19" s="32" t="str">
        <f>'Returns  Stats'!A19</f>
        <v>2021-01-29</v>
      </c>
      <c r="B19" s="35">
        <f>'MPT Optimisation'!$B$16*'Returns  Stats'!B19+'MPT Optimisation'!$B$17*'Returns  Stats'!C19+'MPT Optimisation'!$B$18*'Returns  Stats'!D19+'MPT Optimisation'!$B$19*'Returns  Stats'!E19</f>
        <v>-1.7354843699332729E-2</v>
      </c>
    </row>
    <row r="20" spans="1:2" ht="15" customHeight="1" x14ac:dyDescent="0.2">
      <c r="A20" s="32" t="str">
        <f>'Returns  Stats'!A20</f>
        <v>2021-02-01</v>
      </c>
      <c r="B20" s="35">
        <f>'MPT Optimisation'!$B$16*'Returns  Stats'!B20+'MPT Optimisation'!$B$17*'Returns  Stats'!C20+'MPT Optimisation'!$B$18*'Returns  Stats'!D20+'MPT Optimisation'!$B$19*'Returns  Stats'!E20</f>
        <v>1.4991269996081091E-2</v>
      </c>
    </row>
    <row r="21" spans="1:2" ht="15" customHeight="1" x14ac:dyDescent="0.2">
      <c r="A21" s="32" t="str">
        <f>'Returns  Stats'!A21</f>
        <v>2021-02-02</v>
      </c>
      <c r="B21" s="35">
        <f>'MPT Optimisation'!$B$16*'Returns  Stats'!B21+'MPT Optimisation'!$B$17*'Returns  Stats'!C21+'MPT Optimisation'!$B$18*'Returns  Stats'!D21+'MPT Optimisation'!$B$19*'Returns  Stats'!E21</f>
        <v>1.1859480619209132E-2</v>
      </c>
    </row>
    <row r="22" spans="1:2" ht="15" customHeight="1" x14ac:dyDescent="0.2">
      <c r="A22" s="32" t="str">
        <f>'Returns  Stats'!A22</f>
        <v>2021-02-03</v>
      </c>
      <c r="B22" s="35">
        <f>'MPT Optimisation'!$B$16*'Returns  Stats'!B22+'MPT Optimisation'!$B$17*'Returns  Stats'!C22+'MPT Optimisation'!$B$18*'Returns  Stats'!D22+'MPT Optimisation'!$B$19*'Returns  Stats'!E22</f>
        <v>1.4434305333315745E-3</v>
      </c>
    </row>
    <row r="23" spans="1:2" ht="15" customHeight="1" x14ac:dyDescent="0.2">
      <c r="A23" s="32" t="str">
        <f>'Returns  Stats'!A23</f>
        <v>2021-02-04</v>
      </c>
      <c r="B23" s="35">
        <f>'MPT Optimisation'!$B$16*'Returns  Stats'!B23+'MPT Optimisation'!$B$17*'Returns  Stats'!C23+'MPT Optimisation'!$B$18*'Returns  Stats'!D23+'MPT Optimisation'!$B$19*'Returns  Stats'!E23</f>
        <v>8.2499973050180735E-3</v>
      </c>
    </row>
    <row r="24" spans="1:2" ht="15" customHeight="1" x14ac:dyDescent="0.2">
      <c r="A24" s="32" t="str">
        <f>'Returns  Stats'!A24</f>
        <v>2021-02-05</v>
      </c>
      <c r="B24" s="35">
        <f>'MPT Optimisation'!$B$16*'Returns  Stats'!B24+'MPT Optimisation'!$B$17*'Returns  Stats'!C24+'MPT Optimisation'!$B$18*'Returns  Stats'!D24+'MPT Optimisation'!$B$19*'Returns  Stats'!E24</f>
        <v>5.3409319990915631E-3</v>
      </c>
    </row>
    <row r="25" spans="1:2" ht="15" customHeight="1" x14ac:dyDescent="0.2">
      <c r="A25" s="32" t="str">
        <f>'Returns  Stats'!A25</f>
        <v>2021-02-08</v>
      </c>
      <c r="B25" s="35">
        <f>'MPT Optimisation'!$B$16*'Returns  Stats'!B25+'MPT Optimisation'!$B$17*'Returns  Stats'!C25+'MPT Optimisation'!$B$18*'Returns  Stats'!D25+'MPT Optimisation'!$B$19*'Returns  Stats'!E25</f>
        <v>7.7913626138026533E-3</v>
      </c>
    </row>
    <row r="26" spans="1:2" ht="15" customHeight="1" x14ac:dyDescent="0.2">
      <c r="A26" s="32" t="str">
        <f>'Returns  Stats'!A26</f>
        <v>2021-02-09</v>
      </c>
      <c r="B26" s="35">
        <f>'MPT Optimisation'!$B$16*'Returns  Stats'!B26+'MPT Optimisation'!$B$17*'Returns  Stats'!C26+'MPT Optimisation'!$B$18*'Returns  Stats'!D26+'MPT Optimisation'!$B$19*'Returns  Stats'!E26</f>
        <v>2.0642160763923887E-3</v>
      </c>
    </row>
    <row r="27" spans="1:2" ht="15" customHeight="1" x14ac:dyDescent="0.2">
      <c r="A27" s="32" t="str">
        <f>'Returns  Stats'!A27</f>
        <v>2021-02-10</v>
      </c>
      <c r="B27" s="35">
        <f>'MPT Optimisation'!$B$16*'Returns  Stats'!B27+'MPT Optimisation'!$B$17*'Returns  Stats'!C27+'MPT Optimisation'!$B$18*'Returns  Stats'!D27+'MPT Optimisation'!$B$19*'Returns  Stats'!E27</f>
        <v>-9.7625670632712754E-4</v>
      </c>
    </row>
    <row r="28" spans="1:2" ht="15" customHeight="1" x14ac:dyDescent="0.2">
      <c r="A28" s="32" t="str">
        <f>'Returns  Stats'!A28</f>
        <v>2021-02-11</v>
      </c>
      <c r="B28" s="35">
        <f>'MPT Optimisation'!$B$16*'Returns  Stats'!B28+'MPT Optimisation'!$B$17*'Returns  Stats'!C28+'MPT Optimisation'!$B$18*'Returns  Stats'!D28+'MPT Optimisation'!$B$19*'Returns  Stats'!E28</f>
        <v>3.5040645591049857E-3</v>
      </c>
    </row>
    <row r="29" spans="1:2" ht="15" customHeight="1" x14ac:dyDescent="0.2">
      <c r="A29" s="32" t="str">
        <f>'Returns  Stats'!A29</f>
        <v>2021-02-12</v>
      </c>
      <c r="B29" s="35">
        <f>'MPT Optimisation'!$B$16*'Returns  Stats'!B29+'MPT Optimisation'!$B$17*'Returns  Stats'!C29+'MPT Optimisation'!$B$18*'Returns  Stats'!D29+'MPT Optimisation'!$B$19*'Returns  Stats'!E29</f>
        <v>4.6659364770305018E-3</v>
      </c>
    </row>
    <row r="30" spans="1:2" ht="15" customHeight="1" x14ac:dyDescent="0.2">
      <c r="A30" s="32" t="str">
        <f>'Returns  Stats'!A30</f>
        <v>2021-02-16</v>
      </c>
      <c r="B30" s="35">
        <f>'MPT Optimisation'!$B$16*'Returns  Stats'!B30+'MPT Optimisation'!$B$17*'Returns  Stats'!C30+'MPT Optimisation'!$B$18*'Returns  Stats'!D30+'MPT Optimisation'!$B$19*'Returns  Stats'!E30</f>
        <v>4.7126192998934188E-4</v>
      </c>
    </row>
    <row r="31" spans="1:2" ht="15" customHeight="1" x14ac:dyDescent="0.2">
      <c r="A31" s="32" t="str">
        <f>'Returns  Stats'!A31</f>
        <v>2021-02-17</v>
      </c>
      <c r="B31" s="35">
        <f>'MPT Optimisation'!$B$16*'Returns  Stats'!B31+'MPT Optimisation'!$B$17*'Returns  Stats'!C31+'MPT Optimisation'!$B$18*'Returns  Stats'!D31+'MPT Optimisation'!$B$19*'Returns  Stats'!E31</f>
        <v>-2.9648804015979633E-3</v>
      </c>
    </row>
    <row r="32" spans="1:2" ht="15" customHeight="1" x14ac:dyDescent="0.2">
      <c r="A32" s="32" t="str">
        <f>'Returns  Stats'!A32</f>
        <v>2021-02-18</v>
      </c>
      <c r="B32" s="35">
        <f>'MPT Optimisation'!$B$16*'Returns  Stats'!B32+'MPT Optimisation'!$B$17*'Returns  Stats'!C32+'MPT Optimisation'!$B$18*'Returns  Stats'!D32+'MPT Optimisation'!$B$19*'Returns  Stats'!E32</f>
        <v>-5.1861286245253766E-3</v>
      </c>
    </row>
    <row r="33" spans="1:2" ht="15" customHeight="1" x14ac:dyDescent="0.2">
      <c r="A33" s="32" t="str">
        <f>'Returns  Stats'!A33</f>
        <v>2021-02-19</v>
      </c>
      <c r="B33" s="35">
        <f>'MPT Optimisation'!$B$16*'Returns  Stats'!B33+'MPT Optimisation'!$B$17*'Returns  Stats'!C33+'MPT Optimisation'!$B$18*'Returns  Stats'!D33+'MPT Optimisation'!$B$19*'Returns  Stats'!E33</f>
        <v>2.3738817230429142E-3</v>
      </c>
    </row>
    <row r="34" spans="1:2" ht="15" customHeight="1" x14ac:dyDescent="0.2">
      <c r="A34" s="32" t="str">
        <f>'Returns  Stats'!A34</f>
        <v>2021-02-22</v>
      </c>
      <c r="B34" s="35">
        <f>'MPT Optimisation'!$B$16*'Returns  Stats'!B34+'MPT Optimisation'!$B$17*'Returns  Stats'!C34+'MPT Optimisation'!$B$18*'Returns  Stats'!D34+'MPT Optimisation'!$B$19*'Returns  Stats'!E34</f>
        <v>-6.1964124719101794E-3</v>
      </c>
    </row>
    <row r="35" spans="1:2" ht="15" customHeight="1" x14ac:dyDescent="0.2">
      <c r="A35" s="32" t="str">
        <f>'Returns  Stats'!A35</f>
        <v>2021-02-23</v>
      </c>
      <c r="B35" s="35">
        <f>'MPT Optimisation'!$B$16*'Returns  Stats'!B35+'MPT Optimisation'!$B$17*'Returns  Stats'!C35+'MPT Optimisation'!$B$18*'Returns  Stats'!D35+'MPT Optimisation'!$B$19*'Returns  Stats'!E35</f>
        <v>5.1314109319323671E-4</v>
      </c>
    </row>
    <row r="36" spans="1:2" ht="15" customHeight="1" x14ac:dyDescent="0.2">
      <c r="A36" s="32" t="str">
        <f>'Returns  Stats'!A36</f>
        <v>2021-02-24</v>
      </c>
      <c r="B36" s="35">
        <f>'MPT Optimisation'!$B$16*'Returns  Stats'!B36+'MPT Optimisation'!$B$17*'Returns  Stats'!C36+'MPT Optimisation'!$B$18*'Returns  Stats'!D36+'MPT Optimisation'!$B$19*'Returns  Stats'!E36</f>
        <v>8.0467964019794499E-3</v>
      </c>
    </row>
    <row r="37" spans="1:2" ht="15" customHeight="1" x14ac:dyDescent="0.2">
      <c r="A37" s="32" t="str">
        <f>'Returns  Stats'!A37</f>
        <v>2021-02-25</v>
      </c>
      <c r="B37" s="35">
        <f>'MPT Optimisation'!$B$16*'Returns  Stats'!B37+'MPT Optimisation'!$B$17*'Returns  Stats'!C37+'MPT Optimisation'!$B$18*'Returns  Stats'!D37+'MPT Optimisation'!$B$19*'Returns  Stats'!E37</f>
        <v>-2.2201154876595075E-2</v>
      </c>
    </row>
    <row r="38" spans="1:2" ht="15" customHeight="1" x14ac:dyDescent="0.2">
      <c r="A38" s="32" t="str">
        <f>'Returns  Stats'!A38</f>
        <v>2021-02-26</v>
      </c>
      <c r="B38" s="35">
        <f>'MPT Optimisation'!$B$16*'Returns  Stats'!B38+'MPT Optimisation'!$B$17*'Returns  Stats'!C38+'MPT Optimisation'!$B$18*'Returns  Stats'!D38+'MPT Optimisation'!$B$19*'Returns  Stats'!E38</f>
        <v>-6.9479937334152361E-3</v>
      </c>
    </row>
    <row r="39" spans="1:2" ht="15" customHeight="1" x14ac:dyDescent="0.2">
      <c r="A39" s="32" t="str">
        <f>'Returns  Stats'!A39</f>
        <v>2021-03-01</v>
      </c>
      <c r="B39" s="35">
        <f>'MPT Optimisation'!$B$16*'Returns  Stats'!B39+'MPT Optimisation'!$B$17*'Returns  Stats'!C39+'MPT Optimisation'!$B$18*'Returns  Stats'!D39+'MPT Optimisation'!$B$19*'Returns  Stats'!E39</f>
        <v>2.1244007618224932E-2</v>
      </c>
    </row>
    <row r="40" spans="1:2" ht="15" customHeight="1" x14ac:dyDescent="0.2">
      <c r="A40" s="32" t="str">
        <f>'Returns  Stats'!A40</f>
        <v>2021-03-02</v>
      </c>
      <c r="B40" s="35">
        <f>'MPT Optimisation'!$B$16*'Returns  Stats'!B40+'MPT Optimisation'!$B$17*'Returns  Stats'!C40+'MPT Optimisation'!$B$18*'Returns  Stats'!D40+'MPT Optimisation'!$B$19*'Returns  Stats'!E40</f>
        <v>-6.4339456488378697E-3</v>
      </c>
    </row>
    <row r="41" spans="1:2" ht="15" customHeight="1" x14ac:dyDescent="0.2">
      <c r="A41" s="32" t="str">
        <f>'Returns  Stats'!A41</f>
        <v>2021-03-03</v>
      </c>
      <c r="B41" s="35">
        <f>'MPT Optimisation'!$B$16*'Returns  Stats'!B41+'MPT Optimisation'!$B$17*'Returns  Stats'!C41+'MPT Optimisation'!$B$18*'Returns  Stats'!D41+'MPT Optimisation'!$B$19*'Returns  Stats'!E41</f>
        <v>-1.0948359920602101E-2</v>
      </c>
    </row>
    <row r="42" spans="1:2" ht="15" customHeight="1" x14ac:dyDescent="0.2">
      <c r="A42" s="32" t="str">
        <f>'Returns  Stats'!A42</f>
        <v>2021-03-04</v>
      </c>
      <c r="B42" s="35">
        <f>'MPT Optimisation'!$B$16*'Returns  Stats'!B42+'MPT Optimisation'!$B$17*'Returns  Stats'!C42+'MPT Optimisation'!$B$18*'Returns  Stats'!D42+'MPT Optimisation'!$B$19*'Returns  Stats'!E42</f>
        <v>-1.3051551788207227E-2</v>
      </c>
    </row>
    <row r="43" spans="1:2" ht="15" customHeight="1" x14ac:dyDescent="0.2">
      <c r="A43" s="32" t="str">
        <f>'Returns  Stats'!A43</f>
        <v>2021-03-05</v>
      </c>
      <c r="B43" s="35">
        <f>'MPT Optimisation'!$B$16*'Returns  Stats'!B43+'MPT Optimisation'!$B$17*'Returns  Stats'!C43+'MPT Optimisation'!$B$18*'Returns  Stats'!D43+'MPT Optimisation'!$B$19*'Returns  Stats'!E43</f>
        <v>1.328612478021454E-2</v>
      </c>
    </row>
    <row r="44" spans="1:2" ht="15" customHeight="1" x14ac:dyDescent="0.2">
      <c r="A44" s="32" t="str">
        <f>'Returns  Stats'!A44</f>
        <v>2021-03-08</v>
      </c>
      <c r="B44" s="35">
        <f>'MPT Optimisation'!$B$16*'Returns  Stats'!B44+'MPT Optimisation'!$B$17*'Returns  Stats'!C44+'MPT Optimisation'!$B$18*'Returns  Stats'!D44+'MPT Optimisation'!$B$19*'Returns  Stats'!E44</f>
        <v>-3.7392368693981658E-3</v>
      </c>
    </row>
    <row r="45" spans="1:2" ht="15" customHeight="1" x14ac:dyDescent="0.2">
      <c r="A45" s="32" t="str">
        <f>'Returns  Stats'!A45</f>
        <v>2021-03-09</v>
      </c>
      <c r="B45" s="35">
        <f>'MPT Optimisation'!$B$16*'Returns  Stats'!B45+'MPT Optimisation'!$B$17*'Returns  Stats'!C45+'MPT Optimisation'!$B$18*'Returns  Stats'!D45+'MPT Optimisation'!$B$19*'Returns  Stats'!E45</f>
        <v>1.3864373019048604E-2</v>
      </c>
    </row>
    <row r="46" spans="1:2" ht="15" customHeight="1" x14ac:dyDescent="0.2">
      <c r="A46" s="32" t="str">
        <f>'Returns  Stats'!A46</f>
        <v>2021-03-10</v>
      </c>
      <c r="B46" s="35">
        <f>'MPT Optimisation'!$B$16*'Returns  Stats'!B46+'MPT Optimisation'!$B$17*'Returns  Stats'!C46+'MPT Optimisation'!$B$18*'Returns  Stats'!D46+'MPT Optimisation'!$B$19*'Returns  Stats'!E46</f>
        <v>6.1443524508346331E-3</v>
      </c>
    </row>
    <row r="47" spans="1:2" ht="15" customHeight="1" x14ac:dyDescent="0.2">
      <c r="A47" s="32" t="str">
        <f>'Returns  Stats'!A47</f>
        <v>2021-03-11</v>
      </c>
      <c r="B47" s="35">
        <f>'MPT Optimisation'!$B$16*'Returns  Stats'!B47+'MPT Optimisation'!$B$17*'Returns  Stats'!C47+'MPT Optimisation'!$B$18*'Returns  Stats'!D47+'MPT Optimisation'!$B$19*'Returns  Stats'!E47</f>
        <v>1.0005410961582377E-2</v>
      </c>
    </row>
    <row r="48" spans="1:2" ht="15" customHeight="1" x14ac:dyDescent="0.2">
      <c r="A48" s="32" t="str">
        <f>'Returns  Stats'!A48</f>
        <v>2021-03-12</v>
      </c>
      <c r="B48" s="35">
        <f>'MPT Optimisation'!$B$16*'Returns  Stats'!B48+'MPT Optimisation'!$B$17*'Returns  Stats'!C48+'MPT Optimisation'!$B$18*'Returns  Stats'!D48+'MPT Optimisation'!$B$19*'Returns  Stats'!E48</f>
        <v>2.4914923064308591E-3</v>
      </c>
    </row>
    <row r="49" spans="1:2" ht="15" customHeight="1" x14ac:dyDescent="0.2">
      <c r="A49" s="32" t="str">
        <f>'Returns  Stats'!A49</f>
        <v>2021-03-15</v>
      </c>
      <c r="B49" s="35">
        <f>'MPT Optimisation'!$B$16*'Returns  Stats'!B49+'MPT Optimisation'!$B$17*'Returns  Stats'!C49+'MPT Optimisation'!$B$18*'Returns  Stats'!D49+'MPT Optimisation'!$B$19*'Returns  Stats'!E49</f>
        <v>5.2257725885958561E-3</v>
      </c>
    </row>
    <row r="50" spans="1:2" ht="15" customHeight="1" x14ac:dyDescent="0.2">
      <c r="A50" s="32" t="str">
        <f>'Returns  Stats'!A50</f>
        <v>2021-03-16</v>
      </c>
      <c r="B50" s="35">
        <f>'MPT Optimisation'!$B$16*'Returns  Stats'!B50+'MPT Optimisation'!$B$17*'Returns  Stats'!C50+'MPT Optimisation'!$B$18*'Returns  Stats'!D50+'MPT Optimisation'!$B$19*'Returns  Stats'!E50</f>
        <v>-2.1243470277558405E-3</v>
      </c>
    </row>
    <row r="51" spans="1:2" ht="15" customHeight="1" x14ac:dyDescent="0.2">
      <c r="A51" s="32" t="str">
        <f>'Returns  Stats'!A51</f>
        <v>2021-03-17</v>
      </c>
      <c r="B51" s="35">
        <f>'MPT Optimisation'!$B$16*'Returns  Stats'!B51+'MPT Optimisation'!$B$17*'Returns  Stats'!C51+'MPT Optimisation'!$B$18*'Returns  Stats'!D51+'MPT Optimisation'!$B$19*'Returns  Stats'!E51</f>
        <v>4.0831161035302429E-3</v>
      </c>
    </row>
    <row r="52" spans="1:2" ht="15" customHeight="1" x14ac:dyDescent="0.2">
      <c r="A52" s="32" t="str">
        <f>'Returns  Stats'!A52</f>
        <v>2021-03-18</v>
      </c>
      <c r="B52" s="35">
        <f>'MPT Optimisation'!$B$16*'Returns  Stats'!B52+'MPT Optimisation'!$B$17*'Returns  Stats'!C52+'MPT Optimisation'!$B$18*'Returns  Stats'!D52+'MPT Optimisation'!$B$19*'Returns  Stats'!E52</f>
        <v>-1.4349972400431848E-2</v>
      </c>
    </row>
    <row r="53" spans="1:2" ht="15" customHeight="1" x14ac:dyDescent="0.2">
      <c r="A53" s="32" t="str">
        <f>'Returns  Stats'!A53</f>
        <v>2021-03-19</v>
      </c>
      <c r="B53" s="35">
        <f>'MPT Optimisation'!$B$16*'Returns  Stats'!B53+'MPT Optimisation'!$B$17*'Returns  Stats'!C53+'MPT Optimisation'!$B$18*'Returns  Stats'!D53+'MPT Optimisation'!$B$19*'Returns  Stats'!E53</f>
        <v>9.45862154146909E-4</v>
      </c>
    </row>
    <row r="54" spans="1:2" ht="15" customHeight="1" x14ac:dyDescent="0.2">
      <c r="A54" s="32" t="str">
        <f>'Returns  Stats'!A54</f>
        <v>2021-03-22</v>
      </c>
      <c r="B54" s="35">
        <f>'MPT Optimisation'!$B$16*'Returns  Stats'!B54+'MPT Optimisation'!$B$17*'Returns  Stats'!C54+'MPT Optimisation'!$B$18*'Returns  Stats'!D54+'MPT Optimisation'!$B$19*'Returns  Stats'!E54</f>
        <v>3.9698967142378968E-3</v>
      </c>
    </row>
    <row r="55" spans="1:2" ht="15" customHeight="1" x14ac:dyDescent="0.2">
      <c r="A55" s="32" t="str">
        <f>'Returns  Stats'!A55</f>
        <v>2021-03-23</v>
      </c>
      <c r="B55" s="35">
        <f>'MPT Optimisation'!$B$16*'Returns  Stats'!B55+'MPT Optimisation'!$B$17*'Returns  Stats'!C55+'MPT Optimisation'!$B$18*'Returns  Stats'!D55+'MPT Optimisation'!$B$19*'Returns  Stats'!E55</f>
        <v>-1.093299907015825E-2</v>
      </c>
    </row>
    <row r="56" spans="1:2" ht="15" customHeight="1" x14ac:dyDescent="0.2">
      <c r="A56" s="32" t="str">
        <f>'Returns  Stats'!A56</f>
        <v>2021-03-24</v>
      </c>
      <c r="B56" s="35">
        <f>'MPT Optimisation'!$B$16*'Returns  Stats'!B56+'MPT Optimisation'!$B$17*'Returns  Stats'!C56+'MPT Optimisation'!$B$18*'Returns  Stats'!D56+'MPT Optimisation'!$B$19*'Returns  Stats'!E56</f>
        <v>-6.7001943044076142E-3</v>
      </c>
    </row>
    <row r="57" spans="1:2" ht="15" customHeight="1" x14ac:dyDescent="0.2">
      <c r="A57" s="32" t="str">
        <f>'Returns  Stats'!A57</f>
        <v>2021-03-25</v>
      </c>
      <c r="B57" s="35">
        <f>'MPT Optimisation'!$B$16*'Returns  Stats'!B57+'MPT Optimisation'!$B$17*'Returns  Stats'!C57+'MPT Optimisation'!$B$18*'Returns  Stats'!D57+'MPT Optimisation'!$B$19*'Returns  Stats'!E57</f>
        <v>7.1602882263094346E-3</v>
      </c>
    </row>
    <row r="58" spans="1:2" ht="15" customHeight="1" x14ac:dyDescent="0.2">
      <c r="A58" s="32" t="str">
        <f>'Returns  Stats'!A58</f>
        <v>2021-03-26</v>
      </c>
      <c r="B58" s="35">
        <f>'MPT Optimisation'!$B$16*'Returns  Stats'!B58+'MPT Optimisation'!$B$17*'Returns  Stats'!C58+'MPT Optimisation'!$B$18*'Returns  Stats'!D58+'MPT Optimisation'!$B$19*'Returns  Stats'!E58</f>
        <v>1.4688428991111283E-2</v>
      </c>
    </row>
    <row r="59" spans="1:2" ht="15" customHeight="1" x14ac:dyDescent="0.2">
      <c r="A59" s="32" t="str">
        <f>'Returns  Stats'!A59</f>
        <v>2021-03-29</v>
      </c>
      <c r="B59" s="35">
        <f>'MPT Optimisation'!$B$16*'Returns  Stats'!B59+'MPT Optimisation'!$B$17*'Returns  Stats'!C59+'MPT Optimisation'!$B$18*'Returns  Stats'!D59+'MPT Optimisation'!$B$19*'Returns  Stats'!E59</f>
        <v>-4.3679256496770898E-3</v>
      </c>
    </row>
    <row r="60" spans="1:2" ht="15" customHeight="1" x14ac:dyDescent="0.2">
      <c r="A60" s="32" t="str">
        <f>'Returns  Stats'!A60</f>
        <v>2021-03-30</v>
      </c>
      <c r="B60" s="35">
        <f>'MPT Optimisation'!$B$16*'Returns  Stats'!B60+'MPT Optimisation'!$B$17*'Returns  Stats'!C60+'MPT Optimisation'!$B$18*'Returns  Stats'!D60+'MPT Optimisation'!$B$19*'Returns  Stats'!E60</f>
        <v>-4.6381652233897782E-4</v>
      </c>
    </row>
    <row r="61" spans="1:2" ht="15" customHeight="1" x14ac:dyDescent="0.2">
      <c r="A61" s="32" t="str">
        <f>'Returns  Stats'!A61</f>
        <v>2021-03-31</v>
      </c>
      <c r="B61" s="35">
        <f>'MPT Optimisation'!$B$16*'Returns  Stats'!B61+'MPT Optimisation'!$B$17*'Returns  Stats'!C61+'MPT Optimisation'!$B$18*'Returns  Stats'!D61+'MPT Optimisation'!$B$19*'Returns  Stats'!E61</f>
        <v>2.057257384651939E-3</v>
      </c>
    </row>
    <row r="62" spans="1:2" ht="15" customHeight="1" x14ac:dyDescent="0.2">
      <c r="A62" s="32" t="str">
        <f>'Returns  Stats'!A62</f>
        <v>2021-04-01</v>
      </c>
      <c r="B62" s="35">
        <f>'MPT Optimisation'!$B$16*'Returns  Stats'!B62+'MPT Optimisation'!$B$17*'Returns  Stats'!C62+'MPT Optimisation'!$B$18*'Returns  Stats'!D62+'MPT Optimisation'!$B$19*'Returns  Stats'!E62</f>
        <v>1.2510255134532109E-2</v>
      </c>
    </row>
    <row r="63" spans="1:2" ht="15" customHeight="1" x14ac:dyDescent="0.2">
      <c r="A63" s="32" t="str">
        <f>'Returns  Stats'!A63</f>
        <v>2021-04-05</v>
      </c>
      <c r="B63" s="35">
        <f>'MPT Optimisation'!$B$16*'Returns  Stats'!B63+'MPT Optimisation'!$B$17*'Returns  Stats'!C63+'MPT Optimisation'!$B$18*'Returns  Stats'!D63+'MPT Optimisation'!$B$19*'Returns  Stats'!E63</f>
        <v>1.1458453507748972E-2</v>
      </c>
    </row>
    <row r="64" spans="1:2" ht="15" customHeight="1" x14ac:dyDescent="0.2">
      <c r="A64" s="32" t="str">
        <f>'Returns  Stats'!A64</f>
        <v>2021-04-06</v>
      </c>
      <c r="B64" s="35">
        <f>'MPT Optimisation'!$B$16*'Returns  Stats'!B64+'MPT Optimisation'!$B$17*'Returns  Stats'!C64+'MPT Optimisation'!$B$18*'Returns  Stats'!D64+'MPT Optimisation'!$B$19*'Returns  Stats'!E64</f>
        <v>-2.6626009282276759E-3</v>
      </c>
    </row>
    <row r="65" spans="1:2" ht="15" customHeight="1" x14ac:dyDescent="0.2">
      <c r="A65" s="32" t="str">
        <f>'Returns  Stats'!A65</f>
        <v>2021-04-07</v>
      </c>
      <c r="B65" s="35">
        <f>'MPT Optimisation'!$B$16*'Returns  Stats'!B65+'MPT Optimisation'!$B$17*'Returns  Stats'!C65+'MPT Optimisation'!$B$18*'Returns  Stats'!D65+'MPT Optimisation'!$B$19*'Returns  Stats'!E65</f>
        <v>7.0526767951711834E-5</v>
      </c>
    </row>
    <row r="66" spans="1:2" ht="15" customHeight="1" x14ac:dyDescent="0.2">
      <c r="A66" s="32" t="str">
        <f>'Returns  Stats'!A66</f>
        <v>2021-04-08</v>
      </c>
      <c r="B66" s="35">
        <f>'MPT Optimisation'!$B$16*'Returns  Stats'!B66+'MPT Optimisation'!$B$17*'Returns  Stats'!C66+'MPT Optimisation'!$B$18*'Returns  Stats'!D66+'MPT Optimisation'!$B$19*'Returns  Stats'!E66</f>
        <v>5.131780766793187E-3</v>
      </c>
    </row>
    <row r="67" spans="1:2" ht="15" customHeight="1" x14ac:dyDescent="0.2">
      <c r="A67" s="32" t="str">
        <f>'Returns  Stats'!A67</f>
        <v>2021-04-09</v>
      </c>
      <c r="B67" s="35">
        <f>'MPT Optimisation'!$B$16*'Returns  Stats'!B67+'MPT Optimisation'!$B$17*'Returns  Stats'!C67+'MPT Optimisation'!$B$18*'Returns  Stats'!D67+'MPT Optimisation'!$B$19*'Returns  Stats'!E67</f>
        <v>4.4469259669017757E-3</v>
      </c>
    </row>
    <row r="68" spans="1:2" ht="15" customHeight="1" x14ac:dyDescent="0.2">
      <c r="A68" s="32" t="str">
        <f>'Returns  Stats'!A68</f>
        <v>2021-04-12</v>
      </c>
      <c r="B68" s="35">
        <f>'MPT Optimisation'!$B$16*'Returns  Stats'!B68+'MPT Optimisation'!$B$17*'Returns  Stats'!C68+'MPT Optimisation'!$B$18*'Returns  Stats'!D68+'MPT Optimisation'!$B$19*'Returns  Stats'!E68</f>
        <v>-1.205688158917184E-3</v>
      </c>
    </row>
    <row r="69" spans="1:2" ht="15" customHeight="1" x14ac:dyDescent="0.2">
      <c r="A69" s="32" t="str">
        <f>'Returns  Stats'!A69</f>
        <v>2021-04-13</v>
      </c>
      <c r="B69" s="35">
        <f>'MPT Optimisation'!$B$16*'Returns  Stats'!B69+'MPT Optimisation'!$B$17*'Returns  Stats'!C69+'MPT Optimisation'!$B$18*'Returns  Stats'!D69+'MPT Optimisation'!$B$19*'Returns  Stats'!E69</f>
        <v>3.8149382538685606E-3</v>
      </c>
    </row>
    <row r="70" spans="1:2" ht="15" customHeight="1" x14ac:dyDescent="0.2">
      <c r="A70" s="32" t="str">
        <f>'Returns  Stats'!A70</f>
        <v>2021-04-14</v>
      </c>
      <c r="B70" s="35">
        <f>'MPT Optimisation'!$B$16*'Returns  Stats'!B70+'MPT Optimisation'!$B$17*'Returns  Stats'!C70+'MPT Optimisation'!$B$18*'Returns  Stats'!D70+'MPT Optimisation'!$B$19*'Returns  Stats'!E70</f>
        <v>-1.4131256443409123E-3</v>
      </c>
    </row>
    <row r="71" spans="1:2" ht="15" customHeight="1" x14ac:dyDescent="0.2">
      <c r="A71" s="32" t="str">
        <f>'Returns  Stats'!A71</f>
        <v>2021-04-15</v>
      </c>
      <c r="B71" s="35">
        <f>'MPT Optimisation'!$B$16*'Returns  Stats'!B71+'MPT Optimisation'!$B$17*'Returns  Stats'!C71+'MPT Optimisation'!$B$18*'Returns  Stats'!D71+'MPT Optimisation'!$B$19*'Returns  Stats'!E71</f>
        <v>9.9527679353266108E-3</v>
      </c>
    </row>
    <row r="72" spans="1:2" ht="15" customHeight="1" x14ac:dyDescent="0.2">
      <c r="A72" s="32" t="str">
        <f>'Returns  Stats'!A72</f>
        <v>2021-04-16</v>
      </c>
      <c r="B72" s="35">
        <f>'MPT Optimisation'!$B$16*'Returns  Stats'!B72+'MPT Optimisation'!$B$17*'Returns  Stats'!C72+'MPT Optimisation'!$B$18*'Returns  Stats'!D72+'MPT Optimisation'!$B$19*'Returns  Stats'!E72</f>
        <v>3.6744525243176283E-3</v>
      </c>
    </row>
    <row r="73" spans="1:2" ht="15" customHeight="1" x14ac:dyDescent="0.2">
      <c r="A73" s="32" t="str">
        <f>'Returns  Stats'!A73</f>
        <v>2021-04-19</v>
      </c>
      <c r="B73" s="35">
        <f>'MPT Optimisation'!$B$16*'Returns  Stats'!B73+'MPT Optimisation'!$B$17*'Returns  Stats'!C73+'MPT Optimisation'!$B$18*'Returns  Stats'!D73+'MPT Optimisation'!$B$19*'Returns  Stats'!E73</f>
        <v>-4.3934515969861641E-3</v>
      </c>
    </row>
    <row r="74" spans="1:2" ht="15" customHeight="1" x14ac:dyDescent="0.2">
      <c r="A74" s="32" t="str">
        <f>'Returns  Stats'!A74</f>
        <v>2021-04-20</v>
      </c>
      <c r="B74" s="35">
        <f>'MPT Optimisation'!$B$16*'Returns  Stats'!B74+'MPT Optimisation'!$B$17*'Returns  Stats'!C74+'MPT Optimisation'!$B$18*'Returns  Stats'!D74+'MPT Optimisation'!$B$19*'Returns  Stats'!E74</f>
        <v>-1.0400471713101777E-2</v>
      </c>
    </row>
    <row r="75" spans="1:2" ht="15" customHeight="1" x14ac:dyDescent="0.2">
      <c r="A75" s="32" t="str">
        <f>'Returns  Stats'!A75</f>
        <v>2021-04-21</v>
      </c>
      <c r="B75" s="35">
        <f>'MPT Optimisation'!$B$16*'Returns  Stats'!B75+'MPT Optimisation'!$B$17*'Returns  Stats'!C75+'MPT Optimisation'!$B$18*'Returns  Stats'!D75+'MPT Optimisation'!$B$19*'Returns  Stats'!E75</f>
        <v>1.062299380391073E-2</v>
      </c>
    </row>
    <row r="76" spans="1:2" ht="15" customHeight="1" x14ac:dyDescent="0.2">
      <c r="A76" s="32" t="str">
        <f>'Returns  Stats'!A76</f>
        <v>2021-04-22</v>
      </c>
      <c r="B76" s="35">
        <f>'MPT Optimisation'!$B$16*'Returns  Stats'!B76+'MPT Optimisation'!$B$17*'Returns  Stats'!C76+'MPT Optimisation'!$B$18*'Returns  Stats'!D76+'MPT Optimisation'!$B$19*'Returns  Stats'!E76</f>
        <v>-5.9391636073343572E-3</v>
      </c>
    </row>
    <row r="77" spans="1:2" ht="15" customHeight="1" x14ac:dyDescent="0.2">
      <c r="A77" s="32" t="str">
        <f>'Returns  Stats'!A77</f>
        <v>2021-04-23</v>
      </c>
      <c r="B77" s="35">
        <f>'MPT Optimisation'!$B$16*'Returns  Stats'!B77+'MPT Optimisation'!$B$17*'Returns  Stats'!C77+'MPT Optimisation'!$B$18*'Returns  Stats'!D77+'MPT Optimisation'!$B$19*'Returns  Stats'!E77</f>
        <v>1.0619842561807081E-2</v>
      </c>
    </row>
    <row r="78" spans="1:2" ht="15" customHeight="1" x14ac:dyDescent="0.2">
      <c r="A78" s="32" t="str">
        <f>'Returns  Stats'!A78</f>
        <v>2021-04-26</v>
      </c>
      <c r="B78" s="35">
        <f>'MPT Optimisation'!$B$16*'Returns  Stats'!B78+'MPT Optimisation'!$B$17*'Returns  Stats'!C78+'MPT Optimisation'!$B$18*'Returns  Stats'!D78+'MPT Optimisation'!$B$19*'Returns  Stats'!E78</f>
        <v>2.51451620826445E-3</v>
      </c>
    </row>
    <row r="79" spans="1:2" ht="15" customHeight="1" x14ac:dyDescent="0.2">
      <c r="A79" s="32" t="str">
        <f>'Returns  Stats'!A79</f>
        <v>2021-04-27</v>
      </c>
      <c r="B79" s="35">
        <f>'MPT Optimisation'!$B$16*'Returns  Stats'!B79+'MPT Optimisation'!$B$17*'Returns  Stats'!C79+'MPT Optimisation'!$B$18*'Returns  Stats'!D79+'MPT Optimisation'!$B$19*'Returns  Stats'!E79</f>
        <v>-1.3880632601358466E-3</v>
      </c>
    </row>
    <row r="80" spans="1:2" ht="15" customHeight="1" x14ac:dyDescent="0.2">
      <c r="A80" s="32" t="str">
        <f>'Returns  Stats'!A80</f>
        <v>2021-04-28</v>
      </c>
      <c r="B80" s="35">
        <f>'MPT Optimisation'!$B$16*'Returns  Stats'!B80+'MPT Optimisation'!$B$17*'Returns  Stats'!C80+'MPT Optimisation'!$B$18*'Returns  Stats'!D80+'MPT Optimisation'!$B$19*'Returns  Stats'!E80</f>
        <v>5.9719156395206534E-4</v>
      </c>
    </row>
    <row r="81" spans="1:2" ht="15" customHeight="1" x14ac:dyDescent="0.2">
      <c r="A81" s="32" t="str">
        <f>'Returns  Stats'!A81</f>
        <v>2021-04-29</v>
      </c>
      <c r="B81" s="35">
        <f>'MPT Optimisation'!$B$16*'Returns  Stats'!B81+'MPT Optimisation'!$B$17*'Returns  Stats'!C81+'MPT Optimisation'!$B$18*'Returns  Stats'!D81+'MPT Optimisation'!$B$19*'Returns  Stats'!E81</f>
        <v>2.8026089737833884E-3</v>
      </c>
    </row>
    <row r="82" spans="1:2" ht="15" customHeight="1" x14ac:dyDescent="0.2">
      <c r="A82" s="32" t="str">
        <f>'Returns  Stats'!A82</f>
        <v>2021-04-30</v>
      </c>
      <c r="B82" s="35">
        <f>'MPT Optimisation'!$B$16*'Returns  Stats'!B82+'MPT Optimisation'!$B$17*'Returns  Stats'!C82+'MPT Optimisation'!$B$18*'Returns  Stats'!D82+'MPT Optimisation'!$B$19*'Returns  Stats'!E82</f>
        <v>-7.8941919325704706E-3</v>
      </c>
    </row>
    <row r="83" spans="1:2" ht="15" customHeight="1" x14ac:dyDescent="0.2">
      <c r="A83" s="32" t="str">
        <f>'Returns  Stats'!A83</f>
        <v>2021-05-03</v>
      </c>
      <c r="B83" s="35">
        <f>'MPT Optimisation'!$B$16*'Returns  Stats'!B83+'MPT Optimisation'!$B$17*'Returns  Stats'!C83+'MPT Optimisation'!$B$18*'Returns  Stats'!D83+'MPT Optimisation'!$B$19*'Returns  Stats'!E83</f>
        <v>4.2893003535163458E-3</v>
      </c>
    </row>
    <row r="84" spans="1:2" ht="15" customHeight="1" x14ac:dyDescent="0.2">
      <c r="A84" s="32" t="str">
        <f>'Returns  Stats'!A84</f>
        <v>2021-05-04</v>
      </c>
      <c r="B84" s="35">
        <f>'MPT Optimisation'!$B$16*'Returns  Stats'!B84+'MPT Optimisation'!$B$17*'Returns  Stats'!C84+'MPT Optimisation'!$B$18*'Returns  Stats'!D84+'MPT Optimisation'!$B$19*'Returns  Stats'!E84</f>
        <v>-9.2041769401453085E-3</v>
      </c>
    </row>
    <row r="85" spans="1:2" ht="15" customHeight="1" x14ac:dyDescent="0.2">
      <c r="A85" s="32" t="str">
        <f>'Returns  Stats'!A85</f>
        <v>2021-05-05</v>
      </c>
      <c r="B85" s="35">
        <f>'MPT Optimisation'!$B$16*'Returns  Stats'!B85+'MPT Optimisation'!$B$17*'Returns  Stats'!C85+'MPT Optimisation'!$B$18*'Returns  Stats'!D85+'MPT Optimisation'!$B$19*'Returns  Stats'!E85</f>
        <v>3.1861105619362113E-3</v>
      </c>
    </row>
    <row r="86" spans="1:2" ht="15" customHeight="1" x14ac:dyDescent="0.2">
      <c r="A86" s="32" t="str">
        <f>'Returns  Stats'!A86</f>
        <v>2021-05-06</v>
      </c>
      <c r="B86" s="35">
        <f>'MPT Optimisation'!$B$16*'Returns  Stats'!B86+'MPT Optimisation'!$B$17*'Returns  Stats'!C86+'MPT Optimisation'!$B$18*'Returns  Stats'!D86+'MPT Optimisation'!$B$19*'Returns  Stats'!E86</f>
        <v>5.8190536659220131E-3</v>
      </c>
    </row>
    <row r="87" spans="1:2" ht="15" customHeight="1" x14ac:dyDescent="0.2">
      <c r="A87" s="32" t="str">
        <f>'Returns  Stats'!A87</f>
        <v>2021-05-07</v>
      </c>
      <c r="B87" s="35">
        <f>'MPT Optimisation'!$B$16*'Returns  Stats'!B87+'MPT Optimisation'!$B$17*'Returns  Stats'!C87+'MPT Optimisation'!$B$18*'Returns  Stats'!D87+'MPT Optimisation'!$B$19*'Returns  Stats'!E87</f>
        <v>9.1310206781034138E-3</v>
      </c>
    </row>
    <row r="88" spans="1:2" ht="15" customHeight="1" x14ac:dyDescent="0.2">
      <c r="A88" s="32" t="str">
        <f>'Returns  Stats'!A88</f>
        <v>2021-05-10</v>
      </c>
      <c r="B88" s="35">
        <f>'MPT Optimisation'!$B$16*'Returns  Stats'!B88+'MPT Optimisation'!$B$17*'Returns  Stats'!C88+'MPT Optimisation'!$B$18*'Returns  Stats'!D88+'MPT Optimisation'!$B$19*'Returns  Stats'!E88</f>
        <v>-8.7471394750870402E-3</v>
      </c>
    </row>
    <row r="89" spans="1:2" ht="15" customHeight="1" x14ac:dyDescent="0.2">
      <c r="A89" s="32" t="str">
        <f>'Returns  Stats'!A89</f>
        <v>2021-05-11</v>
      </c>
      <c r="B89" s="35">
        <f>'MPT Optimisation'!$B$16*'Returns  Stats'!B89+'MPT Optimisation'!$B$17*'Returns  Stats'!C89+'MPT Optimisation'!$B$18*'Returns  Stats'!D89+'MPT Optimisation'!$B$19*'Returns  Stats'!E89</f>
        <v>-9.5069880861157596E-3</v>
      </c>
    </row>
    <row r="90" spans="1:2" ht="15" customHeight="1" x14ac:dyDescent="0.2">
      <c r="A90" s="32" t="str">
        <f>'Returns  Stats'!A90</f>
        <v>2021-05-12</v>
      </c>
      <c r="B90" s="35">
        <f>'MPT Optimisation'!$B$16*'Returns  Stats'!B90+'MPT Optimisation'!$B$17*'Returns  Stats'!C90+'MPT Optimisation'!$B$18*'Returns  Stats'!D90+'MPT Optimisation'!$B$19*'Returns  Stats'!E90</f>
        <v>-1.9744357539510853E-2</v>
      </c>
    </row>
    <row r="91" spans="1:2" ht="15" customHeight="1" x14ac:dyDescent="0.2">
      <c r="A91" s="32" t="str">
        <f>'Returns  Stats'!A91</f>
        <v>2021-05-13</v>
      </c>
      <c r="B91" s="35">
        <f>'MPT Optimisation'!$B$16*'Returns  Stats'!B91+'MPT Optimisation'!$B$17*'Returns  Stats'!C91+'MPT Optimisation'!$B$18*'Returns  Stats'!D91+'MPT Optimisation'!$B$19*'Returns  Stats'!E91</f>
        <v>9.6161779417794913E-3</v>
      </c>
    </row>
    <row r="92" spans="1:2" ht="15" customHeight="1" x14ac:dyDescent="0.2">
      <c r="A92" s="32" t="str">
        <f>'Returns  Stats'!A92</f>
        <v>2021-05-14</v>
      </c>
      <c r="B92" s="35">
        <f>'MPT Optimisation'!$B$16*'Returns  Stats'!B92+'MPT Optimisation'!$B$17*'Returns  Stats'!C92+'MPT Optimisation'!$B$18*'Returns  Stats'!D92+'MPT Optimisation'!$B$19*'Returns  Stats'!E92</f>
        <v>1.5979639766921527E-2</v>
      </c>
    </row>
    <row r="93" spans="1:2" ht="15" customHeight="1" x14ac:dyDescent="0.2">
      <c r="A93" s="32" t="str">
        <f>'Returns  Stats'!A93</f>
        <v>2021-05-17</v>
      </c>
      <c r="B93" s="35">
        <f>'MPT Optimisation'!$B$16*'Returns  Stats'!B93+'MPT Optimisation'!$B$17*'Returns  Stats'!C93+'MPT Optimisation'!$B$18*'Returns  Stats'!D93+'MPT Optimisation'!$B$19*'Returns  Stats'!E93</f>
        <v>-1.838453766110637E-3</v>
      </c>
    </row>
    <row r="94" spans="1:2" ht="15" customHeight="1" x14ac:dyDescent="0.2">
      <c r="A94" s="32" t="str">
        <f>'Returns  Stats'!A94</f>
        <v>2021-05-18</v>
      </c>
      <c r="B94" s="35">
        <f>'MPT Optimisation'!$B$16*'Returns  Stats'!B94+'MPT Optimisation'!$B$17*'Returns  Stats'!C94+'MPT Optimisation'!$B$18*'Returns  Stats'!D94+'MPT Optimisation'!$B$19*'Returns  Stats'!E94</f>
        <v>-4.095403842731004E-3</v>
      </c>
    </row>
    <row r="95" spans="1:2" ht="15" customHeight="1" x14ac:dyDescent="0.2">
      <c r="A95" s="32" t="str">
        <f>'Returns  Stats'!A95</f>
        <v>2021-05-19</v>
      </c>
      <c r="B95" s="35">
        <f>'MPT Optimisation'!$B$16*'Returns  Stats'!B95+'MPT Optimisation'!$B$17*'Returns  Stats'!C95+'MPT Optimisation'!$B$18*'Returns  Stats'!D95+'MPT Optimisation'!$B$19*'Returns  Stats'!E95</f>
        <v>-4.6116990647925406E-3</v>
      </c>
    </row>
    <row r="96" spans="1:2" ht="15" customHeight="1" x14ac:dyDescent="0.2">
      <c r="A96" s="32" t="str">
        <f>'Returns  Stats'!A96</f>
        <v>2021-05-20</v>
      </c>
      <c r="B96" s="35">
        <f>'MPT Optimisation'!$B$16*'Returns  Stats'!B96+'MPT Optimisation'!$B$17*'Returns  Stats'!C96+'MPT Optimisation'!$B$18*'Returns  Stats'!D96+'MPT Optimisation'!$B$19*'Returns  Stats'!E96</f>
        <v>1.1203086175121137E-2</v>
      </c>
    </row>
    <row r="97" spans="1:2" ht="15" customHeight="1" x14ac:dyDescent="0.2">
      <c r="A97" s="32" t="str">
        <f>'Returns  Stats'!A97</f>
        <v>2021-05-21</v>
      </c>
      <c r="B97" s="35">
        <f>'MPT Optimisation'!$B$16*'Returns  Stats'!B97+'MPT Optimisation'!$B$17*'Returns  Stats'!C97+'MPT Optimisation'!$B$18*'Returns  Stats'!D97+'MPT Optimisation'!$B$19*'Returns  Stats'!E97</f>
        <v>4.8897074958548249E-5</v>
      </c>
    </row>
    <row r="98" spans="1:2" ht="15" customHeight="1" x14ac:dyDescent="0.2">
      <c r="A98" s="32" t="str">
        <f>'Returns  Stats'!A98</f>
        <v>2021-05-24</v>
      </c>
      <c r="B98" s="35">
        <f>'MPT Optimisation'!$B$16*'Returns  Stats'!B98+'MPT Optimisation'!$B$17*'Returns  Stats'!C98+'MPT Optimisation'!$B$18*'Returns  Stats'!D98+'MPT Optimisation'!$B$19*'Returns  Stats'!E98</f>
        <v>8.5646391512632074E-3</v>
      </c>
    </row>
    <row r="99" spans="1:2" ht="15" customHeight="1" x14ac:dyDescent="0.2">
      <c r="A99" s="32" t="str">
        <f>'Returns  Stats'!A99</f>
        <v>2021-05-25</v>
      </c>
      <c r="B99" s="35">
        <f>'MPT Optimisation'!$B$16*'Returns  Stats'!B99+'MPT Optimisation'!$B$17*'Returns  Stats'!C99+'MPT Optimisation'!$B$18*'Returns  Stats'!D99+'MPT Optimisation'!$B$19*'Returns  Stats'!E99</f>
        <v>-1.4762060805204257E-3</v>
      </c>
    </row>
    <row r="100" spans="1:2" ht="15" customHeight="1" x14ac:dyDescent="0.2">
      <c r="A100" s="32" t="str">
        <f>'Returns  Stats'!A100</f>
        <v>2021-05-26</v>
      </c>
      <c r="B100" s="35">
        <f>'MPT Optimisation'!$B$16*'Returns  Stats'!B100+'MPT Optimisation'!$B$17*'Returns  Stats'!C100+'MPT Optimisation'!$B$18*'Returns  Stats'!D100+'MPT Optimisation'!$B$19*'Returns  Stats'!E100</f>
        <v>2.1797892831393385E-3</v>
      </c>
    </row>
    <row r="101" spans="1:2" ht="15" customHeight="1" x14ac:dyDescent="0.2">
      <c r="A101" s="32" t="str">
        <f>'Returns  Stats'!A101</f>
        <v>2021-05-27</v>
      </c>
      <c r="B101" s="35">
        <f>'MPT Optimisation'!$B$16*'Returns  Stats'!B101+'MPT Optimisation'!$B$17*'Returns  Stats'!C101+'MPT Optimisation'!$B$18*'Returns  Stats'!D101+'MPT Optimisation'!$B$19*'Returns  Stats'!E101</f>
        <v>1.4867547798136035E-3</v>
      </c>
    </row>
    <row r="102" spans="1:2" ht="15" customHeight="1" x14ac:dyDescent="0.2">
      <c r="A102" s="32" t="str">
        <f>'Returns  Stats'!A102</f>
        <v>2021-05-28</v>
      </c>
      <c r="B102" s="35">
        <f>'MPT Optimisation'!$B$16*'Returns  Stats'!B102+'MPT Optimisation'!$B$17*'Returns  Stats'!C102+'MPT Optimisation'!$B$18*'Returns  Stats'!D102+'MPT Optimisation'!$B$19*'Returns  Stats'!E102</f>
        <v>2.0288017924834146E-3</v>
      </c>
    </row>
    <row r="103" spans="1:2" ht="15" customHeight="1" x14ac:dyDescent="0.2">
      <c r="A103" s="32" t="str">
        <f>'Returns  Stats'!A103</f>
        <v>2021-06-01</v>
      </c>
      <c r="B103" s="35">
        <f>'MPT Optimisation'!$B$16*'Returns  Stats'!B103+'MPT Optimisation'!$B$17*'Returns  Stats'!C103+'MPT Optimisation'!$B$18*'Returns  Stats'!D103+'MPT Optimisation'!$B$19*'Returns  Stats'!E103</f>
        <v>2.2017610610639616E-3</v>
      </c>
    </row>
    <row r="104" spans="1:2" ht="15" customHeight="1" x14ac:dyDescent="0.2">
      <c r="A104" s="32" t="str">
        <f>'Returns  Stats'!A104</f>
        <v>2021-06-02</v>
      </c>
      <c r="B104" s="35">
        <f>'MPT Optimisation'!$B$16*'Returns  Stats'!B104+'MPT Optimisation'!$B$17*'Returns  Stats'!C104+'MPT Optimisation'!$B$18*'Returns  Stats'!D104+'MPT Optimisation'!$B$19*'Returns  Stats'!E104</f>
        <v>2.4467623392441457E-3</v>
      </c>
    </row>
    <row r="105" spans="1:2" ht="15" customHeight="1" x14ac:dyDescent="0.2">
      <c r="A105" s="32" t="str">
        <f>'Returns  Stats'!A105</f>
        <v>2021-06-03</v>
      </c>
      <c r="B105" s="35">
        <f>'MPT Optimisation'!$B$16*'Returns  Stats'!B105+'MPT Optimisation'!$B$17*'Returns  Stats'!C105+'MPT Optimisation'!$B$18*'Returns  Stats'!D105+'MPT Optimisation'!$B$19*'Returns  Stats'!E105</f>
        <v>-4.4409486414015154E-3</v>
      </c>
    </row>
    <row r="106" spans="1:2" ht="15" customHeight="1" x14ac:dyDescent="0.2">
      <c r="A106" s="32" t="str">
        <f>'Returns  Stats'!A106</f>
        <v>2021-06-04</v>
      </c>
      <c r="B106" s="35">
        <f>'MPT Optimisation'!$B$16*'Returns  Stats'!B106+'MPT Optimisation'!$B$17*'Returns  Stats'!C106+'MPT Optimisation'!$B$18*'Returns  Stats'!D106+'MPT Optimisation'!$B$19*'Returns  Stats'!E106</f>
        <v>7.9999070706352812E-3</v>
      </c>
    </row>
    <row r="107" spans="1:2" ht="15" customHeight="1" x14ac:dyDescent="0.2">
      <c r="A107" s="32" t="str">
        <f>'Returns  Stats'!A107</f>
        <v>2021-06-07</v>
      </c>
      <c r="B107" s="35">
        <f>'MPT Optimisation'!$B$16*'Returns  Stats'!B107+'MPT Optimisation'!$B$17*'Returns  Stats'!C107+'MPT Optimisation'!$B$18*'Returns  Stats'!D107+'MPT Optimisation'!$B$19*'Returns  Stats'!E107</f>
        <v>2.039021783376943E-3</v>
      </c>
    </row>
    <row r="108" spans="1:2" ht="15" customHeight="1" x14ac:dyDescent="0.2">
      <c r="A108" s="32" t="str">
        <f>'Returns  Stats'!A108</f>
        <v>2021-06-08</v>
      </c>
      <c r="B108" s="35">
        <f>'MPT Optimisation'!$B$16*'Returns  Stats'!B108+'MPT Optimisation'!$B$17*'Returns  Stats'!C108+'MPT Optimisation'!$B$18*'Returns  Stats'!D108+'MPT Optimisation'!$B$19*'Returns  Stats'!E108</f>
        <v>1.5892211887512551E-3</v>
      </c>
    </row>
    <row r="109" spans="1:2" ht="15" customHeight="1" x14ac:dyDescent="0.2">
      <c r="A109" s="32" t="str">
        <f>'Returns  Stats'!A109</f>
        <v>2021-06-09</v>
      </c>
      <c r="B109" s="35">
        <f>'MPT Optimisation'!$B$16*'Returns  Stats'!B109+'MPT Optimisation'!$B$17*'Returns  Stats'!C109+'MPT Optimisation'!$B$18*'Returns  Stats'!D109+'MPT Optimisation'!$B$19*'Returns  Stats'!E109</f>
        <v>-2.3293442584955137E-3</v>
      </c>
    </row>
    <row r="110" spans="1:2" ht="15" customHeight="1" x14ac:dyDescent="0.2">
      <c r="A110" s="32" t="str">
        <f>'Returns  Stats'!A110</f>
        <v>2021-06-10</v>
      </c>
      <c r="B110" s="35">
        <f>'MPT Optimisation'!$B$16*'Returns  Stats'!B110+'MPT Optimisation'!$B$17*'Returns  Stats'!C110+'MPT Optimisation'!$B$18*'Returns  Stats'!D110+'MPT Optimisation'!$B$19*'Returns  Stats'!E110</f>
        <v>3.9413668175471758E-3</v>
      </c>
    </row>
    <row r="111" spans="1:2" ht="15" customHeight="1" x14ac:dyDescent="0.2">
      <c r="A111" s="32" t="str">
        <f>'Returns  Stats'!A111</f>
        <v>2021-06-11</v>
      </c>
      <c r="B111" s="35">
        <f>'MPT Optimisation'!$B$16*'Returns  Stats'!B111+'MPT Optimisation'!$B$17*'Returns  Stats'!C111+'MPT Optimisation'!$B$18*'Returns  Stats'!D111+'MPT Optimisation'!$B$19*'Returns  Stats'!E111</f>
        <v>2.2544311751058091E-3</v>
      </c>
    </row>
    <row r="112" spans="1:2" ht="15" customHeight="1" x14ac:dyDescent="0.2">
      <c r="A112" s="32" t="str">
        <f>'Returns  Stats'!A112</f>
        <v>2021-06-14</v>
      </c>
      <c r="B112" s="35">
        <f>'MPT Optimisation'!$B$16*'Returns  Stats'!B112+'MPT Optimisation'!$B$17*'Returns  Stats'!C112+'MPT Optimisation'!$B$18*'Returns  Stats'!D112+'MPT Optimisation'!$B$19*'Returns  Stats'!E112</f>
        <v>1.5108154498425729E-3</v>
      </c>
    </row>
    <row r="113" spans="1:2" ht="15" customHeight="1" x14ac:dyDescent="0.2">
      <c r="A113" s="32" t="str">
        <f>'Returns  Stats'!A113</f>
        <v>2021-06-15</v>
      </c>
      <c r="B113" s="35">
        <f>'MPT Optimisation'!$B$16*'Returns  Stats'!B113+'MPT Optimisation'!$B$17*'Returns  Stats'!C113+'MPT Optimisation'!$B$18*'Returns  Stats'!D113+'MPT Optimisation'!$B$19*'Returns  Stats'!E113</f>
        <v>-1.7162003234124424E-3</v>
      </c>
    </row>
    <row r="114" spans="1:2" ht="15" customHeight="1" x14ac:dyDescent="0.2">
      <c r="A114" s="32" t="str">
        <f>'Returns  Stats'!A114</f>
        <v>2021-06-16</v>
      </c>
      <c r="B114" s="35">
        <f>'MPT Optimisation'!$B$16*'Returns  Stats'!B114+'MPT Optimisation'!$B$17*'Returns  Stats'!C114+'MPT Optimisation'!$B$18*'Returns  Stats'!D114+'MPT Optimisation'!$B$19*'Returns  Stats'!E114</f>
        <v>-5.3225673227591244E-3</v>
      </c>
    </row>
    <row r="115" spans="1:2" ht="15" customHeight="1" x14ac:dyDescent="0.2">
      <c r="A115" s="32" t="str">
        <f>'Returns  Stats'!A115</f>
        <v>2021-06-17</v>
      </c>
      <c r="B115" s="35">
        <f>'MPT Optimisation'!$B$16*'Returns  Stats'!B115+'MPT Optimisation'!$B$17*'Returns  Stats'!C115+'MPT Optimisation'!$B$18*'Returns  Stats'!D115+'MPT Optimisation'!$B$19*'Returns  Stats'!E115</f>
        <v>-2.5599332216109886E-3</v>
      </c>
    </row>
    <row r="116" spans="1:2" ht="15" customHeight="1" x14ac:dyDescent="0.2">
      <c r="A116" s="32" t="str">
        <f>'Returns  Stats'!A116</f>
        <v>2021-06-18</v>
      </c>
      <c r="B116" s="35">
        <f>'MPT Optimisation'!$B$16*'Returns  Stats'!B116+'MPT Optimisation'!$B$17*'Returns  Stats'!C116+'MPT Optimisation'!$B$18*'Returns  Stats'!D116+'MPT Optimisation'!$B$19*'Returns  Stats'!E116</f>
        <v>-1.4362106866475204E-2</v>
      </c>
    </row>
    <row r="117" spans="1:2" ht="15" customHeight="1" x14ac:dyDescent="0.2">
      <c r="A117" s="32" t="str">
        <f>'Returns  Stats'!A117</f>
        <v>2021-06-21</v>
      </c>
      <c r="B117" s="35">
        <f>'MPT Optimisation'!$B$16*'Returns  Stats'!B117+'MPT Optimisation'!$B$17*'Returns  Stats'!C117+'MPT Optimisation'!$B$18*'Returns  Stats'!D117+'MPT Optimisation'!$B$19*'Returns  Stats'!E117</f>
        <v>1.3113613212891522E-2</v>
      </c>
    </row>
    <row r="118" spans="1:2" ht="15" customHeight="1" x14ac:dyDescent="0.2">
      <c r="A118" s="32" t="str">
        <f>'Returns  Stats'!A118</f>
        <v>2021-06-22</v>
      </c>
      <c r="B118" s="35">
        <f>'MPT Optimisation'!$B$16*'Returns  Stats'!B118+'MPT Optimisation'!$B$17*'Returns  Stats'!C118+'MPT Optimisation'!$B$18*'Returns  Stats'!D118+'MPT Optimisation'!$B$19*'Returns  Stats'!E118</f>
        <v>3.2429918453802382E-3</v>
      </c>
    </row>
    <row r="119" spans="1:2" ht="15" customHeight="1" x14ac:dyDescent="0.2">
      <c r="A119" s="32" t="str">
        <f>'Returns  Stats'!A119</f>
        <v>2021-06-23</v>
      </c>
      <c r="B119" s="35">
        <f>'MPT Optimisation'!$B$16*'Returns  Stats'!B119+'MPT Optimisation'!$B$17*'Returns  Stats'!C119+'MPT Optimisation'!$B$18*'Returns  Stats'!D119+'MPT Optimisation'!$B$19*'Returns  Stats'!E119</f>
        <v>-2.2804583179074581E-3</v>
      </c>
    </row>
    <row r="120" spans="1:2" ht="15" customHeight="1" x14ac:dyDescent="0.2">
      <c r="A120" s="32" t="str">
        <f>'Returns  Stats'!A120</f>
        <v>2021-06-24</v>
      </c>
      <c r="B120" s="35">
        <f>'MPT Optimisation'!$B$16*'Returns  Stats'!B120+'MPT Optimisation'!$B$17*'Returns  Stats'!C120+'MPT Optimisation'!$B$18*'Returns  Stats'!D120+'MPT Optimisation'!$B$19*'Returns  Stats'!E120</f>
        <v>6.8667398742905282E-3</v>
      </c>
    </row>
    <row r="121" spans="1:2" ht="15" customHeight="1" x14ac:dyDescent="0.2">
      <c r="A121" s="32" t="str">
        <f>'Returns  Stats'!A121</f>
        <v>2021-06-25</v>
      </c>
      <c r="B121" s="35">
        <f>'MPT Optimisation'!$B$16*'Returns  Stats'!B121+'MPT Optimisation'!$B$17*'Returns  Stats'!C121+'MPT Optimisation'!$B$18*'Returns  Stats'!D121+'MPT Optimisation'!$B$19*'Returns  Stats'!E121</f>
        <v>3.1227102934170861E-3</v>
      </c>
    </row>
    <row r="122" spans="1:2" ht="15" customHeight="1" x14ac:dyDescent="0.2">
      <c r="A122" s="32" t="str">
        <f>'Returns  Stats'!A122</f>
        <v>2021-06-28</v>
      </c>
      <c r="B122" s="35">
        <f>'MPT Optimisation'!$B$16*'Returns  Stats'!B122+'MPT Optimisation'!$B$17*'Returns  Stats'!C122+'MPT Optimisation'!$B$18*'Returns  Stats'!D122+'MPT Optimisation'!$B$19*'Returns  Stats'!E122</f>
        <v>-1.2410577154216671E-3</v>
      </c>
    </row>
    <row r="123" spans="1:2" ht="15" customHeight="1" x14ac:dyDescent="0.2">
      <c r="A123" s="32" t="str">
        <f>'Returns  Stats'!A123</f>
        <v>2021-06-29</v>
      </c>
      <c r="B123" s="35">
        <f>'MPT Optimisation'!$B$16*'Returns  Stats'!B123+'MPT Optimisation'!$B$17*'Returns  Stats'!C123+'MPT Optimisation'!$B$18*'Returns  Stats'!D123+'MPT Optimisation'!$B$19*'Returns  Stats'!E123</f>
        <v>-8.01538610300523E-6</v>
      </c>
    </row>
    <row r="124" spans="1:2" ht="15" customHeight="1" x14ac:dyDescent="0.2">
      <c r="A124" s="32" t="str">
        <f>'Returns  Stats'!A124</f>
        <v>2021-06-30</v>
      </c>
      <c r="B124" s="35">
        <f>'MPT Optimisation'!$B$16*'Returns  Stats'!B124+'MPT Optimisation'!$B$17*'Returns  Stats'!C124+'MPT Optimisation'!$B$18*'Returns  Stats'!D124+'MPT Optimisation'!$B$19*'Returns  Stats'!E124</f>
        <v>-2.5044091268825452E-3</v>
      </c>
    </row>
    <row r="125" spans="1:2" ht="15" customHeight="1" x14ac:dyDescent="0.2">
      <c r="A125" s="32" t="str">
        <f>'Returns  Stats'!A125</f>
        <v>2021-07-01</v>
      </c>
      <c r="B125" s="35">
        <f>'MPT Optimisation'!$B$16*'Returns  Stats'!B125+'MPT Optimisation'!$B$17*'Returns  Stats'!C125+'MPT Optimisation'!$B$18*'Returns  Stats'!D125+'MPT Optimisation'!$B$19*'Returns  Stats'!E125</f>
        <v>4.1692916651986872E-3</v>
      </c>
    </row>
    <row r="126" spans="1:2" ht="15" customHeight="1" x14ac:dyDescent="0.2">
      <c r="A126" s="32" t="str">
        <f>'Returns  Stats'!A126</f>
        <v>2021-07-02</v>
      </c>
      <c r="B126" s="35">
        <f>'MPT Optimisation'!$B$16*'Returns  Stats'!B126+'MPT Optimisation'!$B$17*'Returns  Stats'!C126+'MPT Optimisation'!$B$18*'Returns  Stats'!D126+'MPT Optimisation'!$B$19*'Returns  Stats'!E126</f>
        <v>4.6055760320367735E-3</v>
      </c>
    </row>
    <row r="127" spans="1:2" ht="15" customHeight="1" x14ac:dyDescent="0.2">
      <c r="A127" s="32" t="str">
        <f>'Returns  Stats'!A127</f>
        <v>2021-07-06</v>
      </c>
      <c r="B127" s="35">
        <f>'MPT Optimisation'!$B$16*'Returns  Stats'!B127+'MPT Optimisation'!$B$17*'Returns  Stats'!C127+'MPT Optimisation'!$B$18*'Returns  Stats'!D127+'MPT Optimisation'!$B$19*'Returns  Stats'!E127</f>
        <v>-2.7452053731976014E-3</v>
      </c>
    </row>
    <row r="128" spans="1:2" ht="15" customHeight="1" x14ac:dyDescent="0.2">
      <c r="A128" s="32" t="str">
        <f>'Returns  Stats'!A128</f>
        <v>2021-07-07</v>
      </c>
      <c r="B128" s="35">
        <f>'MPT Optimisation'!$B$16*'Returns  Stats'!B128+'MPT Optimisation'!$B$17*'Returns  Stats'!C128+'MPT Optimisation'!$B$18*'Returns  Stats'!D128+'MPT Optimisation'!$B$19*'Returns  Stats'!E128</f>
        <v>2.6981940361851084E-3</v>
      </c>
    </row>
    <row r="129" spans="1:2" ht="15" customHeight="1" x14ac:dyDescent="0.2">
      <c r="A129" s="32" t="str">
        <f>'Returns  Stats'!A129</f>
        <v>2021-07-08</v>
      </c>
      <c r="B129" s="35">
        <f>'MPT Optimisation'!$B$16*'Returns  Stats'!B129+'MPT Optimisation'!$B$17*'Returns  Stats'!C129+'MPT Optimisation'!$B$18*'Returns  Stats'!D129+'MPT Optimisation'!$B$19*'Returns  Stats'!E129</f>
        <v>-9.0099713321860238E-3</v>
      </c>
    </row>
    <row r="130" spans="1:2" ht="15" customHeight="1" x14ac:dyDescent="0.2">
      <c r="A130" s="32" t="str">
        <f>'Returns  Stats'!A130</f>
        <v>2021-07-09</v>
      </c>
      <c r="B130" s="35">
        <f>'MPT Optimisation'!$B$16*'Returns  Stats'!B130+'MPT Optimisation'!$B$17*'Returns  Stats'!C130+'MPT Optimisation'!$B$18*'Returns  Stats'!D130+'MPT Optimisation'!$B$19*'Returns  Stats'!E130</f>
        <v>1.3017700034333595E-2</v>
      </c>
    </row>
    <row r="131" spans="1:2" ht="15" customHeight="1" x14ac:dyDescent="0.2">
      <c r="A131" s="32" t="str">
        <f>'Returns  Stats'!A131</f>
        <v>2021-07-12</v>
      </c>
      <c r="B131" s="35">
        <f>'MPT Optimisation'!$B$16*'Returns  Stats'!B131+'MPT Optimisation'!$B$17*'Returns  Stats'!C131+'MPT Optimisation'!$B$18*'Returns  Stats'!D131+'MPT Optimisation'!$B$19*'Returns  Stats'!E131</f>
        <v>3.3534802285646037E-3</v>
      </c>
    </row>
    <row r="132" spans="1:2" ht="15" customHeight="1" x14ac:dyDescent="0.2">
      <c r="A132" s="32" t="str">
        <f>'Returns  Stats'!A132</f>
        <v>2021-07-13</v>
      </c>
      <c r="B132" s="35">
        <f>'MPT Optimisation'!$B$16*'Returns  Stats'!B132+'MPT Optimisation'!$B$17*'Returns  Stats'!C132+'MPT Optimisation'!$B$18*'Returns  Stats'!D132+'MPT Optimisation'!$B$19*'Returns  Stats'!E132</f>
        <v>-5.7209831950772779E-3</v>
      </c>
    </row>
    <row r="133" spans="1:2" ht="15" customHeight="1" x14ac:dyDescent="0.2">
      <c r="A133" s="32" t="str">
        <f>'Returns  Stats'!A133</f>
        <v>2021-07-14</v>
      </c>
      <c r="B133" s="35">
        <f>'MPT Optimisation'!$B$16*'Returns  Stats'!B133+'MPT Optimisation'!$B$17*'Returns  Stats'!C133+'MPT Optimisation'!$B$18*'Returns  Stats'!D133+'MPT Optimisation'!$B$19*'Returns  Stats'!E133</f>
        <v>3.7199564906732492E-4</v>
      </c>
    </row>
    <row r="134" spans="1:2" ht="15" customHeight="1" x14ac:dyDescent="0.2">
      <c r="A134" s="32" t="str">
        <f>'Returns  Stats'!A134</f>
        <v>2021-07-15</v>
      </c>
      <c r="B134" s="35">
        <f>'MPT Optimisation'!$B$16*'Returns  Stats'!B134+'MPT Optimisation'!$B$17*'Returns  Stats'!C134+'MPT Optimisation'!$B$18*'Returns  Stats'!D134+'MPT Optimisation'!$B$19*'Returns  Stats'!E134</f>
        <v>-4.7804571482252586E-3</v>
      </c>
    </row>
    <row r="135" spans="1:2" ht="15" customHeight="1" x14ac:dyDescent="0.2">
      <c r="A135" s="32" t="str">
        <f>'Returns  Stats'!A135</f>
        <v>2021-07-16</v>
      </c>
      <c r="B135" s="35">
        <f>'MPT Optimisation'!$B$16*'Returns  Stats'!B135+'MPT Optimisation'!$B$17*'Returns  Stats'!C135+'MPT Optimisation'!$B$18*'Returns  Stats'!D135+'MPT Optimisation'!$B$19*'Returns  Stats'!E135</f>
        <v>-6.9928202332390828E-3</v>
      </c>
    </row>
    <row r="136" spans="1:2" ht="15" customHeight="1" x14ac:dyDescent="0.2">
      <c r="A136" s="32" t="str">
        <f>'Returns  Stats'!A136</f>
        <v>2021-07-19</v>
      </c>
      <c r="B136" s="35">
        <f>'MPT Optimisation'!$B$16*'Returns  Stats'!B136+'MPT Optimisation'!$B$17*'Returns  Stats'!C136+'MPT Optimisation'!$B$18*'Returns  Stats'!D136+'MPT Optimisation'!$B$19*'Returns  Stats'!E136</f>
        <v>-1.461327363156038E-2</v>
      </c>
    </row>
    <row r="137" spans="1:2" ht="15" customHeight="1" x14ac:dyDescent="0.2">
      <c r="A137" s="32" t="str">
        <f>'Returns  Stats'!A137</f>
        <v>2021-07-20</v>
      </c>
      <c r="B137" s="35">
        <f>'MPT Optimisation'!$B$16*'Returns  Stats'!B137+'MPT Optimisation'!$B$17*'Returns  Stats'!C137+'MPT Optimisation'!$B$18*'Returns  Stats'!D137+'MPT Optimisation'!$B$19*'Returns  Stats'!E137</f>
        <v>1.3690084761070316E-2</v>
      </c>
    </row>
    <row r="138" spans="1:2" ht="15" customHeight="1" x14ac:dyDescent="0.2">
      <c r="A138" s="32" t="str">
        <f>'Returns  Stats'!A138</f>
        <v>2021-07-21</v>
      </c>
      <c r="B138" s="35">
        <f>'MPT Optimisation'!$B$16*'Returns  Stats'!B138+'MPT Optimisation'!$B$17*'Returns  Stats'!C138+'MPT Optimisation'!$B$18*'Returns  Stats'!D138+'MPT Optimisation'!$B$19*'Returns  Stats'!E138</f>
        <v>9.7828191392924872E-3</v>
      </c>
    </row>
    <row r="139" spans="1:2" ht="15" customHeight="1" x14ac:dyDescent="0.2">
      <c r="A139" s="32" t="str">
        <f>'Returns  Stats'!A139</f>
        <v>2021-07-22</v>
      </c>
      <c r="B139" s="35">
        <f>'MPT Optimisation'!$B$16*'Returns  Stats'!B139+'MPT Optimisation'!$B$17*'Returns  Stats'!C139+'MPT Optimisation'!$B$18*'Returns  Stats'!D139+'MPT Optimisation'!$B$19*'Returns  Stats'!E139</f>
        <v>3.4054632859042972E-4</v>
      </c>
    </row>
    <row r="140" spans="1:2" ht="15" customHeight="1" x14ac:dyDescent="0.2">
      <c r="A140" s="32" t="str">
        <f>'Returns  Stats'!A140</f>
        <v>2021-07-23</v>
      </c>
      <c r="B140" s="35">
        <f>'MPT Optimisation'!$B$16*'Returns  Stats'!B140+'MPT Optimisation'!$B$17*'Returns  Stats'!C140+'MPT Optimisation'!$B$18*'Returns  Stats'!D140+'MPT Optimisation'!$B$19*'Returns  Stats'!E140</f>
        <v>8.4717662686634373E-3</v>
      </c>
    </row>
    <row r="141" spans="1:2" ht="15" customHeight="1" x14ac:dyDescent="0.2">
      <c r="A141" s="32" t="str">
        <f>'Returns  Stats'!A141</f>
        <v>2021-07-26</v>
      </c>
      <c r="B141" s="35">
        <f>'MPT Optimisation'!$B$16*'Returns  Stats'!B141+'MPT Optimisation'!$B$17*'Returns  Stats'!C141+'MPT Optimisation'!$B$18*'Returns  Stats'!D141+'MPT Optimisation'!$B$19*'Returns  Stats'!E141</f>
        <v>1.6104794967047086E-3</v>
      </c>
    </row>
    <row r="142" spans="1:2" ht="15" customHeight="1" x14ac:dyDescent="0.2">
      <c r="A142" s="32" t="str">
        <f>'Returns  Stats'!A142</f>
        <v>2021-07-27</v>
      </c>
      <c r="B142" s="35">
        <f>'MPT Optimisation'!$B$16*'Returns  Stats'!B142+'MPT Optimisation'!$B$17*'Returns  Stats'!C142+'MPT Optimisation'!$B$18*'Returns  Stats'!D142+'MPT Optimisation'!$B$19*'Returns  Stats'!E142</f>
        <v>-4.0485193269000795E-3</v>
      </c>
    </row>
    <row r="143" spans="1:2" ht="15" customHeight="1" x14ac:dyDescent="0.2">
      <c r="A143" s="32" t="str">
        <f>'Returns  Stats'!A143</f>
        <v>2021-07-28</v>
      </c>
      <c r="B143" s="35">
        <f>'MPT Optimisation'!$B$16*'Returns  Stats'!B143+'MPT Optimisation'!$B$17*'Returns  Stats'!C143+'MPT Optimisation'!$B$18*'Returns  Stats'!D143+'MPT Optimisation'!$B$19*'Returns  Stats'!E143</f>
        <v>2.090800793105474E-3</v>
      </c>
    </row>
    <row r="144" spans="1:2" ht="15" customHeight="1" x14ac:dyDescent="0.2">
      <c r="A144" s="32" t="str">
        <f>'Returns  Stats'!A144</f>
        <v>2021-07-29</v>
      </c>
      <c r="B144" s="35">
        <f>'MPT Optimisation'!$B$16*'Returns  Stats'!B144+'MPT Optimisation'!$B$17*'Returns  Stats'!C144+'MPT Optimisation'!$B$18*'Returns  Stats'!D144+'MPT Optimisation'!$B$19*'Returns  Stats'!E144</f>
        <v>4.6500887481856976E-3</v>
      </c>
    </row>
    <row r="145" spans="1:2" ht="15" customHeight="1" x14ac:dyDescent="0.2">
      <c r="A145" s="32" t="str">
        <f>'Returns  Stats'!A145</f>
        <v>2021-07-30</v>
      </c>
      <c r="B145" s="35">
        <f>'MPT Optimisation'!$B$16*'Returns  Stats'!B145+'MPT Optimisation'!$B$17*'Returns  Stats'!C145+'MPT Optimisation'!$B$18*'Returns  Stats'!D145+'MPT Optimisation'!$B$19*'Returns  Stats'!E145</f>
        <v>-4.9567236905262548E-3</v>
      </c>
    </row>
    <row r="146" spans="1:2" ht="15" customHeight="1" x14ac:dyDescent="0.2">
      <c r="A146" s="32" t="str">
        <f>'Returns  Stats'!A146</f>
        <v>2021-08-02</v>
      </c>
      <c r="B146" s="35">
        <f>'MPT Optimisation'!$B$16*'Returns  Stats'!B146+'MPT Optimisation'!$B$17*'Returns  Stats'!C146+'MPT Optimisation'!$B$18*'Returns  Stats'!D146+'MPT Optimisation'!$B$19*'Returns  Stats'!E146</f>
        <v>6.6064162984899599E-4</v>
      </c>
    </row>
    <row r="147" spans="1:2" ht="15" customHeight="1" x14ac:dyDescent="0.2">
      <c r="A147" s="32" t="str">
        <f>'Returns  Stats'!A147</f>
        <v>2021-08-03</v>
      </c>
      <c r="B147" s="35">
        <f>'MPT Optimisation'!$B$16*'Returns  Stats'!B147+'MPT Optimisation'!$B$17*'Returns  Stats'!C147+'MPT Optimisation'!$B$18*'Returns  Stats'!D147+'MPT Optimisation'!$B$19*'Returns  Stats'!E147</f>
        <v>6.5127674643555298E-3</v>
      </c>
    </row>
    <row r="148" spans="1:2" ht="15" customHeight="1" x14ac:dyDescent="0.2">
      <c r="A148" s="32" t="str">
        <f>'Returns  Stats'!A148</f>
        <v>2021-08-04</v>
      </c>
      <c r="B148" s="35">
        <f>'MPT Optimisation'!$B$16*'Returns  Stats'!B148+'MPT Optimisation'!$B$17*'Returns  Stats'!C148+'MPT Optimisation'!$B$18*'Returns  Stats'!D148+'MPT Optimisation'!$B$19*'Returns  Stats'!E148</f>
        <v>-3.7389096392880187E-3</v>
      </c>
    </row>
    <row r="149" spans="1:2" ht="15" customHeight="1" x14ac:dyDescent="0.2">
      <c r="A149" s="32" t="str">
        <f>'Returns  Stats'!A149</f>
        <v>2021-08-05</v>
      </c>
      <c r="B149" s="35">
        <f>'MPT Optimisation'!$B$16*'Returns  Stats'!B149+'MPT Optimisation'!$B$17*'Returns  Stats'!C149+'MPT Optimisation'!$B$18*'Returns  Stats'!D149+'MPT Optimisation'!$B$19*'Returns  Stats'!E149</f>
        <v>6.2152452926920454E-3</v>
      </c>
    </row>
    <row r="150" spans="1:2" ht="15" customHeight="1" x14ac:dyDescent="0.2">
      <c r="A150" s="32" t="str">
        <f>'Returns  Stats'!A150</f>
        <v>2021-08-06</v>
      </c>
      <c r="B150" s="35">
        <f>'MPT Optimisation'!$B$16*'Returns  Stats'!B150+'MPT Optimisation'!$B$17*'Returns  Stats'!C150+'MPT Optimisation'!$B$18*'Returns  Stats'!D150+'MPT Optimisation'!$B$19*'Returns  Stats'!E150</f>
        <v>-6.9382184107921166E-4</v>
      </c>
    </row>
    <row r="151" spans="1:2" ht="15" customHeight="1" x14ac:dyDescent="0.2">
      <c r="A151" s="32" t="str">
        <f>'Returns  Stats'!A151</f>
        <v>2021-08-09</v>
      </c>
      <c r="B151" s="35">
        <f>'MPT Optimisation'!$B$16*'Returns  Stats'!B151+'MPT Optimisation'!$B$17*'Returns  Stats'!C151+'MPT Optimisation'!$B$18*'Returns  Stats'!D151+'MPT Optimisation'!$B$19*'Returns  Stats'!E151</f>
        <v>-7.4255004167497198E-4</v>
      </c>
    </row>
    <row r="152" spans="1:2" ht="15" customHeight="1" x14ac:dyDescent="0.2">
      <c r="A152" s="32" t="str">
        <f>'Returns  Stats'!A152</f>
        <v>2021-08-10</v>
      </c>
      <c r="B152" s="35">
        <f>'MPT Optimisation'!$B$16*'Returns  Stats'!B152+'MPT Optimisation'!$B$17*'Returns  Stats'!C152+'MPT Optimisation'!$B$18*'Returns  Stats'!D152+'MPT Optimisation'!$B$19*'Returns  Stats'!E152</f>
        <v>5.2628359827573961E-4</v>
      </c>
    </row>
    <row r="153" spans="1:2" ht="15" customHeight="1" x14ac:dyDescent="0.2">
      <c r="A153" s="32" t="str">
        <f>'Returns  Stats'!A153</f>
        <v>2021-08-11</v>
      </c>
      <c r="B153" s="35">
        <f>'MPT Optimisation'!$B$16*'Returns  Stats'!B153+'MPT Optimisation'!$B$17*'Returns  Stats'!C153+'MPT Optimisation'!$B$18*'Returns  Stats'!D153+'MPT Optimisation'!$B$19*'Returns  Stats'!E153</f>
        <v>3.572334202277505E-3</v>
      </c>
    </row>
    <row r="154" spans="1:2" ht="15" customHeight="1" x14ac:dyDescent="0.2">
      <c r="A154" s="32" t="str">
        <f>'Returns  Stats'!A154</f>
        <v>2021-08-12</v>
      </c>
      <c r="B154" s="35">
        <f>'MPT Optimisation'!$B$16*'Returns  Stats'!B154+'MPT Optimisation'!$B$17*'Returns  Stats'!C154+'MPT Optimisation'!$B$18*'Returns  Stats'!D154+'MPT Optimisation'!$B$19*'Returns  Stats'!E154</f>
        <v>1.527734673816794E-3</v>
      </c>
    </row>
    <row r="155" spans="1:2" ht="15" customHeight="1" x14ac:dyDescent="0.2">
      <c r="A155" s="32" t="str">
        <f>'Returns  Stats'!A155</f>
        <v>2021-08-13</v>
      </c>
      <c r="B155" s="35">
        <f>'MPT Optimisation'!$B$16*'Returns  Stats'!B155+'MPT Optimisation'!$B$17*'Returns  Stats'!C155+'MPT Optimisation'!$B$18*'Returns  Stats'!D155+'MPT Optimisation'!$B$19*'Returns  Stats'!E155</f>
        <v>2.6103219373160291E-3</v>
      </c>
    </row>
    <row r="156" spans="1:2" ht="15" customHeight="1" x14ac:dyDescent="0.2">
      <c r="A156" s="32" t="str">
        <f>'Returns  Stats'!A156</f>
        <v>2021-08-16</v>
      </c>
      <c r="B156" s="35">
        <f>'MPT Optimisation'!$B$16*'Returns  Stats'!B156+'MPT Optimisation'!$B$17*'Returns  Stats'!C156+'MPT Optimisation'!$B$18*'Returns  Stats'!D156+'MPT Optimisation'!$B$19*'Returns  Stats'!E156</f>
        <v>-1.3479519858811129E-3</v>
      </c>
    </row>
    <row r="157" spans="1:2" ht="15" customHeight="1" x14ac:dyDescent="0.2">
      <c r="A157" s="32" t="str">
        <f>'Returns  Stats'!A157</f>
        <v>2021-08-17</v>
      </c>
      <c r="B157" s="35">
        <f>'MPT Optimisation'!$B$16*'Returns  Stats'!B157+'MPT Optimisation'!$B$17*'Returns  Stats'!C157+'MPT Optimisation'!$B$18*'Returns  Stats'!D157+'MPT Optimisation'!$B$19*'Returns  Stats'!E157</f>
        <v>-7.3613850021861608E-3</v>
      </c>
    </row>
    <row r="158" spans="1:2" ht="15" customHeight="1" x14ac:dyDescent="0.2">
      <c r="A158" s="32" t="str">
        <f>'Returns  Stats'!A158</f>
        <v>2021-08-18</v>
      </c>
      <c r="B158" s="35">
        <f>'MPT Optimisation'!$B$16*'Returns  Stats'!B158+'MPT Optimisation'!$B$17*'Returns  Stats'!C158+'MPT Optimisation'!$B$18*'Returns  Stats'!D158+'MPT Optimisation'!$B$19*'Returns  Stats'!E158</f>
        <v>-7.5961795896745399E-3</v>
      </c>
    </row>
    <row r="159" spans="1:2" ht="15" customHeight="1" x14ac:dyDescent="0.2">
      <c r="A159" s="32" t="str">
        <f>'Returns  Stats'!A159</f>
        <v>2021-08-19</v>
      </c>
      <c r="B159" s="35">
        <f>'MPT Optimisation'!$B$16*'Returns  Stats'!B159+'MPT Optimisation'!$B$17*'Returns  Stats'!C159+'MPT Optimisation'!$B$18*'Returns  Stats'!D159+'MPT Optimisation'!$B$19*'Returns  Stats'!E159</f>
        <v>-3.088149019178343E-3</v>
      </c>
    </row>
    <row r="160" spans="1:2" ht="15" customHeight="1" x14ac:dyDescent="0.2">
      <c r="A160" s="32" t="str">
        <f>'Returns  Stats'!A160</f>
        <v>2021-08-20</v>
      </c>
      <c r="B160" s="35">
        <f>'MPT Optimisation'!$B$16*'Returns  Stats'!B160+'MPT Optimisation'!$B$17*'Returns  Stats'!C160+'MPT Optimisation'!$B$18*'Returns  Stats'!D160+'MPT Optimisation'!$B$19*'Returns  Stats'!E160</f>
        <v>6.8168480473589912E-3</v>
      </c>
    </row>
    <row r="161" spans="1:2" ht="15" customHeight="1" x14ac:dyDescent="0.2">
      <c r="A161" s="32" t="str">
        <f>'Returns  Stats'!A161</f>
        <v>2021-08-23</v>
      </c>
      <c r="B161" s="35">
        <f>'MPT Optimisation'!$B$16*'Returns  Stats'!B161+'MPT Optimisation'!$B$17*'Returns  Stats'!C161+'MPT Optimisation'!$B$18*'Returns  Stats'!D161+'MPT Optimisation'!$B$19*'Returns  Stats'!E161</f>
        <v>8.5134519570074837E-3</v>
      </c>
    </row>
    <row r="162" spans="1:2" ht="15" customHeight="1" x14ac:dyDescent="0.2">
      <c r="A162" s="32" t="str">
        <f>'Returns  Stats'!A162</f>
        <v>2021-08-24</v>
      </c>
      <c r="B162" s="35">
        <f>'MPT Optimisation'!$B$16*'Returns  Stats'!B162+'MPT Optimisation'!$B$17*'Returns  Stats'!C162+'MPT Optimisation'!$B$18*'Returns  Stats'!D162+'MPT Optimisation'!$B$19*'Returns  Stats'!E162</f>
        <v>2.4780678041379182E-3</v>
      </c>
    </row>
    <row r="163" spans="1:2" ht="15" customHeight="1" x14ac:dyDescent="0.2">
      <c r="A163" s="32" t="str">
        <f>'Returns  Stats'!A163</f>
        <v>2021-08-25</v>
      </c>
      <c r="B163" s="35">
        <f>'MPT Optimisation'!$B$16*'Returns  Stats'!B163+'MPT Optimisation'!$B$17*'Returns  Stats'!C163+'MPT Optimisation'!$B$18*'Returns  Stats'!D163+'MPT Optimisation'!$B$19*'Returns  Stats'!E163</f>
        <v>1.6974424399442743E-3</v>
      </c>
    </row>
    <row r="164" spans="1:2" ht="15" customHeight="1" x14ac:dyDescent="0.2">
      <c r="A164" s="32" t="str">
        <f>'Returns  Stats'!A164</f>
        <v>2021-08-26</v>
      </c>
      <c r="B164" s="35">
        <f>'MPT Optimisation'!$B$16*'Returns  Stats'!B164+'MPT Optimisation'!$B$17*'Returns  Stats'!C164+'MPT Optimisation'!$B$18*'Returns  Stats'!D164+'MPT Optimisation'!$B$19*'Returns  Stats'!E164</f>
        <v>-5.5563092790531397E-3</v>
      </c>
    </row>
    <row r="165" spans="1:2" ht="15" customHeight="1" x14ac:dyDescent="0.2">
      <c r="A165" s="32" t="str">
        <f>'Returns  Stats'!A165</f>
        <v>2021-08-27</v>
      </c>
      <c r="B165" s="35">
        <f>'MPT Optimisation'!$B$16*'Returns  Stats'!B165+'MPT Optimisation'!$B$17*'Returns  Stats'!C165+'MPT Optimisation'!$B$18*'Returns  Stats'!D165+'MPT Optimisation'!$B$19*'Returns  Stats'!E165</f>
        <v>9.8631879829702545E-3</v>
      </c>
    </row>
    <row r="166" spans="1:2" ht="15" customHeight="1" x14ac:dyDescent="0.2">
      <c r="A166" s="32" t="str">
        <f>'Returns  Stats'!A166</f>
        <v>2021-08-30</v>
      </c>
      <c r="B166" s="35">
        <f>'MPT Optimisation'!$B$16*'Returns  Stats'!B166+'MPT Optimisation'!$B$17*'Returns  Stats'!C166+'MPT Optimisation'!$B$18*'Returns  Stats'!D166+'MPT Optimisation'!$B$19*'Returns  Stats'!E166</f>
        <v>2.7505246873688158E-3</v>
      </c>
    </row>
    <row r="167" spans="1:2" ht="15" customHeight="1" x14ac:dyDescent="0.2">
      <c r="A167" s="32" t="str">
        <f>'Returns  Stats'!A167</f>
        <v>2021-08-31</v>
      </c>
      <c r="B167" s="35">
        <f>'MPT Optimisation'!$B$16*'Returns  Stats'!B167+'MPT Optimisation'!$B$17*'Returns  Stats'!C167+'MPT Optimisation'!$B$18*'Returns  Stats'!D167+'MPT Optimisation'!$B$19*'Returns  Stats'!E167</f>
        <v>-1.1159256228120583E-3</v>
      </c>
    </row>
    <row r="168" spans="1:2" ht="15" customHeight="1" x14ac:dyDescent="0.2">
      <c r="A168" s="32" t="str">
        <f>'Returns  Stats'!A168</f>
        <v>2021-09-01</v>
      </c>
      <c r="B168" s="35">
        <f>'MPT Optimisation'!$B$16*'Returns  Stats'!B168+'MPT Optimisation'!$B$17*'Returns  Stats'!C168+'MPT Optimisation'!$B$18*'Returns  Stats'!D168+'MPT Optimisation'!$B$19*'Returns  Stats'!E168</f>
        <v>4.5879085594696554E-3</v>
      </c>
    </row>
    <row r="169" spans="1:2" ht="15" customHeight="1" x14ac:dyDescent="0.2">
      <c r="A169" s="32" t="str">
        <f>'Returns  Stats'!A169</f>
        <v>2021-09-02</v>
      </c>
      <c r="B169" s="35">
        <f>'MPT Optimisation'!$B$16*'Returns  Stats'!B169+'MPT Optimisation'!$B$17*'Returns  Stats'!C169+'MPT Optimisation'!$B$18*'Returns  Stats'!D169+'MPT Optimisation'!$B$19*'Returns  Stats'!E169</f>
        <v>3.5606216155489204E-3</v>
      </c>
    </row>
    <row r="170" spans="1:2" ht="15" customHeight="1" x14ac:dyDescent="0.2">
      <c r="A170" s="32" t="str">
        <f>'Returns  Stats'!A170</f>
        <v>2021-09-03</v>
      </c>
      <c r="B170" s="35">
        <f>'MPT Optimisation'!$B$16*'Returns  Stats'!B170+'MPT Optimisation'!$B$17*'Returns  Stats'!C170+'MPT Optimisation'!$B$18*'Returns  Stats'!D170+'MPT Optimisation'!$B$19*'Returns  Stats'!E170</f>
        <v>1.0765841021703026E-3</v>
      </c>
    </row>
    <row r="171" spans="1:2" ht="15" customHeight="1" x14ac:dyDescent="0.2">
      <c r="A171" s="32" t="str">
        <f>'Returns  Stats'!A171</f>
        <v>2021-09-07</v>
      </c>
      <c r="B171" s="35">
        <f>'MPT Optimisation'!$B$16*'Returns  Stats'!B171+'MPT Optimisation'!$B$17*'Returns  Stats'!C171+'MPT Optimisation'!$B$18*'Returns  Stats'!D171+'MPT Optimisation'!$B$19*'Returns  Stats'!E171</f>
        <v>-3.064355521434736E-3</v>
      </c>
    </row>
    <row r="172" spans="1:2" ht="15" customHeight="1" x14ac:dyDescent="0.2">
      <c r="A172" s="32" t="str">
        <f>'Returns  Stats'!A172</f>
        <v>2021-09-08</v>
      </c>
      <c r="B172" s="35">
        <f>'MPT Optimisation'!$B$16*'Returns  Stats'!B172+'MPT Optimisation'!$B$17*'Returns  Stats'!C172+'MPT Optimisation'!$B$18*'Returns  Stats'!D172+'MPT Optimisation'!$B$19*'Returns  Stats'!E172</f>
        <v>-3.4559871488170852E-3</v>
      </c>
    </row>
    <row r="173" spans="1:2" ht="15" customHeight="1" x14ac:dyDescent="0.2">
      <c r="A173" s="32" t="str">
        <f>'Returns  Stats'!A173</f>
        <v>2021-09-09</v>
      </c>
      <c r="B173" s="35">
        <f>'MPT Optimisation'!$B$16*'Returns  Stats'!B173+'MPT Optimisation'!$B$17*'Returns  Stats'!C173+'MPT Optimisation'!$B$18*'Returns  Stats'!D173+'MPT Optimisation'!$B$19*'Returns  Stats'!E173</f>
        <v>-3.4600408524133042E-3</v>
      </c>
    </row>
    <row r="174" spans="1:2" ht="15" customHeight="1" x14ac:dyDescent="0.2">
      <c r="A174" s="32" t="str">
        <f>'Returns  Stats'!A174</f>
        <v>2021-09-10</v>
      </c>
      <c r="B174" s="35">
        <f>'MPT Optimisation'!$B$16*'Returns  Stats'!B174+'MPT Optimisation'!$B$17*'Returns  Stats'!C174+'MPT Optimisation'!$B$18*'Returns  Stats'!D174+'MPT Optimisation'!$B$19*'Returns  Stats'!E174</f>
        <v>-6.2547018064070033E-3</v>
      </c>
    </row>
    <row r="175" spans="1:2" ht="15" customHeight="1" x14ac:dyDescent="0.2">
      <c r="A175" s="32" t="str">
        <f>'Returns  Stats'!A175</f>
        <v>2021-09-13</v>
      </c>
      <c r="B175" s="35">
        <f>'MPT Optimisation'!$B$16*'Returns  Stats'!B175+'MPT Optimisation'!$B$17*'Returns  Stats'!C175+'MPT Optimisation'!$B$18*'Returns  Stats'!D175+'MPT Optimisation'!$B$19*'Returns  Stats'!E175</f>
        <v>4.1247869228441484E-3</v>
      </c>
    </row>
    <row r="176" spans="1:2" ht="15" customHeight="1" x14ac:dyDescent="0.2">
      <c r="A176" s="32" t="str">
        <f>'Returns  Stats'!A176</f>
        <v>2021-09-14</v>
      </c>
      <c r="B176" s="35">
        <f>'MPT Optimisation'!$B$16*'Returns  Stats'!B176+'MPT Optimisation'!$B$17*'Returns  Stats'!C176+'MPT Optimisation'!$B$18*'Returns  Stats'!D176+'MPT Optimisation'!$B$19*'Returns  Stats'!E176</f>
        <v>-4.840090088189814E-3</v>
      </c>
    </row>
    <row r="177" spans="1:2" ht="15" customHeight="1" x14ac:dyDescent="0.2">
      <c r="A177" s="32" t="str">
        <f>'Returns  Stats'!A177</f>
        <v>2021-09-15</v>
      </c>
      <c r="B177" s="35">
        <f>'MPT Optimisation'!$B$16*'Returns  Stats'!B177+'MPT Optimisation'!$B$17*'Returns  Stats'!C177+'MPT Optimisation'!$B$18*'Returns  Stats'!D177+'MPT Optimisation'!$B$19*'Returns  Stats'!E177</f>
        <v>5.9428361436669073E-3</v>
      </c>
    </row>
    <row r="178" spans="1:2" ht="15" customHeight="1" x14ac:dyDescent="0.2">
      <c r="A178" s="32" t="str">
        <f>'Returns  Stats'!A178</f>
        <v>2021-09-16</v>
      </c>
      <c r="B178" s="35">
        <f>'MPT Optimisation'!$B$16*'Returns  Stats'!B178+'MPT Optimisation'!$B$17*'Returns  Stats'!C178+'MPT Optimisation'!$B$18*'Returns  Stats'!D178+'MPT Optimisation'!$B$19*'Returns  Stats'!E178</f>
        <v>-1.0667211802569856E-3</v>
      </c>
    </row>
    <row r="179" spans="1:2" ht="15" customHeight="1" x14ac:dyDescent="0.2">
      <c r="A179" s="32" t="str">
        <f>'Returns  Stats'!A179</f>
        <v>2021-09-17</v>
      </c>
      <c r="B179" s="35">
        <f>'MPT Optimisation'!$B$16*'Returns  Stats'!B179+'MPT Optimisation'!$B$17*'Returns  Stats'!C179+'MPT Optimisation'!$B$18*'Returns  Stats'!D179+'MPT Optimisation'!$B$19*'Returns  Stats'!E179</f>
        <v>-9.2330120750434164E-3</v>
      </c>
    </row>
    <row r="180" spans="1:2" ht="15" customHeight="1" x14ac:dyDescent="0.2">
      <c r="A180" s="32" t="str">
        <f>'Returns  Stats'!A180</f>
        <v>2021-09-20</v>
      </c>
      <c r="B180" s="35">
        <f>'MPT Optimisation'!$B$16*'Returns  Stats'!B180+'MPT Optimisation'!$B$17*'Returns  Stats'!C180+'MPT Optimisation'!$B$18*'Returns  Stats'!D180+'MPT Optimisation'!$B$19*'Returns  Stats'!E180</f>
        <v>-1.6163106266115366E-2</v>
      </c>
    </row>
    <row r="181" spans="1:2" ht="15" customHeight="1" x14ac:dyDescent="0.2">
      <c r="A181" s="32" t="str">
        <f>'Returns  Stats'!A181</f>
        <v>2021-09-21</v>
      </c>
      <c r="B181" s="35">
        <f>'MPT Optimisation'!$B$16*'Returns  Stats'!B181+'MPT Optimisation'!$B$17*'Returns  Stats'!C181+'MPT Optimisation'!$B$18*'Returns  Stats'!D181+'MPT Optimisation'!$B$19*'Returns  Stats'!E181</f>
        <v>2.9534995748823792E-3</v>
      </c>
    </row>
    <row r="182" spans="1:2" ht="15" customHeight="1" x14ac:dyDescent="0.2">
      <c r="A182" s="32" t="str">
        <f>'Returns  Stats'!A182</f>
        <v>2021-09-22</v>
      </c>
      <c r="B182" s="35">
        <f>'MPT Optimisation'!$B$16*'Returns  Stats'!B182+'MPT Optimisation'!$B$17*'Returns  Stats'!C182+'MPT Optimisation'!$B$18*'Returns  Stats'!D182+'MPT Optimisation'!$B$19*'Returns  Stats'!E182</f>
        <v>8.0597721158962576E-3</v>
      </c>
    </row>
    <row r="183" spans="1:2" ht="15" customHeight="1" x14ac:dyDescent="0.2">
      <c r="A183" s="32" t="str">
        <f>'Returns  Stats'!A183</f>
        <v>2021-09-23</v>
      </c>
      <c r="B183" s="35">
        <f>'MPT Optimisation'!$B$16*'Returns  Stats'!B183+'MPT Optimisation'!$B$17*'Returns  Stats'!C183+'MPT Optimisation'!$B$18*'Returns  Stats'!D183+'MPT Optimisation'!$B$19*'Returns  Stats'!E183</f>
        <v>1.0222467002784598E-2</v>
      </c>
    </row>
    <row r="184" spans="1:2" ht="15" customHeight="1" x14ac:dyDescent="0.2">
      <c r="A184" s="32" t="str">
        <f>'Returns  Stats'!A184</f>
        <v>2021-09-24</v>
      </c>
      <c r="B184" s="35">
        <f>'MPT Optimisation'!$B$16*'Returns  Stats'!B184+'MPT Optimisation'!$B$17*'Returns  Stats'!C184+'MPT Optimisation'!$B$18*'Returns  Stats'!D184+'MPT Optimisation'!$B$19*'Returns  Stats'!E184</f>
        <v>-2.7169837073410257E-3</v>
      </c>
    </row>
    <row r="185" spans="1:2" ht="15" customHeight="1" x14ac:dyDescent="0.2">
      <c r="A185" s="32" t="str">
        <f>'Returns  Stats'!A185</f>
        <v>2021-09-27</v>
      </c>
      <c r="B185" s="35">
        <f>'MPT Optimisation'!$B$16*'Returns  Stats'!B185+'MPT Optimisation'!$B$17*'Returns  Stats'!C185+'MPT Optimisation'!$B$18*'Returns  Stats'!D185+'MPT Optimisation'!$B$19*'Returns  Stats'!E185</f>
        <v>-2.2350727597331864E-3</v>
      </c>
    </row>
    <row r="186" spans="1:2" ht="15" customHeight="1" x14ac:dyDescent="0.2">
      <c r="A186" s="32" t="str">
        <f>'Returns  Stats'!A186</f>
        <v>2021-09-28</v>
      </c>
      <c r="B186" s="35">
        <f>'MPT Optimisation'!$B$16*'Returns  Stats'!B186+'MPT Optimisation'!$B$17*'Returns  Stats'!C186+'MPT Optimisation'!$B$18*'Returns  Stats'!D186+'MPT Optimisation'!$B$19*'Returns  Stats'!E186</f>
        <v>-1.9657557367685739E-2</v>
      </c>
    </row>
    <row r="187" spans="1:2" ht="15" customHeight="1" x14ac:dyDescent="0.2">
      <c r="A187" s="32" t="str">
        <f>'Returns  Stats'!A187</f>
        <v>2021-09-29</v>
      </c>
      <c r="B187" s="35">
        <f>'MPT Optimisation'!$B$16*'Returns  Stats'!B187+'MPT Optimisation'!$B$17*'Returns  Stats'!C187+'MPT Optimisation'!$B$18*'Returns  Stats'!D187+'MPT Optimisation'!$B$19*'Returns  Stats'!E187</f>
        <v>1.2309709657443163E-4</v>
      </c>
    </row>
    <row r="188" spans="1:2" ht="15" customHeight="1" x14ac:dyDescent="0.2">
      <c r="A188" s="32" t="str">
        <f>'Returns  Stats'!A188</f>
        <v>2021-09-30</v>
      </c>
      <c r="B188" s="35">
        <f>'MPT Optimisation'!$B$16*'Returns  Stats'!B188+'MPT Optimisation'!$B$17*'Returns  Stats'!C188+'MPT Optimisation'!$B$18*'Returns  Stats'!D188+'MPT Optimisation'!$B$19*'Returns  Stats'!E188</f>
        <v>-8.5169774895307027E-3</v>
      </c>
    </row>
    <row r="189" spans="1:2" ht="15" customHeight="1" x14ac:dyDescent="0.2">
      <c r="A189" s="32" t="str">
        <f>'Returns  Stats'!A189</f>
        <v>2021-10-01</v>
      </c>
      <c r="B189" s="35">
        <f>'MPT Optimisation'!$B$16*'Returns  Stats'!B189+'MPT Optimisation'!$B$17*'Returns  Stats'!C189+'MPT Optimisation'!$B$18*'Returns  Stats'!D189+'MPT Optimisation'!$B$19*'Returns  Stats'!E189</f>
        <v>9.8586305515119925E-3</v>
      </c>
    </row>
    <row r="190" spans="1:2" ht="15" customHeight="1" x14ac:dyDescent="0.2">
      <c r="A190" s="32" t="str">
        <f>'Returns  Stats'!A190</f>
        <v>2021-10-04</v>
      </c>
      <c r="B190" s="35">
        <f>'MPT Optimisation'!$B$16*'Returns  Stats'!B190+'MPT Optimisation'!$B$17*'Returns  Stats'!C190+'MPT Optimisation'!$B$18*'Returns  Stats'!D190+'MPT Optimisation'!$B$19*'Returns  Stats'!E190</f>
        <v>-1.2206117330690202E-2</v>
      </c>
    </row>
    <row r="191" spans="1:2" ht="15" customHeight="1" x14ac:dyDescent="0.2">
      <c r="A191" s="32" t="str">
        <f>'Returns  Stats'!A191</f>
        <v>2021-10-05</v>
      </c>
      <c r="B191" s="35">
        <f>'MPT Optimisation'!$B$16*'Returns  Stats'!B191+'MPT Optimisation'!$B$17*'Returns  Stats'!C191+'MPT Optimisation'!$B$18*'Returns  Stats'!D191+'MPT Optimisation'!$B$19*'Returns  Stats'!E191</f>
        <v>7.194901811210885E-3</v>
      </c>
    </row>
    <row r="192" spans="1:2" ht="15" customHeight="1" x14ac:dyDescent="0.2">
      <c r="A192" s="32" t="str">
        <f>'Returns  Stats'!A192</f>
        <v>2021-10-06</v>
      </c>
      <c r="B192" s="35">
        <f>'MPT Optimisation'!$B$16*'Returns  Stats'!B192+'MPT Optimisation'!$B$17*'Returns  Stats'!C192+'MPT Optimisation'!$B$18*'Returns  Stats'!D192+'MPT Optimisation'!$B$19*'Returns  Stats'!E192</f>
        <v>9.9059238345159425E-4</v>
      </c>
    </row>
    <row r="193" spans="1:2" ht="15" customHeight="1" x14ac:dyDescent="0.2">
      <c r="A193" s="32" t="str">
        <f>'Returns  Stats'!A193</f>
        <v>2021-10-07</v>
      </c>
      <c r="B193" s="35">
        <f>'MPT Optimisation'!$B$16*'Returns  Stats'!B193+'MPT Optimisation'!$B$17*'Returns  Stats'!C193+'MPT Optimisation'!$B$18*'Returns  Stats'!D193+'MPT Optimisation'!$B$19*'Returns  Stats'!E193</f>
        <v>8.0887615515650973E-3</v>
      </c>
    </row>
    <row r="194" spans="1:2" ht="15" customHeight="1" x14ac:dyDescent="0.2">
      <c r="A194" s="32" t="str">
        <f>'Returns  Stats'!A194</f>
        <v>2021-10-08</v>
      </c>
      <c r="B194" s="35">
        <f>'MPT Optimisation'!$B$16*'Returns  Stats'!B194+'MPT Optimisation'!$B$17*'Returns  Stats'!C194+'MPT Optimisation'!$B$18*'Returns  Stats'!D194+'MPT Optimisation'!$B$19*'Returns  Stats'!E194</f>
        <v>-1.9420815787655919E-3</v>
      </c>
    </row>
    <row r="195" spans="1:2" ht="15" customHeight="1" x14ac:dyDescent="0.2">
      <c r="A195" s="32" t="str">
        <f>'Returns  Stats'!A195</f>
        <v>2021-10-11</v>
      </c>
      <c r="B195" s="35">
        <f>'MPT Optimisation'!$B$16*'Returns  Stats'!B195+'MPT Optimisation'!$B$17*'Returns  Stats'!C195+'MPT Optimisation'!$B$18*'Returns  Stats'!D195+'MPT Optimisation'!$B$19*'Returns  Stats'!E195</f>
        <v>-5.2343229884965091E-3</v>
      </c>
    </row>
    <row r="196" spans="1:2" ht="15" customHeight="1" x14ac:dyDescent="0.2">
      <c r="A196" s="32" t="str">
        <f>'Returns  Stats'!A196</f>
        <v>2021-10-12</v>
      </c>
      <c r="B196" s="35">
        <f>'MPT Optimisation'!$B$16*'Returns  Stats'!B196+'MPT Optimisation'!$B$17*'Returns  Stats'!C196+'MPT Optimisation'!$B$18*'Returns  Stats'!D196+'MPT Optimisation'!$B$19*'Returns  Stats'!E196</f>
        <v>5.6649463887682445E-4</v>
      </c>
    </row>
    <row r="197" spans="1:2" ht="15" customHeight="1" x14ac:dyDescent="0.2">
      <c r="A197" s="32" t="str">
        <f>'Returns  Stats'!A197</f>
        <v>2021-10-13</v>
      </c>
      <c r="B197" s="35">
        <f>'MPT Optimisation'!$B$16*'Returns  Stats'!B197+'MPT Optimisation'!$B$17*'Returns  Stats'!C197+'MPT Optimisation'!$B$18*'Returns  Stats'!D197+'MPT Optimisation'!$B$19*'Returns  Stats'!E197</f>
        <v>6.1727611098279624E-3</v>
      </c>
    </row>
    <row r="198" spans="1:2" ht="15" customHeight="1" x14ac:dyDescent="0.2">
      <c r="A198" s="32" t="str">
        <f>'Returns  Stats'!A198</f>
        <v>2021-10-14</v>
      </c>
      <c r="B198" s="35">
        <f>'MPT Optimisation'!$B$16*'Returns  Stats'!B198+'MPT Optimisation'!$B$17*'Returns  Stats'!C198+'MPT Optimisation'!$B$18*'Returns  Stats'!D198+'MPT Optimisation'!$B$19*'Returns  Stats'!E198</f>
        <v>1.3656343181805241E-2</v>
      </c>
    </row>
    <row r="199" spans="1:2" ht="15" customHeight="1" x14ac:dyDescent="0.2">
      <c r="A199" s="32" t="str">
        <f>'Returns  Stats'!A199</f>
        <v>2021-10-15</v>
      </c>
      <c r="B199" s="35">
        <f>'MPT Optimisation'!$B$16*'Returns  Stats'!B199+'MPT Optimisation'!$B$17*'Returns  Stats'!C199+'MPT Optimisation'!$B$18*'Returns  Stats'!D199+'MPT Optimisation'!$B$19*'Returns  Stats'!E199</f>
        <v>5.8943219394514568E-3</v>
      </c>
    </row>
    <row r="200" spans="1:2" ht="15" customHeight="1" x14ac:dyDescent="0.2">
      <c r="A200" s="32" t="str">
        <f>'Returns  Stats'!A200</f>
        <v>2021-10-18</v>
      </c>
      <c r="B200" s="35">
        <f>'MPT Optimisation'!$B$16*'Returns  Stats'!B200+'MPT Optimisation'!$B$17*'Returns  Stats'!C200+'MPT Optimisation'!$B$18*'Returns  Stats'!D200+'MPT Optimisation'!$B$19*'Returns  Stats'!E200</f>
        <v>1.0009641760105326E-3</v>
      </c>
    </row>
    <row r="201" spans="1:2" ht="15" customHeight="1" x14ac:dyDescent="0.2">
      <c r="A201" s="32" t="str">
        <f>'Returns  Stats'!A201</f>
        <v>2021-10-19</v>
      </c>
      <c r="B201" s="35">
        <f>'MPT Optimisation'!$B$16*'Returns  Stats'!B201+'MPT Optimisation'!$B$17*'Returns  Stats'!C201+'MPT Optimisation'!$B$18*'Returns  Stats'!D201+'MPT Optimisation'!$B$19*'Returns  Stats'!E201</f>
        <v>6.0663605393669042E-3</v>
      </c>
    </row>
    <row r="202" spans="1:2" ht="15" customHeight="1" x14ac:dyDescent="0.2">
      <c r="A202" s="32" t="str">
        <f>'Returns  Stats'!A202</f>
        <v>2021-10-20</v>
      </c>
      <c r="B202" s="35">
        <f>'MPT Optimisation'!$B$16*'Returns  Stats'!B202+'MPT Optimisation'!$B$17*'Returns  Stats'!C202+'MPT Optimisation'!$B$18*'Returns  Stats'!D202+'MPT Optimisation'!$B$19*'Returns  Stats'!E202</f>
        <v>4.1413691721335962E-3</v>
      </c>
    </row>
    <row r="203" spans="1:2" ht="15" customHeight="1" x14ac:dyDescent="0.2">
      <c r="A203" s="32" t="str">
        <f>'Returns  Stats'!A203</f>
        <v>2021-10-21</v>
      </c>
      <c r="B203" s="35">
        <f>'MPT Optimisation'!$B$16*'Returns  Stats'!B203+'MPT Optimisation'!$B$17*'Returns  Stats'!C203+'MPT Optimisation'!$B$18*'Returns  Stats'!D203+'MPT Optimisation'!$B$19*'Returns  Stats'!E203</f>
        <v>1.8593833036342205E-4</v>
      </c>
    </row>
    <row r="204" spans="1:2" ht="15" customHeight="1" x14ac:dyDescent="0.2">
      <c r="A204" s="32" t="str">
        <f>'Returns  Stats'!A204</f>
        <v>2021-10-22</v>
      </c>
      <c r="B204" s="35">
        <f>'MPT Optimisation'!$B$16*'Returns  Stats'!B204+'MPT Optimisation'!$B$17*'Returns  Stats'!C204+'MPT Optimisation'!$B$18*'Returns  Stats'!D204+'MPT Optimisation'!$B$19*'Returns  Stats'!E204</f>
        <v>9.8136519864534528E-4</v>
      </c>
    </row>
    <row r="205" spans="1:2" ht="15" customHeight="1" x14ac:dyDescent="0.2">
      <c r="A205" s="32" t="str">
        <f>'Returns  Stats'!A205</f>
        <v>2021-10-25</v>
      </c>
      <c r="B205" s="35">
        <f>'MPT Optimisation'!$B$16*'Returns  Stats'!B205+'MPT Optimisation'!$B$17*'Returns  Stats'!C205+'MPT Optimisation'!$B$18*'Returns  Stats'!D205+'MPT Optimisation'!$B$19*'Returns  Stats'!E205</f>
        <v>3.2989649317848868E-3</v>
      </c>
    </row>
    <row r="206" spans="1:2" ht="15" customHeight="1" x14ac:dyDescent="0.2">
      <c r="A206" s="32" t="str">
        <f>'Returns  Stats'!A206</f>
        <v>2021-10-26</v>
      </c>
      <c r="B206" s="35">
        <f>'MPT Optimisation'!$B$16*'Returns  Stats'!B206+'MPT Optimisation'!$B$17*'Returns  Stats'!C206+'MPT Optimisation'!$B$18*'Returns  Stats'!D206+'MPT Optimisation'!$B$19*'Returns  Stats'!E206</f>
        <v>5.9759649042483436E-4</v>
      </c>
    </row>
    <row r="207" spans="1:2" ht="15" customHeight="1" x14ac:dyDescent="0.2">
      <c r="A207" s="32" t="str">
        <f>'Returns  Stats'!A207</f>
        <v>2021-10-27</v>
      </c>
      <c r="B207" s="35">
        <f>'MPT Optimisation'!$B$16*'Returns  Stats'!B207+'MPT Optimisation'!$B$17*'Returns  Stats'!C207+'MPT Optimisation'!$B$18*'Returns  Stats'!D207+'MPT Optimisation'!$B$19*'Returns  Stats'!E207</f>
        <v>-5.5486785430211962E-3</v>
      </c>
    </row>
    <row r="208" spans="1:2" ht="15" customHeight="1" x14ac:dyDescent="0.2">
      <c r="A208" s="32" t="str">
        <f>'Returns  Stats'!A208</f>
        <v>2021-10-28</v>
      </c>
      <c r="B208" s="35">
        <f>'MPT Optimisation'!$B$16*'Returns  Stats'!B208+'MPT Optimisation'!$B$17*'Returns  Stats'!C208+'MPT Optimisation'!$B$18*'Returns  Stats'!D208+'MPT Optimisation'!$B$19*'Returns  Stats'!E208</f>
        <v>9.9855566081245069E-3</v>
      </c>
    </row>
    <row r="209" spans="1:2" ht="15" customHeight="1" x14ac:dyDescent="0.2">
      <c r="A209" s="32" t="str">
        <f>'Returns  Stats'!A209</f>
        <v>2021-10-29</v>
      </c>
      <c r="B209" s="35">
        <f>'MPT Optimisation'!$B$16*'Returns  Stats'!B209+'MPT Optimisation'!$B$17*'Returns  Stats'!C209+'MPT Optimisation'!$B$18*'Returns  Stats'!D209+'MPT Optimisation'!$B$19*'Returns  Stats'!E209</f>
        <v>-1.5308179369271369E-3</v>
      </c>
    </row>
    <row r="210" spans="1:2" ht="15" customHeight="1" x14ac:dyDescent="0.2">
      <c r="A210" s="32" t="str">
        <f>'Returns  Stats'!A210</f>
        <v>2021-11-01</v>
      </c>
      <c r="B210" s="35">
        <f>'MPT Optimisation'!$B$16*'Returns  Stats'!B210+'MPT Optimisation'!$B$17*'Returns  Stats'!C210+'MPT Optimisation'!$B$18*'Returns  Stats'!D210+'MPT Optimisation'!$B$19*'Returns  Stats'!E210</f>
        <v>6.1128001510142686E-3</v>
      </c>
    </row>
    <row r="211" spans="1:2" ht="15" customHeight="1" x14ac:dyDescent="0.2">
      <c r="A211" s="32" t="str">
        <f>'Returns  Stats'!A211</f>
        <v>2021-11-02</v>
      </c>
      <c r="B211" s="35">
        <f>'MPT Optimisation'!$B$16*'Returns  Stats'!B211+'MPT Optimisation'!$B$17*'Returns  Stats'!C211+'MPT Optimisation'!$B$18*'Returns  Stats'!D211+'MPT Optimisation'!$B$19*'Returns  Stats'!E211</f>
        <v>1.5751113654582927E-3</v>
      </c>
    </row>
    <row r="212" spans="1:2" ht="15" customHeight="1" x14ac:dyDescent="0.2">
      <c r="A212" s="32" t="str">
        <f>'Returns  Stats'!A212</f>
        <v>2021-11-03</v>
      </c>
      <c r="B212" s="35">
        <f>'MPT Optimisation'!$B$16*'Returns  Stats'!B212+'MPT Optimisation'!$B$17*'Returns  Stats'!C212+'MPT Optimisation'!$B$18*'Returns  Stats'!D212+'MPT Optimisation'!$B$19*'Returns  Stats'!E212</f>
        <v>6.7547688903051182E-3</v>
      </c>
    </row>
    <row r="213" spans="1:2" ht="15" customHeight="1" x14ac:dyDescent="0.2">
      <c r="A213" s="32" t="str">
        <f>'Returns  Stats'!A213</f>
        <v>2021-11-04</v>
      </c>
      <c r="B213" s="35">
        <f>'MPT Optimisation'!$B$16*'Returns  Stats'!B213+'MPT Optimisation'!$B$17*'Returns  Stats'!C213+'MPT Optimisation'!$B$18*'Returns  Stats'!D213+'MPT Optimisation'!$B$19*'Returns  Stats'!E213</f>
        <v>1.7775441848469132E-3</v>
      </c>
    </row>
    <row r="214" spans="1:2" ht="15" customHeight="1" x14ac:dyDescent="0.2">
      <c r="A214" s="32" t="str">
        <f>'Returns  Stats'!A214</f>
        <v>2021-11-05</v>
      </c>
      <c r="B214" s="35">
        <f>'MPT Optimisation'!$B$16*'Returns  Stats'!B214+'MPT Optimisation'!$B$17*'Returns  Stats'!C214+'MPT Optimisation'!$B$18*'Returns  Stats'!D214+'MPT Optimisation'!$B$19*'Returns  Stats'!E214</f>
        <v>3.2036025894520816E-3</v>
      </c>
    </row>
    <row r="215" spans="1:2" ht="15" customHeight="1" x14ac:dyDescent="0.2">
      <c r="A215" s="32" t="str">
        <f>'Returns  Stats'!A215</f>
        <v>2021-11-08</v>
      </c>
      <c r="B215" s="35">
        <f>'MPT Optimisation'!$B$16*'Returns  Stats'!B215+'MPT Optimisation'!$B$17*'Returns  Stats'!C215+'MPT Optimisation'!$B$18*'Returns  Stats'!D215+'MPT Optimisation'!$B$19*'Returns  Stats'!E215</f>
        <v>8.2158114690101245E-4</v>
      </c>
    </row>
    <row r="216" spans="1:2" ht="15" customHeight="1" x14ac:dyDescent="0.2">
      <c r="A216" s="32" t="str">
        <f>'Returns  Stats'!A216</f>
        <v>2021-11-09</v>
      </c>
      <c r="B216" s="35">
        <f>'MPT Optimisation'!$B$16*'Returns  Stats'!B216+'MPT Optimisation'!$B$17*'Returns  Stats'!C216+'MPT Optimisation'!$B$18*'Returns  Stats'!D216+'MPT Optimisation'!$B$19*'Returns  Stats'!E216</f>
        <v>-2.1646080328527216E-3</v>
      </c>
    </row>
    <row r="217" spans="1:2" ht="15" customHeight="1" x14ac:dyDescent="0.2">
      <c r="A217" s="32" t="str">
        <f>'Returns  Stats'!A217</f>
        <v>2021-11-10</v>
      </c>
      <c r="B217" s="35">
        <f>'MPT Optimisation'!$B$16*'Returns  Stats'!B217+'MPT Optimisation'!$B$17*'Returns  Stats'!C217+'MPT Optimisation'!$B$18*'Returns  Stats'!D217+'MPT Optimisation'!$B$19*'Returns  Stats'!E217</f>
        <v>-1.0106897681235483E-2</v>
      </c>
    </row>
    <row r="218" spans="1:2" ht="15" customHeight="1" x14ac:dyDescent="0.2">
      <c r="A218" s="32" t="str">
        <f>'Returns  Stats'!A218</f>
        <v>2021-11-11</v>
      </c>
      <c r="B218" s="35">
        <f>'MPT Optimisation'!$B$16*'Returns  Stats'!B218+'MPT Optimisation'!$B$17*'Returns  Stats'!C218+'MPT Optimisation'!$B$18*'Returns  Stats'!D218+'MPT Optimisation'!$B$19*'Returns  Stats'!E218</f>
        <v>1.7951786023034763E-3</v>
      </c>
    </row>
    <row r="219" spans="1:2" ht="15" customHeight="1" x14ac:dyDescent="0.2">
      <c r="A219" s="32" t="str">
        <f>'Returns  Stats'!A219</f>
        <v>2021-11-12</v>
      </c>
      <c r="B219" s="35">
        <f>'MPT Optimisation'!$B$16*'Returns  Stats'!B219+'MPT Optimisation'!$B$17*'Returns  Stats'!C219+'MPT Optimisation'!$B$18*'Returns  Stats'!D219+'MPT Optimisation'!$B$19*'Returns  Stats'!E219</f>
        <v>6.0361830172010241E-3</v>
      </c>
    </row>
    <row r="220" spans="1:2" ht="15" customHeight="1" x14ac:dyDescent="0.2">
      <c r="A220" s="32" t="str">
        <f>'Returns  Stats'!A220</f>
        <v>2021-11-15</v>
      </c>
      <c r="B220" s="35">
        <f>'MPT Optimisation'!$B$16*'Returns  Stats'!B220+'MPT Optimisation'!$B$17*'Returns  Stats'!C220+'MPT Optimisation'!$B$18*'Returns  Stats'!D220+'MPT Optimisation'!$B$19*'Returns  Stats'!E220</f>
        <v>-3.8555516452307143E-4</v>
      </c>
    </row>
    <row r="221" spans="1:2" ht="15" customHeight="1" x14ac:dyDescent="0.2">
      <c r="A221" s="32" t="str">
        <f>'Returns  Stats'!A221</f>
        <v>2021-11-16</v>
      </c>
      <c r="B221" s="35">
        <f>'MPT Optimisation'!$B$16*'Returns  Stats'!B221+'MPT Optimisation'!$B$17*'Returns  Stats'!C221+'MPT Optimisation'!$B$18*'Returns  Stats'!D221+'MPT Optimisation'!$B$19*'Returns  Stats'!E221</f>
        <v>1.5682378425983079E-3</v>
      </c>
    </row>
    <row r="222" spans="1:2" ht="15" customHeight="1" x14ac:dyDescent="0.2">
      <c r="A222" s="32" t="str">
        <f>'Returns  Stats'!A222</f>
        <v>2021-11-17</v>
      </c>
      <c r="B222" s="35">
        <f>'MPT Optimisation'!$B$16*'Returns  Stats'!B222+'MPT Optimisation'!$B$17*'Returns  Stats'!C222+'MPT Optimisation'!$B$18*'Returns  Stats'!D222+'MPT Optimisation'!$B$19*'Returns  Stats'!E222</f>
        <v>-2.5678676130439396E-3</v>
      </c>
    </row>
    <row r="223" spans="1:2" ht="15" customHeight="1" x14ac:dyDescent="0.2">
      <c r="A223" s="32" t="str">
        <f>'Returns  Stats'!A223</f>
        <v>2021-11-18</v>
      </c>
      <c r="B223" s="35">
        <f>'MPT Optimisation'!$B$16*'Returns  Stats'!B223+'MPT Optimisation'!$B$17*'Returns  Stats'!C223+'MPT Optimisation'!$B$18*'Returns  Stats'!D223+'MPT Optimisation'!$B$19*'Returns  Stats'!E223</f>
        <v>1.2923015251168457E-3</v>
      </c>
    </row>
    <row r="224" spans="1:2" ht="15" customHeight="1" x14ac:dyDescent="0.2">
      <c r="A224" s="32" t="str">
        <f>'Returns  Stats'!A224</f>
        <v>2021-11-19</v>
      </c>
      <c r="B224" s="35">
        <f>'MPT Optimisation'!$B$16*'Returns  Stats'!B224+'MPT Optimisation'!$B$17*'Returns  Stats'!C224+'MPT Optimisation'!$B$18*'Returns  Stats'!D224+'MPT Optimisation'!$B$19*'Returns  Stats'!E224</f>
        <v>-4.4631101690053021E-3</v>
      </c>
    </row>
    <row r="225" spans="1:2" ht="15" customHeight="1" x14ac:dyDescent="0.2">
      <c r="A225" s="32" t="str">
        <f>'Returns  Stats'!A225</f>
        <v>2021-11-22</v>
      </c>
      <c r="B225" s="35">
        <f>'MPT Optimisation'!$B$16*'Returns  Stats'!B225+'MPT Optimisation'!$B$17*'Returns  Stats'!C225+'MPT Optimisation'!$B$18*'Returns  Stats'!D225+'MPT Optimisation'!$B$19*'Returns  Stats'!E225</f>
        <v>-5.1242965394833308E-3</v>
      </c>
    </row>
    <row r="226" spans="1:2" ht="15" customHeight="1" x14ac:dyDescent="0.2">
      <c r="A226" s="32" t="str">
        <f>'Returns  Stats'!A226</f>
        <v>2021-11-23</v>
      </c>
      <c r="B226" s="35">
        <f>'MPT Optimisation'!$B$16*'Returns  Stats'!B226+'MPT Optimisation'!$B$17*'Returns  Stats'!C226+'MPT Optimisation'!$B$18*'Returns  Stats'!D226+'MPT Optimisation'!$B$19*'Returns  Stats'!E226</f>
        <v>1.0578064341384424E-4</v>
      </c>
    </row>
    <row r="227" spans="1:2" ht="15" customHeight="1" x14ac:dyDescent="0.2">
      <c r="A227" s="32" t="str">
        <f>'Returns  Stats'!A227</f>
        <v>2021-11-24</v>
      </c>
      <c r="B227" s="35">
        <f>'MPT Optimisation'!$B$16*'Returns  Stats'!B227+'MPT Optimisation'!$B$17*'Returns  Stats'!C227+'MPT Optimisation'!$B$18*'Returns  Stats'!D227+'MPT Optimisation'!$B$19*'Returns  Stats'!E227</f>
        <v>7.4942007762587295E-4</v>
      </c>
    </row>
    <row r="228" spans="1:2" ht="15" customHeight="1" x14ac:dyDescent="0.2">
      <c r="A228" s="32" t="str">
        <f>'Returns  Stats'!A228</f>
        <v>2021-11-26</v>
      </c>
      <c r="B228" s="35">
        <f>'MPT Optimisation'!$B$16*'Returns  Stats'!B228+'MPT Optimisation'!$B$17*'Returns  Stats'!C228+'MPT Optimisation'!$B$18*'Returns  Stats'!D228+'MPT Optimisation'!$B$19*'Returns  Stats'!E228</f>
        <v>-2.2081194150315099E-2</v>
      </c>
    </row>
    <row r="229" spans="1:2" ht="15" customHeight="1" x14ac:dyDescent="0.2">
      <c r="A229" s="32" t="str">
        <f>'Returns  Stats'!A229</f>
        <v>2021-11-29</v>
      </c>
      <c r="B229" s="35">
        <f>'MPT Optimisation'!$B$16*'Returns  Stats'!B229+'MPT Optimisation'!$B$17*'Returns  Stats'!C229+'MPT Optimisation'!$B$18*'Returns  Stats'!D229+'MPT Optimisation'!$B$19*'Returns  Stats'!E229</f>
        <v>7.557676202451514E-3</v>
      </c>
    </row>
    <row r="230" spans="1:2" ht="15" customHeight="1" x14ac:dyDescent="0.2">
      <c r="A230" s="32" t="str">
        <f>'Returns  Stats'!A230</f>
        <v>2021-11-30</v>
      </c>
      <c r="B230" s="35">
        <f>'MPT Optimisation'!$B$16*'Returns  Stats'!B230+'MPT Optimisation'!$B$17*'Returns  Stats'!C230+'MPT Optimisation'!$B$18*'Returns  Stats'!D230+'MPT Optimisation'!$B$19*'Returns  Stats'!E230</f>
        <v>-1.5484747869328857E-2</v>
      </c>
    </row>
    <row r="231" spans="1:2" ht="15" customHeight="1" x14ac:dyDescent="0.2">
      <c r="A231" s="32" t="str">
        <f>'Returns  Stats'!A231</f>
        <v>2021-12-01</v>
      </c>
      <c r="B231" s="35">
        <f>'MPT Optimisation'!$B$16*'Returns  Stats'!B231+'MPT Optimisation'!$B$17*'Returns  Stats'!C231+'MPT Optimisation'!$B$18*'Returns  Stats'!D231+'MPT Optimisation'!$B$19*'Returns  Stats'!E231</f>
        <v>-1.0988390388559881E-2</v>
      </c>
    </row>
    <row r="232" spans="1:2" ht="15" customHeight="1" x14ac:dyDescent="0.2">
      <c r="A232" s="32" t="str">
        <f>'Returns  Stats'!A232</f>
        <v>2021-12-02</v>
      </c>
      <c r="B232" s="35">
        <f>'MPT Optimisation'!$B$16*'Returns  Stats'!B232+'MPT Optimisation'!$B$17*'Returns  Stats'!C232+'MPT Optimisation'!$B$18*'Returns  Stats'!D232+'MPT Optimisation'!$B$19*'Returns  Stats'!E232</f>
        <v>1.4971559930021429E-2</v>
      </c>
    </row>
    <row r="233" spans="1:2" ht="15" customHeight="1" x14ac:dyDescent="0.2">
      <c r="A233" s="32" t="str">
        <f>'Returns  Stats'!A233</f>
        <v>2021-12-03</v>
      </c>
      <c r="B233" s="35">
        <f>'MPT Optimisation'!$B$16*'Returns  Stats'!B233+'MPT Optimisation'!$B$17*'Returns  Stats'!C233+'MPT Optimisation'!$B$18*'Returns  Stats'!D233+'MPT Optimisation'!$B$19*'Returns  Stats'!E233</f>
        <v>-8.1584711578028702E-3</v>
      </c>
    </row>
    <row r="234" spans="1:2" ht="15" customHeight="1" x14ac:dyDescent="0.2">
      <c r="A234" s="32" t="str">
        <f>'Returns  Stats'!A234</f>
        <v>2021-12-06</v>
      </c>
      <c r="B234" s="35">
        <f>'MPT Optimisation'!$B$16*'Returns  Stats'!B234+'MPT Optimisation'!$B$17*'Returns  Stats'!C234+'MPT Optimisation'!$B$18*'Returns  Stats'!D234+'MPT Optimisation'!$B$19*'Returns  Stats'!E234</f>
        <v>1.1292969650902941E-2</v>
      </c>
    </row>
    <row r="235" spans="1:2" ht="15" customHeight="1" x14ac:dyDescent="0.2">
      <c r="A235" s="32" t="str">
        <f>'Returns  Stats'!A235</f>
        <v>2021-12-07</v>
      </c>
      <c r="B235" s="35">
        <f>'MPT Optimisation'!$B$16*'Returns  Stats'!B235+'MPT Optimisation'!$B$17*'Returns  Stats'!C235+'MPT Optimisation'!$B$18*'Returns  Stats'!D235+'MPT Optimisation'!$B$19*'Returns  Stats'!E235</f>
        <v>1.9805705596127529E-2</v>
      </c>
    </row>
    <row r="236" spans="1:2" ht="15" customHeight="1" x14ac:dyDescent="0.2">
      <c r="A236" s="32" t="str">
        <f>'Returns  Stats'!A236</f>
        <v>2021-12-08</v>
      </c>
      <c r="B236" s="35">
        <f>'MPT Optimisation'!$B$16*'Returns  Stats'!B236+'MPT Optimisation'!$B$17*'Returns  Stats'!C236+'MPT Optimisation'!$B$18*'Returns  Stats'!D236+'MPT Optimisation'!$B$19*'Returns  Stats'!E236</f>
        <v>3.3790629471437904E-3</v>
      </c>
    </row>
    <row r="237" spans="1:2" ht="15" customHeight="1" x14ac:dyDescent="0.2">
      <c r="A237" s="32" t="str">
        <f>'Returns  Stats'!A237</f>
        <v>2021-12-09</v>
      </c>
      <c r="B237" s="35">
        <f>'MPT Optimisation'!$B$16*'Returns  Stats'!B237+'MPT Optimisation'!$B$17*'Returns  Stats'!C237+'MPT Optimisation'!$B$18*'Returns  Stats'!D237+'MPT Optimisation'!$B$19*'Returns  Stats'!E237</f>
        <v>-8.9274763984567296E-3</v>
      </c>
    </row>
    <row r="238" spans="1:2" ht="15" customHeight="1" x14ac:dyDescent="0.2">
      <c r="A238" s="32" t="str">
        <f>'Returns  Stats'!A238</f>
        <v>2021-12-10</v>
      </c>
      <c r="B238" s="35">
        <f>'MPT Optimisation'!$B$16*'Returns  Stats'!B238+'MPT Optimisation'!$B$17*'Returns  Stats'!C238+'MPT Optimisation'!$B$18*'Returns  Stats'!D238+'MPT Optimisation'!$B$19*'Returns  Stats'!E238</f>
        <v>4.8990851596287027E-3</v>
      </c>
    </row>
    <row r="239" spans="1:2" ht="15" customHeight="1" x14ac:dyDescent="0.2">
      <c r="A239" s="32" t="str">
        <f>'Returns  Stats'!A239</f>
        <v>2021-12-13</v>
      </c>
      <c r="B239" s="35">
        <f>'MPT Optimisation'!$B$16*'Returns  Stats'!B239+'MPT Optimisation'!$B$17*'Returns  Stats'!C239+'MPT Optimisation'!$B$18*'Returns  Stats'!D239+'MPT Optimisation'!$B$19*'Returns  Stats'!E239</f>
        <v>-7.626240179881184E-3</v>
      </c>
    </row>
    <row r="240" spans="1:2" ht="15" customHeight="1" x14ac:dyDescent="0.2">
      <c r="A240" s="32" t="str">
        <f>'Returns  Stats'!A240</f>
        <v>2021-12-14</v>
      </c>
      <c r="B240" s="35">
        <f>'MPT Optimisation'!$B$16*'Returns  Stats'!B240+'MPT Optimisation'!$B$17*'Returns  Stats'!C240+'MPT Optimisation'!$B$18*'Returns  Stats'!D240+'MPT Optimisation'!$B$19*'Returns  Stats'!E240</f>
        <v>-6.8328386049857585E-3</v>
      </c>
    </row>
    <row r="241" spans="1:2" ht="15" customHeight="1" x14ac:dyDescent="0.2">
      <c r="A241" s="32" t="str">
        <f>'Returns  Stats'!A241</f>
        <v>2021-12-15</v>
      </c>
      <c r="B241" s="35">
        <f>'MPT Optimisation'!$B$16*'Returns  Stats'!B241+'MPT Optimisation'!$B$17*'Returns  Stats'!C241+'MPT Optimisation'!$B$18*'Returns  Stats'!D241+'MPT Optimisation'!$B$19*'Returns  Stats'!E241</f>
        <v>1.3982837940225777E-2</v>
      </c>
    </row>
    <row r="242" spans="1:2" ht="15" customHeight="1" x14ac:dyDescent="0.2">
      <c r="A242" s="32" t="str">
        <f>'Returns  Stats'!A242</f>
        <v>2021-12-16</v>
      </c>
      <c r="B242" s="35">
        <f>'MPT Optimisation'!$B$16*'Returns  Stats'!B242+'MPT Optimisation'!$B$17*'Returns  Stats'!C242+'MPT Optimisation'!$B$18*'Returns  Stats'!D242+'MPT Optimisation'!$B$19*'Returns  Stats'!E242</f>
        <v>-6.6329258485984637E-3</v>
      </c>
    </row>
    <row r="243" spans="1:2" ht="15" customHeight="1" x14ac:dyDescent="0.2">
      <c r="A243" s="32" t="str">
        <f>'Returns  Stats'!A243</f>
        <v>2021-12-17</v>
      </c>
      <c r="B243" s="35">
        <f>'MPT Optimisation'!$B$16*'Returns  Stats'!B243+'MPT Optimisation'!$B$17*'Returns  Stats'!C243+'MPT Optimisation'!$B$18*'Returns  Stats'!D243+'MPT Optimisation'!$B$19*'Returns  Stats'!E243</f>
        <v>-6.5284009932337341E-3</v>
      </c>
    </row>
    <row r="244" spans="1:2" ht="15" customHeight="1" x14ac:dyDescent="0.2">
      <c r="A244" s="32" t="str">
        <f>'Returns  Stats'!A244</f>
        <v>2021-12-20</v>
      </c>
      <c r="B244" s="35">
        <f>'MPT Optimisation'!$B$16*'Returns  Stats'!B244+'MPT Optimisation'!$B$17*'Returns  Stats'!C244+'MPT Optimisation'!$B$18*'Returns  Stats'!D244+'MPT Optimisation'!$B$19*'Returns  Stats'!E244</f>
        <v>-9.5641255883425931E-3</v>
      </c>
    </row>
    <row r="245" spans="1:2" ht="15" customHeight="1" x14ac:dyDescent="0.2">
      <c r="A245" s="32" t="str">
        <f>'Returns  Stats'!A245</f>
        <v>2021-12-21</v>
      </c>
      <c r="B245" s="35">
        <f>'MPT Optimisation'!$B$16*'Returns  Stats'!B245+'MPT Optimisation'!$B$17*'Returns  Stats'!C245+'MPT Optimisation'!$B$18*'Returns  Stats'!D245+'MPT Optimisation'!$B$19*'Returns  Stats'!E245</f>
        <v>1.561917226538046E-2</v>
      </c>
    </row>
    <row r="246" spans="1:2" ht="15" customHeight="1" x14ac:dyDescent="0.2">
      <c r="A246" s="32" t="str">
        <f>'Returns  Stats'!A246</f>
        <v>2021-12-22</v>
      </c>
      <c r="B246" s="35">
        <f>'MPT Optimisation'!$B$16*'Returns  Stats'!B246+'MPT Optimisation'!$B$17*'Returns  Stats'!C246+'MPT Optimisation'!$B$18*'Returns  Stats'!D246+'MPT Optimisation'!$B$19*'Returns  Stats'!E246</f>
        <v>9.2819959383298786E-3</v>
      </c>
    </row>
    <row r="247" spans="1:2" ht="15" customHeight="1" x14ac:dyDescent="0.2">
      <c r="A247" s="32" t="str">
        <f>'Returns  Stats'!A247</f>
        <v>2021-12-23</v>
      </c>
      <c r="B247" s="35">
        <f>'MPT Optimisation'!$B$16*'Returns  Stats'!B247+'MPT Optimisation'!$B$17*'Returns  Stats'!C247+'MPT Optimisation'!$B$18*'Returns  Stats'!D247+'MPT Optimisation'!$B$19*'Returns  Stats'!E247</f>
        <v>5.795821119898909E-3</v>
      </c>
    </row>
    <row r="248" spans="1:2" ht="15" customHeight="1" x14ac:dyDescent="0.2">
      <c r="A248" s="32" t="str">
        <f>'Returns  Stats'!A248</f>
        <v>2021-12-27</v>
      </c>
      <c r="B248" s="35">
        <f>'MPT Optimisation'!$B$16*'Returns  Stats'!B248+'MPT Optimisation'!$B$17*'Returns  Stats'!C248+'MPT Optimisation'!$B$18*'Returns  Stats'!D248+'MPT Optimisation'!$B$19*'Returns  Stats'!E248</f>
        <v>1.108470385842293E-2</v>
      </c>
    </row>
    <row r="249" spans="1:2" ht="15" customHeight="1" x14ac:dyDescent="0.2">
      <c r="A249" s="32" t="str">
        <f>'Returns  Stats'!A249</f>
        <v>2021-12-28</v>
      </c>
      <c r="B249" s="35">
        <f>'MPT Optimisation'!$B$16*'Returns  Stats'!B249+'MPT Optimisation'!$B$17*'Returns  Stats'!C249+'MPT Optimisation'!$B$18*'Returns  Stats'!D249+'MPT Optimisation'!$B$19*'Returns  Stats'!E249</f>
        <v>-9.5880873825980324E-4</v>
      </c>
    </row>
    <row r="250" spans="1:2" ht="15" customHeight="1" x14ac:dyDescent="0.2">
      <c r="A250" s="32" t="str">
        <f>'Returns  Stats'!A250</f>
        <v>2021-12-29</v>
      </c>
      <c r="B250" s="35">
        <f>'MPT Optimisation'!$B$16*'Returns  Stats'!B250+'MPT Optimisation'!$B$17*'Returns  Stats'!C250+'MPT Optimisation'!$B$18*'Returns  Stats'!D250+'MPT Optimisation'!$B$19*'Returns  Stats'!E250</f>
        <v>4.2047677554529213E-4</v>
      </c>
    </row>
    <row r="251" spans="1:2" ht="15" customHeight="1" x14ac:dyDescent="0.2">
      <c r="A251" s="32" t="str">
        <f>'Returns  Stats'!A251</f>
        <v>2021-12-30</v>
      </c>
      <c r="B251" s="35">
        <f>'MPT Optimisation'!$B$16*'Returns  Stats'!B251+'MPT Optimisation'!$B$17*'Returns  Stats'!C251+'MPT Optimisation'!$B$18*'Returns  Stats'!D251+'MPT Optimisation'!$B$19*'Returns  Stats'!E251</f>
        <v>-1.4243064439999008E-3</v>
      </c>
    </row>
    <row r="252" spans="1:2" ht="15" customHeight="1" x14ac:dyDescent="0.2">
      <c r="A252" s="32" t="str">
        <f>'Returns  Stats'!A252</f>
        <v>2021-12-31</v>
      </c>
      <c r="B252" s="35">
        <f>'MPT Optimisation'!$B$16*'Returns  Stats'!B252+'MPT Optimisation'!$B$17*'Returns  Stats'!C252+'MPT Optimisation'!$B$18*'Returns  Stats'!D252+'MPT Optimisation'!$B$19*'Returns  Stats'!E252</f>
        <v>-2.0532778497720674E-3</v>
      </c>
    </row>
    <row r="253" spans="1:2" ht="15" customHeight="1" x14ac:dyDescent="0.2">
      <c r="A253" s="32" t="str">
        <f>'Returns  Stats'!A253</f>
        <v>2022-01-03</v>
      </c>
      <c r="B253" s="35">
        <f>'MPT Optimisation'!$B$16*'Returns  Stats'!B253+'MPT Optimisation'!$B$17*'Returns  Stats'!C253+'MPT Optimisation'!$B$18*'Returns  Stats'!D253+'MPT Optimisation'!$B$19*'Returns  Stats'!E253</f>
        <v>5.0126952632180595E-3</v>
      </c>
    </row>
    <row r="254" spans="1:2" ht="15" customHeight="1" x14ac:dyDescent="0.2">
      <c r="A254" s="32" t="str">
        <f>'Returns  Stats'!A254</f>
        <v>2022-01-04</v>
      </c>
      <c r="B254" s="35">
        <f>'MPT Optimisation'!$B$16*'Returns  Stats'!B254+'MPT Optimisation'!$B$17*'Returns  Stats'!C254+'MPT Optimisation'!$B$18*'Returns  Stats'!D254+'MPT Optimisation'!$B$19*'Returns  Stats'!E254</f>
        <v>5.0344492583256353E-4</v>
      </c>
    </row>
    <row r="255" spans="1:2" ht="15" customHeight="1" x14ac:dyDescent="0.2">
      <c r="A255" s="32" t="str">
        <f>'Returns  Stats'!A255</f>
        <v>2022-01-05</v>
      </c>
      <c r="B255" s="35">
        <f>'MPT Optimisation'!$B$16*'Returns  Stats'!B255+'MPT Optimisation'!$B$17*'Returns  Stats'!C255+'MPT Optimisation'!$B$18*'Returns  Stats'!D255+'MPT Optimisation'!$B$19*'Returns  Stats'!E255</f>
        <v>-1.7236049268937754E-2</v>
      </c>
    </row>
    <row r="256" spans="1:2" ht="15" customHeight="1" x14ac:dyDescent="0.2">
      <c r="A256" s="32" t="str">
        <f>'Returns  Stats'!A256</f>
        <v>2022-01-06</v>
      </c>
      <c r="B256" s="35">
        <f>'MPT Optimisation'!$B$16*'Returns  Stats'!B256+'MPT Optimisation'!$B$17*'Returns  Stats'!C256+'MPT Optimisation'!$B$18*'Returns  Stats'!D256+'MPT Optimisation'!$B$19*'Returns  Stats'!E256</f>
        <v>-1.6801866799899534E-3</v>
      </c>
    </row>
    <row r="257" spans="1:2" ht="15" customHeight="1" x14ac:dyDescent="0.2">
      <c r="A257" s="32" t="str">
        <f>'Returns  Stats'!A257</f>
        <v>2022-01-07</v>
      </c>
      <c r="B257" s="35">
        <f>'MPT Optimisation'!$B$16*'Returns  Stats'!B257+'MPT Optimisation'!$B$17*'Returns  Stats'!C257+'MPT Optimisation'!$B$18*'Returns  Stats'!D257+'MPT Optimisation'!$B$19*'Returns  Stats'!E257</f>
        <v>-2.3308364507220293E-3</v>
      </c>
    </row>
    <row r="258" spans="1:2" ht="15" customHeight="1" x14ac:dyDescent="0.2">
      <c r="A258" s="32" t="str">
        <f>'Returns  Stats'!A258</f>
        <v>2022-01-10</v>
      </c>
      <c r="B258" s="35">
        <f>'MPT Optimisation'!$B$16*'Returns  Stats'!B258+'MPT Optimisation'!$B$17*'Returns  Stats'!C258+'MPT Optimisation'!$B$18*'Returns  Stats'!D258+'MPT Optimisation'!$B$19*'Returns  Stats'!E258</f>
        <v>-4.1547506730070126E-3</v>
      </c>
    </row>
    <row r="259" spans="1:2" ht="15" customHeight="1" x14ac:dyDescent="0.2">
      <c r="A259" s="32" t="str">
        <f>'Returns  Stats'!A259</f>
        <v>2022-01-11</v>
      </c>
      <c r="B259" s="35">
        <f>'MPT Optimisation'!$B$16*'Returns  Stats'!B259+'MPT Optimisation'!$B$17*'Returns  Stats'!C259+'MPT Optimisation'!$B$18*'Returns  Stats'!D259+'MPT Optimisation'!$B$19*'Returns  Stats'!E259</f>
        <v>9.4201308075820625E-3</v>
      </c>
    </row>
    <row r="260" spans="1:2" ht="15" customHeight="1" x14ac:dyDescent="0.2">
      <c r="A260" s="32" t="str">
        <f>'Returns  Stats'!A260</f>
        <v>2022-01-12</v>
      </c>
      <c r="B260" s="35">
        <f>'MPT Optimisation'!$B$16*'Returns  Stats'!B260+'MPT Optimisation'!$B$17*'Returns  Stats'!C260+'MPT Optimisation'!$B$18*'Returns  Stats'!D260+'MPT Optimisation'!$B$19*'Returns  Stats'!E260</f>
        <v>3.9194574689737083E-3</v>
      </c>
    </row>
    <row r="261" spans="1:2" ht="15" customHeight="1" x14ac:dyDescent="0.2">
      <c r="A261" s="32" t="str">
        <f>'Returns  Stats'!A261</f>
        <v>2022-01-13</v>
      </c>
      <c r="B261" s="35">
        <f>'MPT Optimisation'!$B$16*'Returns  Stats'!B261+'MPT Optimisation'!$B$17*'Returns  Stats'!C261+'MPT Optimisation'!$B$18*'Returns  Stats'!D261+'MPT Optimisation'!$B$19*'Returns  Stats'!E261</f>
        <v>-1.097765099778261E-2</v>
      </c>
    </row>
    <row r="262" spans="1:2" ht="15" customHeight="1" x14ac:dyDescent="0.2">
      <c r="A262" s="32" t="str">
        <f>'Returns  Stats'!A262</f>
        <v>2022-01-14</v>
      </c>
      <c r="B262" s="35">
        <f>'MPT Optimisation'!$B$16*'Returns  Stats'!B262+'MPT Optimisation'!$B$17*'Returns  Stats'!C262+'MPT Optimisation'!$B$18*'Returns  Stats'!D262+'MPT Optimisation'!$B$19*'Returns  Stats'!E262</f>
        <v>-8.0531715634646892E-4</v>
      </c>
    </row>
    <row r="263" spans="1:2" ht="15" customHeight="1" x14ac:dyDescent="0.2">
      <c r="A263" s="32" t="str">
        <f>'Returns  Stats'!A263</f>
        <v>2022-01-18</v>
      </c>
      <c r="B263" s="35">
        <f>'MPT Optimisation'!$B$16*'Returns  Stats'!B263+'MPT Optimisation'!$B$17*'Returns  Stats'!C263+'MPT Optimisation'!$B$18*'Returns  Stats'!D263+'MPT Optimisation'!$B$19*'Returns  Stats'!E263</f>
        <v>-1.6900729457469624E-2</v>
      </c>
    </row>
    <row r="264" spans="1:2" ht="15" customHeight="1" x14ac:dyDescent="0.2">
      <c r="A264" s="32" t="str">
        <f>'Returns  Stats'!A264</f>
        <v>2022-01-19</v>
      </c>
      <c r="B264" s="35">
        <f>'MPT Optimisation'!$B$16*'Returns  Stats'!B264+'MPT Optimisation'!$B$17*'Returns  Stats'!C264+'MPT Optimisation'!$B$18*'Returns  Stats'!D264+'MPT Optimisation'!$B$19*'Returns  Stats'!E264</f>
        <v>-7.1367320570942579E-3</v>
      </c>
    </row>
    <row r="265" spans="1:2" ht="15" customHeight="1" x14ac:dyDescent="0.2">
      <c r="A265" s="32" t="str">
        <f>'Returns  Stats'!A265</f>
        <v>2022-01-20</v>
      </c>
      <c r="B265" s="35">
        <f>'MPT Optimisation'!$B$16*'Returns  Stats'!B265+'MPT Optimisation'!$B$17*'Returns  Stats'!C265+'MPT Optimisation'!$B$18*'Returns  Stats'!D265+'MPT Optimisation'!$B$19*'Returns  Stats'!E265</f>
        <v>-9.0791583346178928E-3</v>
      </c>
    </row>
    <row r="266" spans="1:2" ht="15" customHeight="1" x14ac:dyDescent="0.2">
      <c r="A266" s="32" t="str">
        <f>'Returns  Stats'!A266</f>
        <v>2022-01-21</v>
      </c>
      <c r="B266" s="35">
        <f>'MPT Optimisation'!$B$16*'Returns  Stats'!B266+'MPT Optimisation'!$B$17*'Returns  Stats'!C266+'MPT Optimisation'!$B$18*'Returns  Stats'!D266+'MPT Optimisation'!$B$19*'Returns  Stats'!E266</f>
        <v>-1.5870425659466319E-2</v>
      </c>
    </row>
    <row r="267" spans="1:2" ht="15" customHeight="1" x14ac:dyDescent="0.2">
      <c r="A267" s="32" t="str">
        <f>'Returns  Stats'!A267</f>
        <v>2022-01-24</v>
      </c>
      <c r="B267" s="35">
        <f>'MPT Optimisation'!$B$16*'Returns  Stats'!B267+'MPT Optimisation'!$B$17*'Returns  Stats'!C267+'MPT Optimisation'!$B$18*'Returns  Stats'!D267+'MPT Optimisation'!$B$19*'Returns  Stats'!E267</f>
        <v>9.0726126262018452E-4</v>
      </c>
    </row>
    <row r="268" spans="1:2" ht="15" customHeight="1" x14ac:dyDescent="0.2">
      <c r="A268" s="32" t="str">
        <f>'Returns  Stats'!A268</f>
        <v>2022-01-25</v>
      </c>
      <c r="B268" s="35">
        <f>'MPT Optimisation'!$B$16*'Returns  Stats'!B268+'MPT Optimisation'!$B$17*'Returns  Stats'!C268+'MPT Optimisation'!$B$18*'Returns  Stats'!D268+'MPT Optimisation'!$B$19*'Returns  Stats'!E268</f>
        <v>-1.0467151730896768E-2</v>
      </c>
    </row>
    <row r="269" spans="1:2" ht="15" customHeight="1" x14ac:dyDescent="0.2">
      <c r="A269" s="32" t="str">
        <f>'Returns  Stats'!A269</f>
        <v>2022-01-26</v>
      </c>
      <c r="B269" s="35">
        <f>'MPT Optimisation'!$B$16*'Returns  Stats'!B269+'MPT Optimisation'!$B$17*'Returns  Stats'!C269+'MPT Optimisation'!$B$18*'Returns  Stats'!D269+'MPT Optimisation'!$B$19*'Returns  Stats'!E269</f>
        <v>-4.5467851719041942E-3</v>
      </c>
    </row>
    <row r="270" spans="1:2" ht="15" customHeight="1" x14ac:dyDescent="0.2">
      <c r="A270" s="32" t="str">
        <f>'Returns  Stats'!A270</f>
        <v>2022-01-27</v>
      </c>
      <c r="B270" s="35">
        <f>'MPT Optimisation'!$B$16*'Returns  Stats'!B270+'MPT Optimisation'!$B$17*'Returns  Stats'!C270+'MPT Optimisation'!$B$18*'Returns  Stats'!D270+'MPT Optimisation'!$B$19*'Returns  Stats'!E270</f>
        <v>-6.5151711946957016E-3</v>
      </c>
    </row>
    <row r="271" spans="1:2" ht="15" customHeight="1" x14ac:dyDescent="0.2">
      <c r="A271" s="32" t="str">
        <f>'Returns  Stats'!A271</f>
        <v>2022-01-28</v>
      </c>
      <c r="B271" s="35">
        <f>'MPT Optimisation'!$B$16*'Returns  Stats'!B271+'MPT Optimisation'!$B$17*'Returns  Stats'!C271+'MPT Optimisation'!$B$18*'Returns  Stats'!D271+'MPT Optimisation'!$B$19*'Returns  Stats'!E271</f>
        <v>1.7442837271694218E-2</v>
      </c>
    </row>
    <row r="272" spans="1:2" ht="15" customHeight="1" x14ac:dyDescent="0.2">
      <c r="A272" s="32" t="str">
        <f>'Returns  Stats'!A272</f>
        <v>2022-01-31</v>
      </c>
      <c r="B272" s="35">
        <f>'MPT Optimisation'!$B$16*'Returns  Stats'!B272+'MPT Optimisation'!$B$17*'Returns  Stats'!C272+'MPT Optimisation'!$B$18*'Returns  Stats'!D272+'MPT Optimisation'!$B$19*'Returns  Stats'!E272</f>
        <v>1.7737484768392053E-2</v>
      </c>
    </row>
    <row r="273" spans="1:2" ht="15" customHeight="1" x14ac:dyDescent="0.2">
      <c r="A273" s="32" t="str">
        <f>'Returns  Stats'!A273</f>
        <v>2022-02-01</v>
      </c>
      <c r="B273" s="35">
        <f>'MPT Optimisation'!$B$16*'Returns  Stats'!B273+'MPT Optimisation'!$B$17*'Returns  Stats'!C273+'MPT Optimisation'!$B$18*'Returns  Stats'!D273+'MPT Optimisation'!$B$19*'Returns  Stats'!E273</f>
        <v>7.2289813838556146E-3</v>
      </c>
    </row>
    <row r="274" spans="1:2" ht="15" customHeight="1" x14ac:dyDescent="0.2">
      <c r="A274" s="32" t="str">
        <f>'Returns  Stats'!A274</f>
        <v>2022-02-02</v>
      </c>
      <c r="B274" s="35">
        <f>'MPT Optimisation'!$B$16*'Returns  Stats'!B274+'MPT Optimisation'!$B$17*'Returns  Stats'!C274+'MPT Optimisation'!$B$18*'Returns  Stats'!D274+'MPT Optimisation'!$B$19*'Returns  Stats'!E274</f>
        <v>6.8900123668500842E-3</v>
      </c>
    </row>
    <row r="275" spans="1:2" ht="15" customHeight="1" x14ac:dyDescent="0.2">
      <c r="A275" s="32" t="str">
        <f>'Returns  Stats'!A275</f>
        <v>2022-02-03</v>
      </c>
      <c r="B275" s="35">
        <f>'MPT Optimisation'!$B$16*'Returns  Stats'!B275+'MPT Optimisation'!$B$17*'Returns  Stats'!C275+'MPT Optimisation'!$B$18*'Returns  Stats'!D275+'MPT Optimisation'!$B$19*'Returns  Stats'!E275</f>
        <v>-1.9746127005848636E-2</v>
      </c>
    </row>
    <row r="276" spans="1:2" ht="15" customHeight="1" x14ac:dyDescent="0.2">
      <c r="A276" s="32" t="str">
        <f>'Returns  Stats'!A276</f>
        <v>2022-02-04</v>
      </c>
      <c r="B276" s="35">
        <f>'MPT Optimisation'!$B$16*'Returns  Stats'!B276+'MPT Optimisation'!$B$17*'Returns  Stats'!C276+'MPT Optimisation'!$B$18*'Returns  Stats'!D276+'MPT Optimisation'!$B$19*'Returns  Stats'!E276</f>
        <v>3.8828098872790377E-3</v>
      </c>
    </row>
    <row r="277" spans="1:2" ht="15" customHeight="1" x14ac:dyDescent="0.2">
      <c r="A277" s="32" t="str">
        <f>'Returns  Stats'!A277</f>
        <v>2022-02-07</v>
      </c>
      <c r="B277" s="35">
        <f>'MPT Optimisation'!$B$16*'Returns  Stats'!B277+'MPT Optimisation'!$B$17*'Returns  Stats'!C277+'MPT Optimisation'!$B$18*'Returns  Stats'!D277+'MPT Optimisation'!$B$19*'Returns  Stats'!E277</f>
        <v>-1.0263072532340543E-3</v>
      </c>
    </row>
    <row r="278" spans="1:2" ht="15" customHeight="1" x14ac:dyDescent="0.2">
      <c r="A278" s="32" t="str">
        <f>'Returns  Stats'!A278</f>
        <v>2022-02-08</v>
      </c>
      <c r="B278" s="35">
        <f>'MPT Optimisation'!$B$16*'Returns  Stats'!B278+'MPT Optimisation'!$B$17*'Returns  Stats'!C278+'MPT Optimisation'!$B$18*'Returns  Stats'!D278+'MPT Optimisation'!$B$19*'Returns  Stats'!E278</f>
        <v>6.6559345864578394E-3</v>
      </c>
    </row>
    <row r="279" spans="1:2" ht="15" customHeight="1" x14ac:dyDescent="0.2">
      <c r="A279" s="32" t="str">
        <f>'Returns  Stats'!A279</f>
        <v>2022-02-09</v>
      </c>
      <c r="B279" s="35">
        <f>'MPT Optimisation'!$B$16*'Returns  Stats'!B279+'MPT Optimisation'!$B$17*'Returns  Stats'!C279+'MPT Optimisation'!$B$18*'Returns  Stats'!D279+'MPT Optimisation'!$B$19*'Returns  Stats'!E279</f>
        <v>1.5774522704413697E-2</v>
      </c>
    </row>
    <row r="280" spans="1:2" ht="15" customHeight="1" x14ac:dyDescent="0.2">
      <c r="A280" s="32" t="str">
        <f>'Returns  Stats'!A280</f>
        <v>2022-02-10</v>
      </c>
      <c r="B280" s="35">
        <f>'MPT Optimisation'!$B$16*'Returns  Stats'!B280+'MPT Optimisation'!$B$17*'Returns  Stats'!C280+'MPT Optimisation'!$B$18*'Returns  Stats'!D280+'MPT Optimisation'!$B$19*'Returns  Stats'!E280</f>
        <v>-1.5628483376333654E-2</v>
      </c>
    </row>
    <row r="281" spans="1:2" ht="15" customHeight="1" x14ac:dyDescent="0.2">
      <c r="A281" s="32" t="str">
        <f>'Returns  Stats'!A281</f>
        <v>2022-02-11</v>
      </c>
      <c r="B281" s="35">
        <f>'MPT Optimisation'!$B$16*'Returns  Stats'!B281+'MPT Optimisation'!$B$17*'Returns  Stats'!C281+'MPT Optimisation'!$B$18*'Returns  Stats'!D281+'MPT Optimisation'!$B$19*'Returns  Stats'!E281</f>
        <v>-1.6293920407124459E-2</v>
      </c>
    </row>
    <row r="282" spans="1:2" ht="15" customHeight="1" x14ac:dyDescent="0.2">
      <c r="A282" s="32" t="str">
        <f>'Returns  Stats'!A282</f>
        <v>2022-02-14</v>
      </c>
      <c r="B282" s="35">
        <f>'MPT Optimisation'!$B$16*'Returns  Stats'!B282+'MPT Optimisation'!$B$17*'Returns  Stats'!C282+'MPT Optimisation'!$B$18*'Returns  Stats'!D282+'MPT Optimisation'!$B$19*'Returns  Stats'!E282</f>
        <v>-4.8948210066371558E-3</v>
      </c>
    </row>
    <row r="283" spans="1:2" ht="15" customHeight="1" x14ac:dyDescent="0.2">
      <c r="A283" s="32" t="str">
        <f>'Returns  Stats'!A283</f>
        <v>2022-02-15</v>
      </c>
      <c r="B283" s="35">
        <f>'MPT Optimisation'!$B$16*'Returns  Stats'!B283+'MPT Optimisation'!$B$17*'Returns  Stats'!C283+'MPT Optimisation'!$B$18*'Returns  Stats'!D283+'MPT Optimisation'!$B$19*'Returns  Stats'!E283</f>
        <v>1.6543159672044193E-2</v>
      </c>
    </row>
    <row r="284" spans="1:2" ht="15" customHeight="1" x14ac:dyDescent="0.2">
      <c r="A284" s="32" t="str">
        <f>'Returns  Stats'!A284</f>
        <v>2022-02-16</v>
      </c>
      <c r="B284" s="35">
        <f>'MPT Optimisation'!$B$16*'Returns  Stats'!B284+'MPT Optimisation'!$B$17*'Returns  Stats'!C284+'MPT Optimisation'!$B$18*'Returns  Stats'!D284+'MPT Optimisation'!$B$19*'Returns  Stats'!E284</f>
        <v>1.9854567860374535E-3</v>
      </c>
    </row>
    <row r="285" spans="1:2" ht="15" customHeight="1" x14ac:dyDescent="0.2">
      <c r="A285" s="32" t="str">
        <f>'Returns  Stats'!A285</f>
        <v>2022-02-17</v>
      </c>
      <c r="B285" s="35">
        <f>'MPT Optimisation'!$B$16*'Returns  Stats'!B285+'MPT Optimisation'!$B$17*'Returns  Stats'!C285+'MPT Optimisation'!$B$18*'Returns  Stats'!D285+'MPT Optimisation'!$B$19*'Returns  Stats'!E285</f>
        <v>-1.8894206450732632E-2</v>
      </c>
    </row>
    <row r="286" spans="1:2" ht="15" customHeight="1" x14ac:dyDescent="0.2">
      <c r="A286" s="32" t="str">
        <f>'Returns  Stats'!A286</f>
        <v>2022-02-18</v>
      </c>
      <c r="B286" s="35">
        <f>'MPT Optimisation'!$B$16*'Returns  Stats'!B286+'MPT Optimisation'!$B$17*'Returns  Stats'!C286+'MPT Optimisation'!$B$18*'Returns  Stats'!D286+'MPT Optimisation'!$B$19*'Returns  Stats'!E286</f>
        <v>-6.268973811014206E-3</v>
      </c>
    </row>
    <row r="287" spans="1:2" ht="15" customHeight="1" x14ac:dyDescent="0.2">
      <c r="A287" s="32" t="str">
        <f>'Returns  Stats'!A287</f>
        <v>2022-02-22</v>
      </c>
      <c r="B287" s="35">
        <f>'MPT Optimisation'!$B$16*'Returns  Stats'!B287+'MPT Optimisation'!$B$17*'Returns  Stats'!C287+'MPT Optimisation'!$B$18*'Returns  Stats'!D287+'MPT Optimisation'!$B$19*'Returns  Stats'!E287</f>
        <v>-1.0634605436124865E-2</v>
      </c>
    </row>
    <row r="288" spans="1:2" ht="15" customHeight="1" x14ac:dyDescent="0.2">
      <c r="A288" s="32" t="str">
        <f>'Returns  Stats'!A288</f>
        <v>2022-02-23</v>
      </c>
      <c r="B288" s="35">
        <f>'MPT Optimisation'!$B$16*'Returns  Stats'!B288+'MPT Optimisation'!$B$17*'Returns  Stats'!C288+'MPT Optimisation'!$B$18*'Returns  Stats'!D288+'MPT Optimisation'!$B$19*'Returns  Stats'!E288</f>
        <v>-1.4548579086863273E-2</v>
      </c>
    </row>
    <row r="289" spans="1:2" ht="15" customHeight="1" x14ac:dyDescent="0.2">
      <c r="A289" s="32" t="str">
        <f>'Returns  Stats'!A289</f>
        <v>2022-02-24</v>
      </c>
      <c r="B289" s="35">
        <f>'MPT Optimisation'!$B$16*'Returns  Stats'!B289+'MPT Optimisation'!$B$17*'Returns  Stats'!C289+'MPT Optimisation'!$B$18*'Returns  Stats'!D289+'MPT Optimisation'!$B$19*'Returns  Stats'!E289</f>
        <v>7.4219866235193934E-3</v>
      </c>
    </row>
    <row r="290" spans="1:2" ht="15" customHeight="1" x14ac:dyDescent="0.2">
      <c r="A290" s="32" t="str">
        <f>'Returns  Stats'!A290</f>
        <v>2022-02-25</v>
      </c>
      <c r="B290" s="35">
        <f>'MPT Optimisation'!$B$16*'Returns  Stats'!B290+'MPT Optimisation'!$B$17*'Returns  Stats'!C290+'MPT Optimisation'!$B$18*'Returns  Stats'!D290+'MPT Optimisation'!$B$19*'Returns  Stats'!E290</f>
        <v>2.2106020977135606E-2</v>
      </c>
    </row>
    <row r="291" spans="1:2" ht="15" customHeight="1" x14ac:dyDescent="0.2">
      <c r="A291" s="32" t="str">
        <f>'Returns  Stats'!A291</f>
        <v>2022-02-28</v>
      </c>
      <c r="B291" s="35">
        <f>'MPT Optimisation'!$B$16*'Returns  Stats'!B291+'MPT Optimisation'!$B$17*'Returns  Stats'!C291+'MPT Optimisation'!$B$18*'Returns  Stats'!D291+'MPT Optimisation'!$B$19*'Returns  Stats'!E291</f>
        <v>-6.7418954390578434E-3</v>
      </c>
    </row>
    <row r="292" spans="1:2" ht="15" customHeight="1" x14ac:dyDescent="0.2">
      <c r="A292" s="32" t="str">
        <f>'Returns  Stats'!A292</f>
        <v>2022-03-01</v>
      </c>
      <c r="B292" s="35">
        <f>'MPT Optimisation'!$B$16*'Returns  Stats'!B292+'MPT Optimisation'!$B$17*'Returns  Stats'!C292+'MPT Optimisation'!$B$18*'Returns  Stats'!D292+'MPT Optimisation'!$B$19*'Returns  Stats'!E292</f>
        <v>-1.5896477037716489E-2</v>
      </c>
    </row>
    <row r="293" spans="1:2" ht="15" customHeight="1" x14ac:dyDescent="0.2">
      <c r="A293" s="32" t="str">
        <f>'Returns  Stats'!A293</f>
        <v>2022-03-02</v>
      </c>
      <c r="B293" s="35">
        <f>'MPT Optimisation'!$B$16*'Returns  Stats'!B293+'MPT Optimisation'!$B$17*'Returns  Stats'!C293+'MPT Optimisation'!$B$18*'Returns  Stats'!D293+'MPT Optimisation'!$B$19*'Returns  Stats'!E293</f>
        <v>1.5487730333150072E-2</v>
      </c>
    </row>
    <row r="294" spans="1:2" ht="15" customHeight="1" x14ac:dyDescent="0.2">
      <c r="A294" s="32" t="str">
        <f>'Returns  Stats'!A294</f>
        <v>2022-03-03</v>
      </c>
      <c r="B294" s="35">
        <f>'MPT Optimisation'!$B$16*'Returns  Stats'!B294+'MPT Optimisation'!$B$17*'Returns  Stats'!C294+'MPT Optimisation'!$B$18*'Returns  Stats'!D294+'MPT Optimisation'!$B$19*'Returns  Stats'!E294</f>
        <v>-9.9083552612569629E-3</v>
      </c>
    </row>
    <row r="295" spans="1:2" ht="15" customHeight="1" x14ac:dyDescent="0.2">
      <c r="A295" s="32" t="str">
        <f>'Returns  Stats'!A295</f>
        <v>2022-03-04</v>
      </c>
      <c r="B295" s="35">
        <f>'MPT Optimisation'!$B$16*'Returns  Stats'!B295+'MPT Optimisation'!$B$17*'Returns  Stats'!C295+'MPT Optimisation'!$B$18*'Returns  Stats'!D295+'MPT Optimisation'!$B$19*'Returns  Stats'!E295</f>
        <v>-1.4259398844667582E-2</v>
      </c>
    </row>
    <row r="296" spans="1:2" ht="15" customHeight="1" x14ac:dyDescent="0.2">
      <c r="A296" s="32" t="str">
        <f>'Returns  Stats'!A296</f>
        <v>2022-03-07</v>
      </c>
      <c r="B296" s="35">
        <f>'MPT Optimisation'!$B$16*'Returns  Stats'!B296+'MPT Optimisation'!$B$17*'Returns  Stats'!C296+'MPT Optimisation'!$B$18*'Returns  Stats'!D296+'MPT Optimisation'!$B$19*'Returns  Stats'!E296</f>
        <v>-2.9294746653256463E-2</v>
      </c>
    </row>
    <row r="297" spans="1:2" ht="15" customHeight="1" x14ac:dyDescent="0.2">
      <c r="A297" s="32" t="str">
        <f>'Returns  Stats'!A297</f>
        <v>2022-03-08</v>
      </c>
      <c r="B297" s="35">
        <f>'MPT Optimisation'!$B$16*'Returns  Stats'!B297+'MPT Optimisation'!$B$17*'Returns  Stats'!C297+'MPT Optimisation'!$B$18*'Returns  Stats'!D297+'MPT Optimisation'!$B$19*'Returns  Stats'!E297</f>
        <v>-1.1970914746751273E-3</v>
      </c>
    </row>
    <row r="298" spans="1:2" ht="15" customHeight="1" x14ac:dyDescent="0.2">
      <c r="A298" s="32" t="str">
        <f>'Returns  Stats'!A298</f>
        <v>2022-03-09</v>
      </c>
      <c r="B298" s="35">
        <f>'MPT Optimisation'!$B$16*'Returns  Stats'!B298+'MPT Optimisation'!$B$17*'Returns  Stats'!C298+'MPT Optimisation'!$B$18*'Returns  Stats'!D298+'MPT Optimisation'!$B$19*'Returns  Stats'!E298</f>
        <v>2.9865672804929008E-2</v>
      </c>
    </row>
    <row r="299" spans="1:2" ht="15" customHeight="1" x14ac:dyDescent="0.2">
      <c r="A299" s="32" t="str">
        <f>'Returns  Stats'!A299</f>
        <v>2022-03-10</v>
      </c>
      <c r="B299" s="35">
        <f>'MPT Optimisation'!$B$16*'Returns  Stats'!B299+'MPT Optimisation'!$B$17*'Returns  Stats'!C299+'MPT Optimisation'!$B$18*'Returns  Stats'!D299+'MPT Optimisation'!$B$19*'Returns  Stats'!E299</f>
        <v>-6.4384729449875827E-3</v>
      </c>
    </row>
    <row r="300" spans="1:2" ht="15" customHeight="1" x14ac:dyDescent="0.2">
      <c r="A300" s="32" t="str">
        <f>'Returns  Stats'!A300</f>
        <v>2022-03-11</v>
      </c>
      <c r="B300" s="35">
        <f>'MPT Optimisation'!$B$16*'Returns  Stats'!B300+'MPT Optimisation'!$B$17*'Returns  Stats'!C300+'MPT Optimisation'!$B$18*'Returns  Stats'!D300+'MPT Optimisation'!$B$19*'Returns  Stats'!E300</f>
        <v>-1.1800804977629009E-2</v>
      </c>
    </row>
    <row r="301" spans="1:2" ht="15" customHeight="1" x14ac:dyDescent="0.2">
      <c r="A301" s="32" t="str">
        <f>'Returns  Stats'!A301</f>
        <v>2022-03-14</v>
      </c>
      <c r="B301" s="35">
        <f>'MPT Optimisation'!$B$16*'Returns  Stats'!B301+'MPT Optimisation'!$B$17*'Returns  Stats'!C301+'MPT Optimisation'!$B$18*'Returns  Stats'!D301+'MPT Optimisation'!$B$19*'Returns  Stats'!E301</f>
        <v>-4.0372115816449334E-3</v>
      </c>
    </row>
    <row r="302" spans="1:2" ht="15" customHeight="1" x14ac:dyDescent="0.2">
      <c r="A302" s="32" t="str">
        <f>'Returns  Stats'!A302</f>
        <v>2022-03-15</v>
      </c>
      <c r="B302" s="35">
        <f>'MPT Optimisation'!$B$16*'Returns  Stats'!B302+'MPT Optimisation'!$B$17*'Returns  Stats'!C302+'MPT Optimisation'!$B$18*'Returns  Stats'!D302+'MPT Optimisation'!$B$19*'Returns  Stats'!E302</f>
        <v>1.5825446029280477E-2</v>
      </c>
    </row>
    <row r="303" spans="1:2" ht="15" customHeight="1" x14ac:dyDescent="0.2">
      <c r="A303" s="32" t="str">
        <f>'Returns  Stats'!A303</f>
        <v>2022-03-16</v>
      </c>
      <c r="B303" s="35">
        <f>'MPT Optimisation'!$B$16*'Returns  Stats'!B303+'MPT Optimisation'!$B$17*'Returns  Stats'!C303+'MPT Optimisation'!$B$18*'Returns  Stats'!D303+'MPT Optimisation'!$B$19*'Returns  Stats'!E303</f>
        <v>2.6405871079991899E-2</v>
      </c>
    </row>
    <row r="304" spans="1:2" ht="15" customHeight="1" x14ac:dyDescent="0.2">
      <c r="A304" s="32" t="str">
        <f>'Returns  Stats'!A304</f>
        <v>2022-03-17</v>
      </c>
      <c r="B304" s="35">
        <f>'MPT Optimisation'!$B$16*'Returns  Stats'!B304+'MPT Optimisation'!$B$17*'Returns  Stats'!C304+'MPT Optimisation'!$B$18*'Returns  Stats'!D304+'MPT Optimisation'!$B$19*'Returns  Stats'!E304</f>
        <v>1.1413799090937791E-2</v>
      </c>
    </row>
    <row r="305" spans="1:2" ht="15" customHeight="1" x14ac:dyDescent="0.2">
      <c r="A305" s="32" t="str">
        <f>'Returns  Stats'!A305</f>
        <v>2022-03-18</v>
      </c>
      <c r="B305" s="35">
        <f>'MPT Optimisation'!$B$16*'Returns  Stats'!B305+'MPT Optimisation'!$B$17*'Returns  Stats'!C305+'MPT Optimisation'!$B$18*'Returns  Stats'!D305+'MPT Optimisation'!$B$19*'Returns  Stats'!E305</f>
        <v>1.003526063196648E-2</v>
      </c>
    </row>
    <row r="306" spans="1:2" ht="15" customHeight="1" x14ac:dyDescent="0.2">
      <c r="A306" s="32" t="str">
        <f>'Returns  Stats'!A306</f>
        <v>2022-03-21</v>
      </c>
      <c r="B306" s="35">
        <f>'MPT Optimisation'!$B$16*'Returns  Stats'!B306+'MPT Optimisation'!$B$17*'Returns  Stats'!C306+'MPT Optimisation'!$B$18*'Returns  Stats'!D306+'MPT Optimisation'!$B$19*'Returns  Stats'!E306</f>
        <v>-3.2258750960215301E-3</v>
      </c>
    </row>
    <row r="307" spans="1:2" ht="15" customHeight="1" x14ac:dyDescent="0.2">
      <c r="A307" s="32" t="str">
        <f>'Returns  Stats'!A307</f>
        <v>2022-03-22</v>
      </c>
      <c r="B307" s="35">
        <f>'MPT Optimisation'!$B$16*'Returns  Stats'!B307+'MPT Optimisation'!$B$17*'Returns  Stats'!C307+'MPT Optimisation'!$B$18*'Returns  Stats'!D307+'MPT Optimisation'!$B$19*'Returns  Stats'!E307</f>
        <v>1.0176728924067114E-2</v>
      </c>
    </row>
    <row r="308" spans="1:2" ht="15" customHeight="1" x14ac:dyDescent="0.2">
      <c r="A308" s="32" t="str">
        <f>'Returns  Stats'!A308</f>
        <v>2022-03-23</v>
      </c>
      <c r="B308" s="35">
        <f>'MPT Optimisation'!$B$16*'Returns  Stats'!B308+'MPT Optimisation'!$B$17*'Returns  Stats'!C308+'MPT Optimisation'!$B$18*'Returns  Stats'!D308+'MPT Optimisation'!$B$19*'Returns  Stats'!E308</f>
        <v>-1.2418498387013088E-2</v>
      </c>
    </row>
    <row r="309" spans="1:2" ht="15" customHeight="1" x14ac:dyDescent="0.2">
      <c r="A309" s="32" t="str">
        <f>'Returns  Stats'!A309</f>
        <v>2022-03-24</v>
      </c>
      <c r="B309" s="35">
        <f>'MPT Optimisation'!$B$16*'Returns  Stats'!B309+'MPT Optimisation'!$B$17*'Returns  Stats'!C309+'MPT Optimisation'!$B$18*'Returns  Stats'!D309+'MPT Optimisation'!$B$19*'Returns  Stats'!E309</f>
        <v>1.1544669960354975E-2</v>
      </c>
    </row>
    <row r="310" spans="1:2" ht="15" customHeight="1" x14ac:dyDescent="0.2">
      <c r="A310" s="32" t="str">
        <f>'Returns  Stats'!A310</f>
        <v>2022-03-25</v>
      </c>
      <c r="B310" s="35">
        <f>'MPT Optimisation'!$B$16*'Returns  Stats'!B310+'MPT Optimisation'!$B$17*'Returns  Stats'!C310+'MPT Optimisation'!$B$18*'Returns  Stats'!D310+'MPT Optimisation'!$B$19*'Returns  Stats'!E310</f>
        <v>2.9523003707918657E-3</v>
      </c>
    </row>
    <row r="311" spans="1:2" ht="15" customHeight="1" x14ac:dyDescent="0.2">
      <c r="A311" s="32" t="str">
        <f>'Returns  Stats'!A311</f>
        <v>2022-03-28</v>
      </c>
      <c r="B311" s="35">
        <f>'MPT Optimisation'!$B$16*'Returns  Stats'!B311+'MPT Optimisation'!$B$17*'Returns  Stats'!C311+'MPT Optimisation'!$B$18*'Returns  Stats'!D311+'MPT Optimisation'!$B$19*'Returns  Stats'!E311</f>
        <v>3.5713956050475006E-3</v>
      </c>
    </row>
    <row r="312" spans="1:2" ht="15" customHeight="1" x14ac:dyDescent="0.2">
      <c r="A312" s="32" t="str">
        <f>'Returns  Stats'!A312</f>
        <v>2022-03-29</v>
      </c>
      <c r="B312" s="35">
        <f>'MPT Optimisation'!$B$16*'Returns  Stats'!B312+'MPT Optimisation'!$B$17*'Returns  Stats'!C312+'MPT Optimisation'!$B$18*'Returns  Stats'!D312+'MPT Optimisation'!$B$19*'Returns  Stats'!E312</f>
        <v>1.7448674511940109E-2</v>
      </c>
    </row>
    <row r="313" spans="1:2" ht="15" customHeight="1" x14ac:dyDescent="0.2">
      <c r="A313" s="32" t="str">
        <f>'Returns  Stats'!A313</f>
        <v>2022-03-30</v>
      </c>
      <c r="B313" s="35">
        <f>'MPT Optimisation'!$B$16*'Returns  Stats'!B313+'MPT Optimisation'!$B$17*'Returns  Stats'!C313+'MPT Optimisation'!$B$18*'Returns  Stats'!D313+'MPT Optimisation'!$B$19*'Returns  Stats'!E313</f>
        <v>-6.3298049003337794E-3</v>
      </c>
    </row>
    <row r="314" spans="1:2" ht="15" customHeight="1" x14ac:dyDescent="0.2">
      <c r="A314" s="32" t="str">
        <f>'Returns  Stats'!A314</f>
        <v>2022-03-31</v>
      </c>
      <c r="B314" s="35">
        <f>'MPT Optimisation'!$B$16*'Returns  Stats'!B314+'MPT Optimisation'!$B$17*'Returns  Stats'!C314+'MPT Optimisation'!$B$18*'Returns  Stats'!D314+'MPT Optimisation'!$B$19*'Returns  Stats'!E314</f>
        <v>-1.4663239913647309E-2</v>
      </c>
    </row>
    <row r="315" spans="1:2" ht="15" customHeight="1" x14ac:dyDescent="0.2">
      <c r="A315" s="32" t="str">
        <f>'Returns  Stats'!A315</f>
        <v>2022-04-01</v>
      </c>
      <c r="B315" s="35">
        <f>'MPT Optimisation'!$B$16*'Returns  Stats'!B315+'MPT Optimisation'!$B$17*'Returns  Stats'!C315+'MPT Optimisation'!$B$18*'Returns  Stats'!D315+'MPT Optimisation'!$B$19*'Returns  Stats'!E315</f>
        <v>6.0954945229037489E-3</v>
      </c>
    </row>
    <row r="316" spans="1:2" ht="15" customHeight="1" x14ac:dyDescent="0.2">
      <c r="A316" s="32" t="str">
        <f>'Returns  Stats'!A316</f>
        <v>2022-04-04</v>
      </c>
      <c r="B316" s="35">
        <f>'MPT Optimisation'!$B$16*'Returns  Stats'!B316+'MPT Optimisation'!$B$17*'Returns  Stats'!C316+'MPT Optimisation'!$B$18*'Returns  Stats'!D316+'MPT Optimisation'!$B$19*'Returns  Stats'!E316</f>
        <v>6.1014458685863578E-3</v>
      </c>
    </row>
    <row r="317" spans="1:2" ht="15" customHeight="1" x14ac:dyDescent="0.2">
      <c r="A317" s="32" t="str">
        <f>'Returns  Stats'!A317</f>
        <v>2022-04-05</v>
      </c>
      <c r="B317" s="35">
        <f>'MPT Optimisation'!$B$16*'Returns  Stats'!B317+'MPT Optimisation'!$B$17*'Returns  Stats'!C317+'MPT Optimisation'!$B$18*'Returns  Stats'!D317+'MPT Optimisation'!$B$19*'Returns  Stats'!E317</f>
        <v>-1.3584638919456674E-2</v>
      </c>
    </row>
    <row r="318" spans="1:2" ht="15" customHeight="1" x14ac:dyDescent="0.2">
      <c r="A318" s="32" t="str">
        <f>'Returns  Stats'!A318</f>
        <v>2022-04-06</v>
      </c>
      <c r="B318" s="35">
        <f>'MPT Optimisation'!$B$16*'Returns  Stats'!B318+'MPT Optimisation'!$B$17*'Returns  Stats'!C318+'MPT Optimisation'!$B$18*'Returns  Stats'!D318+'MPT Optimisation'!$B$19*'Returns  Stats'!E318</f>
        <v>-1.0015557963121207E-2</v>
      </c>
    </row>
    <row r="319" spans="1:2" ht="15" customHeight="1" x14ac:dyDescent="0.2">
      <c r="A319" s="32" t="str">
        <f>'Returns  Stats'!A319</f>
        <v>2022-04-07</v>
      </c>
      <c r="B319" s="35">
        <f>'MPT Optimisation'!$B$16*'Returns  Stats'!B319+'MPT Optimisation'!$B$17*'Returns  Stats'!C319+'MPT Optimisation'!$B$18*'Returns  Stats'!D319+'MPT Optimisation'!$B$19*'Returns  Stats'!E319</f>
        <v>2.3256902768429618E-3</v>
      </c>
    </row>
    <row r="320" spans="1:2" ht="15" customHeight="1" x14ac:dyDescent="0.2">
      <c r="A320" s="32" t="str">
        <f>'Returns  Stats'!A320</f>
        <v>2022-04-08</v>
      </c>
      <c r="B320" s="35">
        <f>'MPT Optimisation'!$B$16*'Returns  Stats'!B320+'MPT Optimisation'!$B$17*'Returns  Stats'!C320+'MPT Optimisation'!$B$18*'Returns  Stats'!D320+'MPT Optimisation'!$B$19*'Returns  Stats'!E320</f>
        <v>-1.9095458409359887E-3</v>
      </c>
    </row>
    <row r="321" spans="1:2" ht="15" customHeight="1" x14ac:dyDescent="0.2">
      <c r="A321" s="32" t="str">
        <f>'Returns  Stats'!A321</f>
        <v>2022-04-11</v>
      </c>
      <c r="B321" s="35">
        <f>'MPT Optimisation'!$B$16*'Returns  Stats'!B321+'MPT Optimisation'!$B$17*'Returns  Stats'!C321+'MPT Optimisation'!$B$18*'Returns  Stats'!D321+'MPT Optimisation'!$B$19*'Returns  Stats'!E321</f>
        <v>-1.3294325187533313E-2</v>
      </c>
    </row>
    <row r="322" spans="1:2" ht="15" customHeight="1" x14ac:dyDescent="0.2">
      <c r="A322" s="32" t="str">
        <f>'Returns  Stats'!A322</f>
        <v>2022-04-12</v>
      </c>
      <c r="B322" s="35">
        <f>'MPT Optimisation'!$B$16*'Returns  Stats'!B322+'MPT Optimisation'!$B$17*'Returns  Stats'!C322+'MPT Optimisation'!$B$18*'Returns  Stats'!D322+'MPT Optimisation'!$B$19*'Returns  Stats'!E322</f>
        <v>-4.0064269053866506E-3</v>
      </c>
    </row>
    <row r="323" spans="1:2" ht="15" customHeight="1" x14ac:dyDescent="0.2">
      <c r="A323" s="32" t="str">
        <f>'Returns  Stats'!A323</f>
        <v>2022-04-13</v>
      </c>
      <c r="B323" s="35">
        <f>'MPT Optimisation'!$B$16*'Returns  Stats'!B323+'MPT Optimisation'!$B$17*'Returns  Stats'!C323+'MPT Optimisation'!$B$18*'Returns  Stats'!D323+'MPT Optimisation'!$B$19*'Returns  Stats'!E323</f>
        <v>1.1546680998153635E-2</v>
      </c>
    </row>
    <row r="324" spans="1:2" ht="15" customHeight="1" x14ac:dyDescent="0.2">
      <c r="A324" s="32" t="str">
        <f>'Returns  Stats'!A324</f>
        <v>2022-04-14</v>
      </c>
      <c r="B324" s="35">
        <f>'MPT Optimisation'!$B$16*'Returns  Stats'!B324+'MPT Optimisation'!$B$17*'Returns  Stats'!C324+'MPT Optimisation'!$B$18*'Returns  Stats'!D324+'MPT Optimisation'!$B$19*'Returns  Stats'!E324</f>
        <v>-9.2948020474933613E-3</v>
      </c>
    </row>
    <row r="325" spans="1:2" ht="15" customHeight="1" x14ac:dyDescent="0.2">
      <c r="A325" s="32" t="str">
        <f>'Returns  Stats'!A325</f>
        <v>2022-04-18</v>
      </c>
      <c r="B325" s="35">
        <f>'MPT Optimisation'!$B$16*'Returns  Stats'!B325+'MPT Optimisation'!$B$17*'Returns  Stats'!C325+'MPT Optimisation'!$B$18*'Returns  Stats'!D325+'MPT Optimisation'!$B$19*'Returns  Stats'!E325</f>
        <v>-3.1388186238545941E-3</v>
      </c>
    </row>
    <row r="326" spans="1:2" ht="15" customHeight="1" x14ac:dyDescent="0.2">
      <c r="A326" s="32" t="str">
        <f>'Returns  Stats'!A326</f>
        <v>2022-04-19</v>
      </c>
      <c r="B326" s="35">
        <f>'MPT Optimisation'!$B$16*'Returns  Stats'!B326+'MPT Optimisation'!$B$17*'Returns  Stats'!C326+'MPT Optimisation'!$B$18*'Returns  Stats'!D326+'MPT Optimisation'!$B$19*'Returns  Stats'!E326</f>
        <v>1.2777936275084723E-2</v>
      </c>
    </row>
    <row r="327" spans="1:2" ht="15" customHeight="1" x14ac:dyDescent="0.2">
      <c r="A327" s="32" t="str">
        <f>'Returns  Stats'!A327</f>
        <v>2022-04-20</v>
      </c>
      <c r="B327" s="35">
        <f>'MPT Optimisation'!$B$16*'Returns  Stats'!B327+'MPT Optimisation'!$B$17*'Returns  Stats'!C327+'MPT Optimisation'!$B$18*'Returns  Stats'!D327+'MPT Optimisation'!$B$19*'Returns  Stats'!E327</f>
        <v>2.3434249756578819E-3</v>
      </c>
    </row>
    <row r="328" spans="1:2" ht="15" customHeight="1" x14ac:dyDescent="0.2">
      <c r="A328" s="32" t="str">
        <f>'Returns  Stats'!A328</f>
        <v>2022-04-21</v>
      </c>
      <c r="B328" s="35">
        <f>'MPT Optimisation'!$B$16*'Returns  Stats'!B328+'MPT Optimisation'!$B$17*'Returns  Stats'!C328+'MPT Optimisation'!$B$18*'Returns  Stats'!D328+'MPT Optimisation'!$B$19*'Returns  Stats'!E328</f>
        <v>-1.3661696060677787E-2</v>
      </c>
    </row>
    <row r="329" spans="1:2" ht="15" customHeight="1" x14ac:dyDescent="0.2">
      <c r="A329" s="32" t="str">
        <f>'Returns  Stats'!A329</f>
        <v>2022-04-22</v>
      </c>
      <c r="B329" s="35">
        <f>'MPT Optimisation'!$B$16*'Returns  Stats'!B329+'MPT Optimisation'!$B$17*'Returns  Stats'!C329+'MPT Optimisation'!$B$18*'Returns  Stats'!D329+'MPT Optimisation'!$B$19*'Returns  Stats'!E329</f>
        <v>-2.217264735824704E-2</v>
      </c>
    </row>
    <row r="330" spans="1:2" ht="15" customHeight="1" x14ac:dyDescent="0.2">
      <c r="A330" s="32" t="str">
        <f>'Returns  Stats'!A330</f>
        <v>2022-04-25</v>
      </c>
      <c r="B330" s="35">
        <f>'MPT Optimisation'!$B$16*'Returns  Stats'!B330+'MPT Optimisation'!$B$17*'Returns  Stats'!C330+'MPT Optimisation'!$B$18*'Returns  Stats'!D330+'MPT Optimisation'!$B$19*'Returns  Stats'!E330</f>
        <v>2.0372141133663756E-3</v>
      </c>
    </row>
    <row r="331" spans="1:2" ht="15" customHeight="1" x14ac:dyDescent="0.2">
      <c r="A331" s="32" t="str">
        <f>'Returns  Stats'!A331</f>
        <v>2022-04-26</v>
      </c>
      <c r="B331" s="35">
        <f>'MPT Optimisation'!$B$16*'Returns  Stats'!B331+'MPT Optimisation'!$B$17*'Returns  Stats'!C331+'MPT Optimisation'!$B$18*'Returns  Stats'!D331+'MPT Optimisation'!$B$19*'Returns  Stats'!E331</f>
        <v>-2.6155986011136795E-2</v>
      </c>
    </row>
    <row r="332" spans="1:2" ht="15" customHeight="1" x14ac:dyDescent="0.2">
      <c r="A332" s="32" t="str">
        <f>'Returns  Stats'!A332</f>
        <v>2022-04-27</v>
      </c>
      <c r="B332" s="35">
        <f>'MPT Optimisation'!$B$16*'Returns  Stats'!B332+'MPT Optimisation'!$B$17*'Returns  Stats'!C332+'MPT Optimisation'!$B$18*'Returns  Stats'!D332+'MPT Optimisation'!$B$19*'Returns  Stats'!E332</f>
        <v>2.0082380295778691E-3</v>
      </c>
    </row>
    <row r="333" spans="1:2" ht="15" customHeight="1" x14ac:dyDescent="0.2">
      <c r="A333" s="32" t="str">
        <f>'Returns  Stats'!A333</f>
        <v>2022-04-28</v>
      </c>
      <c r="B333" s="35">
        <f>'MPT Optimisation'!$B$16*'Returns  Stats'!B333+'MPT Optimisation'!$B$17*'Returns  Stats'!C333+'MPT Optimisation'!$B$18*'Returns  Stats'!D333+'MPT Optimisation'!$B$19*'Returns  Stats'!E333</f>
        <v>1.9774586775493451E-2</v>
      </c>
    </row>
    <row r="334" spans="1:2" ht="15" customHeight="1" x14ac:dyDescent="0.2">
      <c r="A334" s="32" t="str">
        <f>'Returns  Stats'!A334</f>
        <v>2022-04-29</v>
      </c>
      <c r="B334" s="35">
        <f>'MPT Optimisation'!$B$16*'Returns  Stats'!B334+'MPT Optimisation'!$B$17*'Returns  Stats'!C334+'MPT Optimisation'!$B$18*'Returns  Stats'!D334+'MPT Optimisation'!$B$19*'Returns  Stats'!E334</f>
        <v>-2.8135526010252626E-2</v>
      </c>
    </row>
    <row r="335" spans="1:2" ht="15" customHeight="1" x14ac:dyDescent="0.2">
      <c r="A335" s="32" t="str">
        <f>'Returns  Stats'!A335</f>
        <v>2022-05-02</v>
      </c>
      <c r="B335" s="35">
        <f>'MPT Optimisation'!$B$16*'Returns  Stats'!B335+'MPT Optimisation'!$B$17*'Returns  Stats'!C335+'MPT Optimisation'!$B$18*'Returns  Stats'!D335+'MPT Optimisation'!$B$19*'Returns  Stats'!E335</f>
        <v>2.3018148366694352E-3</v>
      </c>
    </row>
    <row r="336" spans="1:2" ht="15" customHeight="1" x14ac:dyDescent="0.2">
      <c r="A336" s="32" t="str">
        <f>'Returns  Stats'!A336</f>
        <v>2022-05-03</v>
      </c>
      <c r="B336" s="35">
        <f>'MPT Optimisation'!$B$16*'Returns  Stats'!B336+'MPT Optimisation'!$B$17*'Returns  Stats'!C336+'MPT Optimisation'!$B$18*'Returns  Stats'!D336+'MPT Optimisation'!$B$19*'Returns  Stats'!E336</f>
        <v>5.8178497171856971E-3</v>
      </c>
    </row>
    <row r="337" spans="1:2" ht="15" customHeight="1" x14ac:dyDescent="0.2">
      <c r="A337" s="32" t="str">
        <f>'Returns  Stats'!A337</f>
        <v>2022-05-04</v>
      </c>
      <c r="B337" s="35">
        <f>'MPT Optimisation'!$B$16*'Returns  Stats'!B337+'MPT Optimisation'!$B$17*'Returns  Stats'!C337+'MPT Optimisation'!$B$18*'Returns  Stats'!D337+'MPT Optimisation'!$B$19*'Returns  Stats'!E337</f>
        <v>2.3750008988659053E-2</v>
      </c>
    </row>
    <row r="338" spans="1:2" ht="15" customHeight="1" x14ac:dyDescent="0.2">
      <c r="A338" s="32" t="str">
        <f>'Returns  Stats'!A338</f>
        <v>2022-05-05</v>
      </c>
      <c r="B338" s="35">
        <f>'MPT Optimisation'!$B$16*'Returns  Stats'!B338+'MPT Optimisation'!$B$17*'Returns  Stats'!C338+'MPT Optimisation'!$B$18*'Returns  Stats'!D338+'MPT Optimisation'!$B$19*'Returns  Stats'!E338</f>
        <v>-3.3615259059259064E-2</v>
      </c>
    </row>
    <row r="339" spans="1:2" ht="15" customHeight="1" x14ac:dyDescent="0.2">
      <c r="A339" s="32" t="str">
        <f>'Returns  Stats'!A339</f>
        <v>2022-05-06</v>
      </c>
      <c r="B339" s="35">
        <f>'MPT Optimisation'!$B$16*'Returns  Stats'!B339+'MPT Optimisation'!$B$17*'Returns  Stats'!C339+'MPT Optimisation'!$B$18*'Returns  Stats'!D339+'MPT Optimisation'!$B$19*'Returns  Stats'!E339</f>
        <v>-8.5451267753362155E-3</v>
      </c>
    </row>
    <row r="340" spans="1:2" ht="15" customHeight="1" x14ac:dyDescent="0.2">
      <c r="A340" s="32" t="str">
        <f>'Returns  Stats'!A340</f>
        <v>2022-05-09</v>
      </c>
      <c r="B340" s="35">
        <f>'MPT Optimisation'!$B$16*'Returns  Stats'!B340+'MPT Optimisation'!$B$17*'Returns  Stats'!C340+'MPT Optimisation'!$B$18*'Returns  Stats'!D340+'MPT Optimisation'!$B$19*'Returns  Stats'!E340</f>
        <v>-3.2276549317766107E-2</v>
      </c>
    </row>
    <row r="341" spans="1:2" ht="15" customHeight="1" x14ac:dyDescent="0.2">
      <c r="A341" s="32" t="str">
        <f>'Returns  Stats'!A341</f>
        <v>2022-05-10</v>
      </c>
      <c r="B341" s="35">
        <f>'MPT Optimisation'!$B$16*'Returns  Stats'!B341+'MPT Optimisation'!$B$17*'Returns  Stats'!C341+'MPT Optimisation'!$B$18*'Returns  Stats'!D341+'MPT Optimisation'!$B$19*'Returns  Stats'!E341</f>
        <v>2.7023487967439922E-3</v>
      </c>
    </row>
    <row r="342" spans="1:2" ht="15" customHeight="1" x14ac:dyDescent="0.2">
      <c r="A342" s="32" t="str">
        <f>'Returns  Stats'!A342</f>
        <v>2022-05-11</v>
      </c>
      <c r="B342" s="35">
        <f>'MPT Optimisation'!$B$16*'Returns  Stats'!B342+'MPT Optimisation'!$B$17*'Returns  Stats'!C342+'MPT Optimisation'!$B$18*'Returns  Stats'!D342+'MPT Optimisation'!$B$19*'Returns  Stats'!E342</f>
        <v>-1.2552757555094385E-2</v>
      </c>
    </row>
    <row r="343" spans="1:2" ht="15" customHeight="1" x14ac:dyDescent="0.2">
      <c r="A343" s="32" t="str">
        <f>'Returns  Stats'!A343</f>
        <v>2022-05-12</v>
      </c>
      <c r="B343" s="35">
        <f>'MPT Optimisation'!$B$16*'Returns  Stats'!B343+'MPT Optimisation'!$B$17*'Returns  Stats'!C343+'MPT Optimisation'!$B$18*'Returns  Stats'!D343+'MPT Optimisation'!$B$19*'Returns  Stats'!E343</f>
        <v>3.9270788426422061E-4</v>
      </c>
    </row>
    <row r="344" spans="1:2" ht="15" customHeight="1" x14ac:dyDescent="0.2">
      <c r="A344" s="32" t="str">
        <f>'Returns  Stats'!A344</f>
        <v>2022-05-13</v>
      </c>
      <c r="B344" s="35">
        <f>'MPT Optimisation'!$B$16*'Returns  Stats'!B344+'MPT Optimisation'!$B$17*'Returns  Stats'!C344+'MPT Optimisation'!$B$18*'Returns  Stats'!D344+'MPT Optimisation'!$B$19*'Returns  Stats'!E344</f>
        <v>2.5506176314104685E-2</v>
      </c>
    </row>
    <row r="345" spans="1:2" ht="15" customHeight="1" x14ac:dyDescent="0.2">
      <c r="A345" s="32" t="str">
        <f>'Returns  Stats'!A345</f>
        <v>2022-05-16</v>
      </c>
      <c r="B345" s="35">
        <f>'MPT Optimisation'!$B$16*'Returns  Stats'!B345+'MPT Optimisation'!$B$17*'Returns  Stats'!C345+'MPT Optimisation'!$B$18*'Returns  Stats'!D345+'MPT Optimisation'!$B$19*'Returns  Stats'!E345</f>
        <v>-2.890938592723491E-3</v>
      </c>
    </row>
    <row r="346" spans="1:2" ht="15" customHeight="1" x14ac:dyDescent="0.2">
      <c r="A346" s="32" t="str">
        <f>'Returns  Stats'!A346</f>
        <v>2022-05-17</v>
      </c>
      <c r="B346" s="35">
        <f>'MPT Optimisation'!$B$16*'Returns  Stats'!B346+'MPT Optimisation'!$B$17*'Returns  Stats'!C346+'MPT Optimisation'!$B$18*'Returns  Stats'!D346+'MPT Optimisation'!$B$19*'Returns  Stats'!E346</f>
        <v>1.8817159498602447E-2</v>
      </c>
    </row>
    <row r="347" spans="1:2" ht="15" customHeight="1" x14ac:dyDescent="0.2">
      <c r="A347" s="32" t="str">
        <f>'Returns  Stats'!A347</f>
        <v>2022-05-18</v>
      </c>
      <c r="B347" s="35">
        <f>'MPT Optimisation'!$B$16*'Returns  Stats'!B347+'MPT Optimisation'!$B$17*'Returns  Stats'!C347+'MPT Optimisation'!$B$18*'Returns  Stats'!D347+'MPT Optimisation'!$B$19*'Returns  Stats'!E347</f>
        <v>-3.1889915705133318E-2</v>
      </c>
    </row>
    <row r="348" spans="1:2" ht="15" customHeight="1" x14ac:dyDescent="0.2">
      <c r="A348" s="32" t="str">
        <f>'Returns  Stats'!A348</f>
        <v>2022-05-19</v>
      </c>
      <c r="B348" s="35">
        <f>'MPT Optimisation'!$B$16*'Returns  Stats'!B348+'MPT Optimisation'!$B$17*'Returns  Stats'!C348+'MPT Optimisation'!$B$18*'Returns  Stats'!D348+'MPT Optimisation'!$B$19*'Returns  Stats'!E348</f>
        <v>1.24063771276156E-4</v>
      </c>
    </row>
    <row r="349" spans="1:2" ht="15" customHeight="1" x14ac:dyDescent="0.2">
      <c r="A349" s="32" t="str">
        <f>'Returns  Stats'!A349</f>
        <v>2022-05-20</v>
      </c>
      <c r="B349" s="35">
        <f>'MPT Optimisation'!$B$16*'Returns  Stats'!B349+'MPT Optimisation'!$B$17*'Returns  Stats'!C349+'MPT Optimisation'!$B$18*'Returns  Stats'!D349+'MPT Optimisation'!$B$19*'Returns  Stats'!E349</f>
        <v>2.5192786027976809E-3</v>
      </c>
    </row>
    <row r="350" spans="1:2" ht="15" customHeight="1" x14ac:dyDescent="0.2">
      <c r="A350" s="32" t="str">
        <f>'Returns  Stats'!A350</f>
        <v>2022-05-23</v>
      </c>
      <c r="B350" s="35">
        <f>'MPT Optimisation'!$B$16*'Returns  Stats'!B350+'MPT Optimisation'!$B$17*'Returns  Stats'!C350+'MPT Optimisation'!$B$18*'Returns  Stats'!D350+'MPT Optimisation'!$B$19*'Returns  Stats'!E350</f>
        <v>1.5765982627227417E-2</v>
      </c>
    </row>
    <row r="351" spans="1:2" ht="15" customHeight="1" x14ac:dyDescent="0.2">
      <c r="A351" s="32" t="str">
        <f>'Returns  Stats'!A351</f>
        <v>2022-05-24</v>
      </c>
      <c r="B351" s="35">
        <f>'MPT Optimisation'!$B$16*'Returns  Stats'!B351+'MPT Optimisation'!$B$17*'Returns  Stats'!C351+'MPT Optimisation'!$B$18*'Returns  Stats'!D351+'MPT Optimisation'!$B$19*'Returns  Stats'!E351</f>
        <v>-5.6827561465649483E-3</v>
      </c>
    </row>
    <row r="352" spans="1:2" ht="15" customHeight="1" x14ac:dyDescent="0.2">
      <c r="A352" s="32" t="str">
        <f>'Returns  Stats'!A352</f>
        <v>2022-05-25</v>
      </c>
      <c r="B352" s="35">
        <f>'MPT Optimisation'!$B$16*'Returns  Stats'!B352+'MPT Optimisation'!$B$17*'Returns  Stats'!C352+'MPT Optimisation'!$B$18*'Returns  Stats'!D352+'MPT Optimisation'!$B$19*'Returns  Stats'!E352</f>
        <v>7.3998629655616542E-3</v>
      </c>
    </row>
    <row r="353" spans="1:2" ht="15" customHeight="1" x14ac:dyDescent="0.2">
      <c r="A353" s="32" t="str">
        <f>'Returns  Stats'!A353</f>
        <v>2022-05-26</v>
      </c>
      <c r="B353" s="35">
        <f>'MPT Optimisation'!$B$16*'Returns  Stats'!B353+'MPT Optimisation'!$B$17*'Returns  Stats'!C353+'MPT Optimisation'!$B$18*'Returns  Stats'!D353+'MPT Optimisation'!$B$19*'Returns  Stats'!E353</f>
        <v>1.5615549681061184E-2</v>
      </c>
    </row>
    <row r="354" spans="1:2" ht="15" customHeight="1" x14ac:dyDescent="0.2">
      <c r="A354" s="32" t="str">
        <f>'Returns  Stats'!A354</f>
        <v>2022-05-27</v>
      </c>
      <c r="B354" s="35">
        <f>'MPT Optimisation'!$B$16*'Returns  Stats'!B354+'MPT Optimisation'!$B$17*'Returns  Stats'!C354+'MPT Optimisation'!$B$18*'Returns  Stats'!D354+'MPT Optimisation'!$B$19*'Returns  Stats'!E354</f>
        <v>2.0241385184055546E-2</v>
      </c>
    </row>
    <row r="355" spans="1:2" ht="15" customHeight="1" x14ac:dyDescent="0.2">
      <c r="A355" s="32" t="str">
        <f>'Returns  Stats'!A355</f>
        <v>2022-05-31</v>
      </c>
      <c r="B355" s="35">
        <f>'MPT Optimisation'!$B$16*'Returns  Stats'!B355+'MPT Optimisation'!$B$17*'Returns  Stats'!C355+'MPT Optimisation'!$B$18*'Returns  Stats'!D355+'MPT Optimisation'!$B$19*'Returns  Stats'!E355</f>
        <v>-7.6499761025712988E-3</v>
      </c>
    </row>
    <row r="356" spans="1:2" ht="15" customHeight="1" x14ac:dyDescent="0.2">
      <c r="A356" s="32" t="str">
        <f>'Returns  Stats'!A356</f>
        <v>2022-06-01</v>
      </c>
      <c r="B356" s="35">
        <f>'MPT Optimisation'!$B$16*'Returns  Stats'!B356+'MPT Optimisation'!$B$17*'Returns  Stats'!C356+'MPT Optimisation'!$B$18*'Returns  Stats'!D356+'MPT Optimisation'!$B$19*'Returns  Stats'!E356</f>
        <v>-7.7444603219887108E-3</v>
      </c>
    </row>
    <row r="357" spans="1:2" ht="15" customHeight="1" x14ac:dyDescent="0.2">
      <c r="A357" s="32" t="str">
        <f>'Returns  Stats'!A357</f>
        <v>2022-06-02</v>
      </c>
      <c r="B357" s="35">
        <f>'MPT Optimisation'!$B$16*'Returns  Stats'!B357+'MPT Optimisation'!$B$17*'Returns  Stats'!C357+'MPT Optimisation'!$B$18*'Returns  Stats'!D357+'MPT Optimisation'!$B$19*'Returns  Stats'!E357</f>
        <v>1.9220861775520889E-2</v>
      </c>
    </row>
    <row r="358" spans="1:2" ht="15" customHeight="1" x14ac:dyDescent="0.2">
      <c r="A358" s="32" t="str">
        <f>'Returns  Stats'!A358</f>
        <v>2022-06-03</v>
      </c>
      <c r="B358" s="35">
        <f>'MPT Optimisation'!$B$16*'Returns  Stats'!B358+'MPT Optimisation'!$B$17*'Returns  Stats'!C358+'MPT Optimisation'!$B$18*'Returns  Stats'!D358+'MPT Optimisation'!$B$19*'Returns  Stats'!E358</f>
        <v>-1.4615525075737728E-2</v>
      </c>
    </row>
    <row r="359" spans="1:2" ht="15" customHeight="1" x14ac:dyDescent="0.2">
      <c r="A359" s="32" t="str">
        <f>'Returns  Stats'!A359</f>
        <v>2022-06-06</v>
      </c>
      <c r="B359" s="35">
        <f>'MPT Optimisation'!$B$16*'Returns  Stats'!B359+'MPT Optimisation'!$B$17*'Returns  Stats'!C359+'MPT Optimisation'!$B$18*'Returns  Stats'!D359+'MPT Optimisation'!$B$19*'Returns  Stats'!E359</f>
        <v>2.5190647676088863E-3</v>
      </c>
    </row>
    <row r="360" spans="1:2" ht="15" customHeight="1" x14ac:dyDescent="0.2">
      <c r="A360" s="32" t="str">
        <f>'Returns  Stats'!A360</f>
        <v>2022-06-07</v>
      </c>
      <c r="B360" s="35">
        <f>'MPT Optimisation'!$B$16*'Returns  Stats'!B360+'MPT Optimisation'!$B$17*'Returns  Stats'!C360+'MPT Optimisation'!$B$18*'Returns  Stats'!D360+'MPT Optimisation'!$B$19*'Returns  Stats'!E360</f>
        <v>8.290187332744104E-3</v>
      </c>
    </row>
    <row r="361" spans="1:2" ht="15" customHeight="1" x14ac:dyDescent="0.2">
      <c r="A361" s="32" t="str">
        <f>'Returns  Stats'!A361</f>
        <v>2022-06-08</v>
      </c>
      <c r="B361" s="35">
        <f>'MPT Optimisation'!$B$16*'Returns  Stats'!B361+'MPT Optimisation'!$B$17*'Returns  Stats'!C361+'MPT Optimisation'!$B$18*'Returns  Stats'!D361+'MPT Optimisation'!$B$19*'Returns  Stats'!E361</f>
        <v>-1.2273927955418418E-2</v>
      </c>
    </row>
    <row r="362" spans="1:2" ht="15" customHeight="1" x14ac:dyDescent="0.2">
      <c r="A362" s="32" t="str">
        <f>'Returns  Stats'!A362</f>
        <v>2022-06-09</v>
      </c>
      <c r="B362" s="35">
        <f>'MPT Optimisation'!$B$16*'Returns  Stats'!B362+'MPT Optimisation'!$B$17*'Returns  Stats'!C362+'MPT Optimisation'!$B$18*'Returns  Stats'!D362+'MPT Optimisation'!$B$19*'Returns  Stats'!E362</f>
        <v>-2.1903359290160639E-2</v>
      </c>
    </row>
    <row r="363" spans="1:2" ht="15" customHeight="1" x14ac:dyDescent="0.2">
      <c r="A363" s="32" t="str">
        <f>'Returns  Stats'!A363</f>
        <v>2022-06-10</v>
      </c>
      <c r="B363" s="35">
        <f>'MPT Optimisation'!$B$16*'Returns  Stats'!B363+'MPT Optimisation'!$B$17*'Returns  Stats'!C363+'MPT Optimisation'!$B$18*'Returns  Stats'!D363+'MPT Optimisation'!$B$19*'Returns  Stats'!E363</f>
        <v>-2.6550878764318032E-2</v>
      </c>
    </row>
    <row r="364" spans="1:2" ht="15" customHeight="1" x14ac:dyDescent="0.2">
      <c r="A364" s="32" t="str">
        <f>'Returns  Stats'!A364</f>
        <v>2022-06-13</v>
      </c>
      <c r="B364" s="35">
        <f>'MPT Optimisation'!$B$16*'Returns  Stats'!B364+'MPT Optimisation'!$B$17*'Returns  Stats'!C364+'MPT Optimisation'!$B$18*'Returns  Stats'!D364+'MPT Optimisation'!$B$19*'Returns  Stats'!E364</f>
        <v>-3.7743217187719516E-2</v>
      </c>
    </row>
    <row r="365" spans="1:2" ht="15" customHeight="1" x14ac:dyDescent="0.2">
      <c r="A365" s="32" t="str">
        <f>'Returns  Stats'!A365</f>
        <v>2022-06-14</v>
      </c>
      <c r="B365" s="35">
        <f>'MPT Optimisation'!$B$16*'Returns  Stats'!B365+'MPT Optimisation'!$B$17*'Returns  Stats'!C365+'MPT Optimisation'!$B$18*'Returns  Stats'!D365+'MPT Optimisation'!$B$19*'Returns  Stats'!E365</f>
        <v>-5.203056989239052E-3</v>
      </c>
    </row>
    <row r="366" spans="1:2" ht="15" customHeight="1" x14ac:dyDescent="0.2">
      <c r="A366" s="32" t="str">
        <f>'Returns  Stats'!A366</f>
        <v>2022-06-15</v>
      </c>
      <c r="B366" s="35">
        <f>'MPT Optimisation'!$B$16*'Returns  Stats'!B366+'MPT Optimisation'!$B$17*'Returns  Stats'!C366+'MPT Optimisation'!$B$18*'Returns  Stats'!D366+'MPT Optimisation'!$B$19*'Returns  Stats'!E366</f>
        <v>1.6088305586763163E-2</v>
      </c>
    </row>
    <row r="367" spans="1:2" ht="15" customHeight="1" x14ac:dyDescent="0.2">
      <c r="A367" s="32" t="str">
        <f>'Returns  Stats'!A367</f>
        <v>2022-06-16</v>
      </c>
      <c r="B367" s="35">
        <f>'MPT Optimisation'!$B$16*'Returns  Stats'!B367+'MPT Optimisation'!$B$17*'Returns  Stats'!C367+'MPT Optimisation'!$B$18*'Returns  Stats'!D367+'MPT Optimisation'!$B$19*'Returns  Stats'!E367</f>
        <v>-2.8746028208692372E-2</v>
      </c>
    </row>
    <row r="368" spans="1:2" ht="15" customHeight="1" x14ac:dyDescent="0.2">
      <c r="A368" s="32" t="str">
        <f>'Returns  Stats'!A368</f>
        <v>2022-06-17</v>
      </c>
      <c r="B368" s="35">
        <f>'MPT Optimisation'!$B$16*'Returns  Stats'!B368+'MPT Optimisation'!$B$17*'Returns  Stats'!C368+'MPT Optimisation'!$B$18*'Returns  Stats'!D368+'MPT Optimisation'!$B$19*'Returns  Stats'!E368</f>
        <v>1.4212787446567566E-3</v>
      </c>
    </row>
    <row r="369" spans="1:2" ht="15" customHeight="1" x14ac:dyDescent="0.2">
      <c r="A369" s="32" t="str">
        <f>'Returns  Stats'!A369</f>
        <v>2022-06-21</v>
      </c>
      <c r="B369" s="35">
        <f>'MPT Optimisation'!$B$16*'Returns  Stats'!B369+'MPT Optimisation'!$B$17*'Returns  Stats'!C369+'MPT Optimisation'!$B$18*'Returns  Stats'!D369+'MPT Optimisation'!$B$19*'Returns  Stats'!E369</f>
        <v>1.9567987342526509E-2</v>
      </c>
    </row>
    <row r="370" spans="1:2" ht="15" customHeight="1" x14ac:dyDescent="0.2">
      <c r="A370" s="32" t="str">
        <f>'Returns  Stats'!A370</f>
        <v>2022-06-22</v>
      </c>
      <c r="B370" s="35">
        <f>'MPT Optimisation'!$B$16*'Returns  Stats'!B370+'MPT Optimisation'!$B$17*'Returns  Stats'!C370+'MPT Optimisation'!$B$18*'Returns  Stats'!D370+'MPT Optimisation'!$B$19*'Returns  Stats'!E370</f>
        <v>-1.0537799516278864E-3</v>
      </c>
    </row>
    <row r="371" spans="1:2" ht="15" customHeight="1" x14ac:dyDescent="0.2">
      <c r="A371" s="32" t="str">
        <f>'Returns  Stats'!A371</f>
        <v>2022-06-23</v>
      </c>
      <c r="B371" s="35">
        <f>'MPT Optimisation'!$B$16*'Returns  Stats'!B371+'MPT Optimisation'!$B$17*'Returns  Stats'!C371+'MPT Optimisation'!$B$18*'Returns  Stats'!D371+'MPT Optimisation'!$B$19*'Returns  Stats'!E371</f>
        <v>6.2596245052267798E-3</v>
      </c>
    </row>
    <row r="372" spans="1:2" ht="15" customHeight="1" x14ac:dyDescent="0.2">
      <c r="A372" s="32" t="str">
        <f>'Returns  Stats'!A372</f>
        <v>2022-06-24</v>
      </c>
      <c r="B372" s="35">
        <f>'MPT Optimisation'!$B$16*'Returns  Stats'!B372+'MPT Optimisation'!$B$17*'Returns  Stats'!C372+'MPT Optimisation'!$B$18*'Returns  Stats'!D372+'MPT Optimisation'!$B$19*'Returns  Stats'!E372</f>
        <v>2.9336639764864402E-2</v>
      </c>
    </row>
    <row r="373" spans="1:2" ht="15" customHeight="1" x14ac:dyDescent="0.2">
      <c r="A373" s="32" t="str">
        <f>'Returns  Stats'!A373</f>
        <v>2022-06-27</v>
      </c>
      <c r="B373" s="35">
        <f>'MPT Optimisation'!$B$16*'Returns  Stats'!B373+'MPT Optimisation'!$B$17*'Returns  Stats'!C373+'MPT Optimisation'!$B$18*'Returns  Stats'!D373+'MPT Optimisation'!$B$19*'Returns  Stats'!E373</f>
        <v>-3.4123502388738072E-3</v>
      </c>
    </row>
    <row r="374" spans="1:2" ht="15" customHeight="1" x14ac:dyDescent="0.2">
      <c r="A374" s="32" t="str">
        <f>'Returns  Stats'!A374</f>
        <v>2022-06-28</v>
      </c>
      <c r="B374" s="35">
        <f>'MPT Optimisation'!$B$16*'Returns  Stats'!B374+'MPT Optimisation'!$B$17*'Returns  Stats'!C374+'MPT Optimisation'!$B$18*'Returns  Stats'!D374+'MPT Optimisation'!$B$19*'Returns  Stats'!E374</f>
        <v>-1.4983753646420567E-2</v>
      </c>
    </row>
    <row r="375" spans="1:2" ht="15" customHeight="1" x14ac:dyDescent="0.2">
      <c r="A375" s="32" t="str">
        <f>'Returns  Stats'!A375</f>
        <v>2022-06-29</v>
      </c>
      <c r="B375" s="35">
        <f>'MPT Optimisation'!$B$16*'Returns  Stats'!B375+'MPT Optimisation'!$B$17*'Returns  Stats'!C375+'MPT Optimisation'!$B$18*'Returns  Stats'!D375+'MPT Optimisation'!$B$19*'Returns  Stats'!E375</f>
        <v>-2.1711732879839902E-3</v>
      </c>
    </row>
    <row r="376" spans="1:2" ht="15" customHeight="1" x14ac:dyDescent="0.2">
      <c r="A376" s="32" t="str">
        <f>'Returns  Stats'!A376</f>
        <v>2022-06-30</v>
      </c>
      <c r="B376" s="35">
        <f>'MPT Optimisation'!$B$16*'Returns  Stats'!B376+'MPT Optimisation'!$B$17*'Returns  Stats'!C376+'MPT Optimisation'!$B$18*'Returns  Stats'!D376+'MPT Optimisation'!$B$19*'Returns  Stats'!E376</f>
        <v>-6.661232748585471E-3</v>
      </c>
    </row>
    <row r="377" spans="1:2" ht="15" customHeight="1" x14ac:dyDescent="0.2">
      <c r="A377" s="32" t="str">
        <f>'Returns  Stats'!A377</f>
        <v>2022-07-01</v>
      </c>
      <c r="B377" s="35">
        <f>'MPT Optimisation'!$B$16*'Returns  Stats'!B377+'MPT Optimisation'!$B$17*'Returns  Stats'!C377+'MPT Optimisation'!$B$18*'Returns  Stats'!D377+'MPT Optimisation'!$B$19*'Returns  Stats'!E377</f>
        <v>8.3671377307715233E-3</v>
      </c>
    </row>
    <row r="378" spans="1:2" ht="15" customHeight="1" x14ac:dyDescent="0.2">
      <c r="A378" s="32" t="str">
        <f>'Returns  Stats'!A378</f>
        <v>2022-07-05</v>
      </c>
      <c r="B378" s="35">
        <f>'MPT Optimisation'!$B$16*'Returns  Stats'!B378+'MPT Optimisation'!$B$17*'Returns  Stats'!C378+'MPT Optimisation'!$B$18*'Returns  Stats'!D378+'MPT Optimisation'!$B$19*'Returns  Stats'!E378</f>
        <v>-4.3244201283054061E-3</v>
      </c>
    </row>
    <row r="379" spans="1:2" ht="15" customHeight="1" x14ac:dyDescent="0.2">
      <c r="A379" s="32" t="str">
        <f>'Returns  Stats'!A379</f>
        <v>2022-07-06</v>
      </c>
      <c r="B379" s="35">
        <f>'MPT Optimisation'!$B$16*'Returns  Stats'!B379+'MPT Optimisation'!$B$17*'Returns  Stats'!C379+'MPT Optimisation'!$B$18*'Returns  Stats'!D379+'MPT Optimisation'!$B$19*'Returns  Stats'!E379</f>
        <v>1.0081259436137133E-3</v>
      </c>
    </row>
    <row r="380" spans="1:2" ht="15" customHeight="1" x14ac:dyDescent="0.2">
      <c r="A380" s="32" t="str">
        <f>'Returns  Stats'!A380</f>
        <v>2022-07-07</v>
      </c>
      <c r="B380" s="35">
        <f>'MPT Optimisation'!$B$16*'Returns  Stats'!B380+'MPT Optimisation'!$B$17*'Returns  Stats'!C380+'MPT Optimisation'!$B$18*'Returns  Stats'!D380+'MPT Optimisation'!$B$19*'Returns  Stats'!E380</f>
        <v>1.4462128335330254E-2</v>
      </c>
    </row>
    <row r="381" spans="1:2" ht="15" customHeight="1" x14ac:dyDescent="0.2">
      <c r="A381" s="32" t="str">
        <f>'Returns  Stats'!A381</f>
        <v>2022-07-08</v>
      </c>
      <c r="B381" s="35">
        <f>'MPT Optimisation'!$B$16*'Returns  Stats'!B381+'MPT Optimisation'!$B$17*'Returns  Stats'!C381+'MPT Optimisation'!$B$18*'Returns  Stats'!D381+'MPT Optimisation'!$B$19*'Returns  Stats'!E381</f>
        <v>-7.301871903635682E-4</v>
      </c>
    </row>
    <row r="382" spans="1:2" ht="15" customHeight="1" x14ac:dyDescent="0.2">
      <c r="A382" s="32" t="str">
        <f>'Returns  Stats'!A382</f>
        <v>2022-07-11</v>
      </c>
      <c r="B382" s="35">
        <f>'MPT Optimisation'!$B$16*'Returns  Stats'!B382+'MPT Optimisation'!$B$17*'Returns  Stats'!C382+'MPT Optimisation'!$B$18*'Returns  Stats'!D382+'MPT Optimisation'!$B$19*'Returns  Stats'!E382</f>
        <v>-1.231997261458438E-2</v>
      </c>
    </row>
    <row r="383" spans="1:2" ht="15" customHeight="1" x14ac:dyDescent="0.2">
      <c r="A383" s="32" t="str">
        <f>'Returns  Stats'!A383</f>
        <v>2022-07-12</v>
      </c>
      <c r="B383" s="35">
        <f>'MPT Optimisation'!$B$16*'Returns  Stats'!B383+'MPT Optimisation'!$B$17*'Returns  Stats'!C383+'MPT Optimisation'!$B$18*'Returns  Stats'!D383+'MPT Optimisation'!$B$19*'Returns  Stats'!E383</f>
        <v>-5.3588923686679335E-3</v>
      </c>
    </row>
    <row r="384" spans="1:2" ht="15" customHeight="1" x14ac:dyDescent="0.2">
      <c r="A384" s="32" t="str">
        <f>'Returns  Stats'!A384</f>
        <v>2022-07-13</v>
      </c>
      <c r="B384" s="35">
        <f>'MPT Optimisation'!$B$16*'Returns  Stats'!B384+'MPT Optimisation'!$B$17*'Returns  Stats'!C384+'MPT Optimisation'!$B$18*'Returns  Stats'!D384+'MPT Optimisation'!$B$19*'Returns  Stats'!E384</f>
        <v>-2.8194120269871724E-3</v>
      </c>
    </row>
    <row r="385" spans="1:2" ht="15" customHeight="1" x14ac:dyDescent="0.2">
      <c r="A385" s="32" t="str">
        <f>'Returns  Stats'!A385</f>
        <v>2022-07-14</v>
      </c>
      <c r="B385" s="35">
        <f>'MPT Optimisation'!$B$16*'Returns  Stats'!B385+'MPT Optimisation'!$B$17*'Returns  Stats'!C385+'MPT Optimisation'!$B$18*'Returns  Stats'!D385+'MPT Optimisation'!$B$19*'Returns  Stats'!E385</f>
        <v>-7.4922263331527513E-3</v>
      </c>
    </row>
    <row r="386" spans="1:2" ht="15" customHeight="1" x14ac:dyDescent="0.2">
      <c r="A386" s="32" t="str">
        <f>'Returns  Stats'!A386</f>
        <v>2022-07-15</v>
      </c>
      <c r="B386" s="35">
        <f>'MPT Optimisation'!$B$16*'Returns  Stats'!B386+'MPT Optimisation'!$B$17*'Returns  Stats'!C386+'MPT Optimisation'!$B$18*'Returns  Stats'!D386+'MPT Optimisation'!$B$19*'Returns  Stats'!E386</f>
        <v>1.7469767454658967E-2</v>
      </c>
    </row>
    <row r="387" spans="1:2" ht="15" customHeight="1" x14ac:dyDescent="0.2">
      <c r="A387" s="32" t="str">
        <f>'Returns  Stats'!A387</f>
        <v>2022-07-18</v>
      </c>
      <c r="B387" s="35">
        <f>'MPT Optimisation'!$B$16*'Returns  Stats'!B387+'MPT Optimisation'!$B$17*'Returns  Stats'!C387+'MPT Optimisation'!$B$18*'Returns  Stats'!D387+'MPT Optimisation'!$B$19*'Returns  Stats'!E387</f>
        <v>-3.4392785621828233E-3</v>
      </c>
    </row>
    <row r="388" spans="1:2" ht="15" customHeight="1" x14ac:dyDescent="0.2">
      <c r="A388" s="32" t="str">
        <f>'Returns  Stats'!A388</f>
        <v>2022-07-19</v>
      </c>
      <c r="B388" s="35">
        <f>'MPT Optimisation'!$B$16*'Returns  Stats'!B388+'MPT Optimisation'!$B$17*'Returns  Stats'!C388+'MPT Optimisation'!$B$18*'Returns  Stats'!D388+'MPT Optimisation'!$B$19*'Returns  Stats'!E388</f>
        <v>2.616036935330034E-2</v>
      </c>
    </row>
    <row r="389" spans="1:2" ht="15" customHeight="1" x14ac:dyDescent="0.2">
      <c r="A389" s="32" t="str">
        <f>'Returns  Stats'!A389</f>
        <v>2022-07-20</v>
      </c>
      <c r="B389" s="35">
        <f>'MPT Optimisation'!$B$16*'Returns  Stats'!B389+'MPT Optimisation'!$B$17*'Returns  Stats'!C389+'MPT Optimisation'!$B$18*'Returns  Stats'!D389+'MPT Optimisation'!$B$19*'Returns  Stats'!E389</f>
        <v>2.7127283884103453E-3</v>
      </c>
    </row>
    <row r="390" spans="1:2" ht="15" customHeight="1" x14ac:dyDescent="0.2">
      <c r="A390" s="32" t="str">
        <f>'Returns  Stats'!A390</f>
        <v>2022-07-21</v>
      </c>
      <c r="B390" s="35">
        <f>'MPT Optimisation'!$B$16*'Returns  Stats'!B390+'MPT Optimisation'!$B$17*'Returns  Stats'!C390+'MPT Optimisation'!$B$18*'Returns  Stats'!D390+'MPT Optimisation'!$B$19*'Returns  Stats'!E390</f>
        <v>9.8503514803421899E-3</v>
      </c>
    </row>
    <row r="391" spans="1:2" ht="15" customHeight="1" x14ac:dyDescent="0.2">
      <c r="A391" s="32" t="str">
        <f>'Returns  Stats'!A391</f>
        <v>2022-07-22</v>
      </c>
      <c r="B391" s="35">
        <f>'MPT Optimisation'!$B$16*'Returns  Stats'!B391+'MPT Optimisation'!$B$17*'Returns  Stats'!C391+'MPT Optimisation'!$B$18*'Returns  Stats'!D391+'MPT Optimisation'!$B$19*'Returns  Stats'!E391</f>
        <v>-6.6123420671403638E-3</v>
      </c>
    </row>
    <row r="392" spans="1:2" ht="15" customHeight="1" x14ac:dyDescent="0.2">
      <c r="A392" s="32" t="str">
        <f>'Returns  Stats'!A392</f>
        <v>2022-07-25</v>
      </c>
      <c r="B392" s="35">
        <f>'MPT Optimisation'!$B$16*'Returns  Stats'!B392+'MPT Optimisation'!$B$17*'Returns  Stats'!C392+'MPT Optimisation'!$B$18*'Returns  Stats'!D392+'MPT Optimisation'!$B$19*'Returns  Stats'!E392</f>
        <v>3.0381058015704898E-3</v>
      </c>
    </row>
    <row r="393" spans="1:2" ht="15" customHeight="1" x14ac:dyDescent="0.2">
      <c r="A393" s="32" t="str">
        <f>'Returns  Stats'!A393</f>
        <v>2022-07-26</v>
      </c>
      <c r="B393" s="35">
        <f>'MPT Optimisation'!$B$16*'Returns  Stats'!B393+'MPT Optimisation'!$B$17*'Returns  Stats'!C393+'MPT Optimisation'!$B$18*'Returns  Stats'!D393+'MPT Optimisation'!$B$19*'Returns  Stats'!E393</f>
        <v>-1.1553898301204788E-2</v>
      </c>
    </row>
    <row r="394" spans="1:2" ht="15" customHeight="1" x14ac:dyDescent="0.2">
      <c r="A394" s="32" t="str">
        <f>'Returns  Stats'!A394</f>
        <v>2022-07-27</v>
      </c>
      <c r="B394" s="35">
        <f>'MPT Optimisation'!$B$16*'Returns  Stats'!B394+'MPT Optimisation'!$B$17*'Returns  Stats'!C394+'MPT Optimisation'!$B$18*'Returns  Stats'!D394+'MPT Optimisation'!$B$19*'Returns  Stats'!E394</f>
        <v>2.332796134177996E-2</v>
      </c>
    </row>
    <row r="395" spans="1:2" ht="15" customHeight="1" x14ac:dyDescent="0.2">
      <c r="A395" s="32" t="str">
        <f>'Returns  Stats'!A395</f>
        <v>2022-07-28</v>
      </c>
      <c r="B395" s="35">
        <f>'MPT Optimisation'!$B$16*'Returns  Stats'!B395+'MPT Optimisation'!$B$17*'Returns  Stats'!C395+'MPT Optimisation'!$B$18*'Returns  Stats'!D395+'MPT Optimisation'!$B$19*'Returns  Stats'!E395</f>
        <v>1.1340093428463283E-2</v>
      </c>
    </row>
    <row r="396" spans="1:2" ht="15" customHeight="1" x14ac:dyDescent="0.2">
      <c r="A396" s="32" t="str">
        <f>'Returns  Stats'!A396</f>
        <v>2022-07-29</v>
      </c>
      <c r="B396" s="35">
        <f>'MPT Optimisation'!$B$16*'Returns  Stats'!B396+'MPT Optimisation'!$B$17*'Returns  Stats'!C396+'MPT Optimisation'!$B$18*'Returns  Stats'!D396+'MPT Optimisation'!$B$19*'Returns  Stats'!E396</f>
        <v>1.2607223559616706E-2</v>
      </c>
    </row>
    <row r="397" spans="1:2" ht="15" customHeight="1" x14ac:dyDescent="0.2">
      <c r="A397" s="32" t="str">
        <f>'Returns  Stats'!A397</f>
        <v>2022-08-01</v>
      </c>
      <c r="B397" s="35">
        <f>'MPT Optimisation'!$B$16*'Returns  Stats'!B397+'MPT Optimisation'!$B$17*'Returns  Stats'!C397+'MPT Optimisation'!$B$18*'Returns  Stats'!D397+'MPT Optimisation'!$B$19*'Returns  Stats'!E397</f>
        <v>-1.2164027500260522E-3</v>
      </c>
    </row>
    <row r="398" spans="1:2" ht="15" customHeight="1" x14ac:dyDescent="0.2">
      <c r="A398" s="32" t="str">
        <f>'Returns  Stats'!A398</f>
        <v>2022-08-02</v>
      </c>
      <c r="B398" s="35">
        <f>'MPT Optimisation'!$B$16*'Returns  Stats'!B398+'MPT Optimisation'!$B$17*'Returns  Stats'!C398+'MPT Optimisation'!$B$18*'Returns  Stats'!D398+'MPT Optimisation'!$B$19*'Returns  Stats'!E398</f>
        <v>-9.1782028337586297E-3</v>
      </c>
    </row>
    <row r="399" spans="1:2" ht="15" customHeight="1" x14ac:dyDescent="0.2">
      <c r="A399" s="32" t="str">
        <f>'Returns  Stats'!A399</f>
        <v>2022-08-03</v>
      </c>
      <c r="B399" s="35">
        <f>'MPT Optimisation'!$B$16*'Returns  Stats'!B399+'MPT Optimisation'!$B$17*'Returns  Stats'!C399+'MPT Optimisation'!$B$18*'Returns  Stats'!D399+'MPT Optimisation'!$B$19*'Returns  Stats'!E399</f>
        <v>1.1788688650579526E-2</v>
      </c>
    </row>
    <row r="400" spans="1:2" ht="15" customHeight="1" x14ac:dyDescent="0.2">
      <c r="A400" s="32" t="str">
        <f>'Returns  Stats'!A400</f>
        <v>2022-08-04</v>
      </c>
      <c r="B400" s="35">
        <f>'MPT Optimisation'!$B$16*'Returns  Stats'!B400+'MPT Optimisation'!$B$17*'Returns  Stats'!C400+'MPT Optimisation'!$B$18*'Returns  Stats'!D400+'MPT Optimisation'!$B$19*'Returns  Stats'!E400</f>
        <v>9.8603654268020766E-4</v>
      </c>
    </row>
    <row r="401" spans="1:2" ht="15" customHeight="1" x14ac:dyDescent="0.2">
      <c r="A401" s="32" t="str">
        <f>'Returns  Stats'!A401</f>
        <v>2022-08-05</v>
      </c>
      <c r="B401" s="35">
        <f>'MPT Optimisation'!$B$16*'Returns  Stats'!B401+'MPT Optimisation'!$B$17*'Returns  Stats'!C401+'MPT Optimisation'!$B$18*'Returns  Stats'!D401+'MPT Optimisation'!$B$19*'Returns  Stats'!E401</f>
        <v>-2.7292924653579192E-3</v>
      </c>
    </row>
    <row r="402" spans="1:2" ht="15" customHeight="1" x14ac:dyDescent="0.2">
      <c r="A402" s="32" t="str">
        <f>'Returns  Stats'!A402</f>
        <v>2022-08-08</v>
      </c>
      <c r="B402" s="35">
        <f>'MPT Optimisation'!$B$16*'Returns  Stats'!B402+'MPT Optimisation'!$B$17*'Returns  Stats'!C402+'MPT Optimisation'!$B$18*'Returns  Stats'!D402+'MPT Optimisation'!$B$19*'Returns  Stats'!E402</f>
        <v>1.9168955488757964E-3</v>
      </c>
    </row>
    <row r="403" spans="1:2" ht="15" customHeight="1" x14ac:dyDescent="0.2">
      <c r="A403" s="32" t="str">
        <f>'Returns  Stats'!A403</f>
        <v>2022-08-09</v>
      </c>
      <c r="B403" s="35">
        <f>'MPT Optimisation'!$B$16*'Returns  Stats'!B403+'MPT Optimisation'!$B$17*'Returns  Stats'!C403+'MPT Optimisation'!$B$18*'Returns  Stats'!D403+'MPT Optimisation'!$B$19*'Returns  Stats'!E403</f>
        <v>-5.2292048463265526E-3</v>
      </c>
    </row>
    <row r="404" spans="1:2" ht="15" customHeight="1" x14ac:dyDescent="0.2">
      <c r="A404" s="32" t="str">
        <f>'Returns  Stats'!A404</f>
        <v>2022-08-10</v>
      </c>
      <c r="B404" s="35">
        <f>'MPT Optimisation'!$B$16*'Returns  Stats'!B404+'MPT Optimisation'!$B$17*'Returns  Stats'!C404+'MPT Optimisation'!$B$18*'Returns  Stats'!D404+'MPT Optimisation'!$B$19*'Returns  Stats'!E404</f>
        <v>2.132537045917119E-2</v>
      </c>
    </row>
    <row r="405" spans="1:2" ht="15" customHeight="1" x14ac:dyDescent="0.2">
      <c r="A405" s="32" t="str">
        <f>'Returns  Stats'!A405</f>
        <v>2022-08-11</v>
      </c>
      <c r="B405" s="35">
        <f>'MPT Optimisation'!$B$16*'Returns  Stats'!B405+'MPT Optimisation'!$B$17*'Returns  Stats'!C405+'MPT Optimisation'!$B$18*'Returns  Stats'!D405+'MPT Optimisation'!$B$19*'Returns  Stats'!E405</f>
        <v>-4.4826640013137525E-4</v>
      </c>
    </row>
    <row r="406" spans="1:2" ht="15" customHeight="1" x14ac:dyDescent="0.2">
      <c r="A406" s="32" t="str">
        <f>'Returns  Stats'!A406</f>
        <v>2022-08-12</v>
      </c>
      <c r="B406" s="35">
        <f>'MPT Optimisation'!$B$16*'Returns  Stats'!B406+'MPT Optimisation'!$B$17*'Returns  Stats'!C406+'MPT Optimisation'!$B$18*'Returns  Stats'!D406+'MPT Optimisation'!$B$19*'Returns  Stats'!E406</f>
        <v>1.3787367936027905E-2</v>
      </c>
    </row>
    <row r="407" spans="1:2" ht="15" customHeight="1" x14ac:dyDescent="0.2">
      <c r="A407" s="32" t="str">
        <f>'Returns  Stats'!A407</f>
        <v>2022-08-15</v>
      </c>
      <c r="B407" s="35">
        <f>'MPT Optimisation'!$B$16*'Returns  Stats'!B407+'MPT Optimisation'!$B$17*'Returns  Stats'!C407+'MPT Optimisation'!$B$18*'Returns  Stats'!D407+'MPT Optimisation'!$B$19*'Returns  Stats'!E407</f>
        <v>8.119001451416751E-4</v>
      </c>
    </row>
    <row r="408" spans="1:2" ht="15" customHeight="1" x14ac:dyDescent="0.2">
      <c r="A408" s="32" t="str">
        <f>'Returns  Stats'!A408</f>
        <v>2022-08-16</v>
      </c>
      <c r="B408" s="35">
        <f>'MPT Optimisation'!$B$16*'Returns  Stats'!B408+'MPT Optimisation'!$B$17*'Returns  Stats'!C408+'MPT Optimisation'!$B$18*'Returns  Stats'!D408+'MPT Optimisation'!$B$19*'Returns  Stats'!E408</f>
        <v>9.8374117756914168E-4</v>
      </c>
    </row>
    <row r="409" spans="1:2" ht="15" customHeight="1" x14ac:dyDescent="0.2">
      <c r="A409" s="32" t="str">
        <f>'Returns  Stats'!A409</f>
        <v>2022-08-17</v>
      </c>
      <c r="B409" s="35">
        <f>'MPT Optimisation'!$B$16*'Returns  Stats'!B409+'MPT Optimisation'!$B$17*'Returns  Stats'!C409+'MPT Optimisation'!$B$18*'Returns  Stats'!D409+'MPT Optimisation'!$B$19*'Returns  Stats'!E409</f>
        <v>-8.374890931781476E-3</v>
      </c>
    </row>
    <row r="410" spans="1:2" ht="15" customHeight="1" x14ac:dyDescent="0.2">
      <c r="A410" s="32" t="str">
        <f>'Returns  Stats'!A410</f>
        <v>2022-08-18</v>
      </c>
      <c r="B410" s="35">
        <f>'MPT Optimisation'!$B$16*'Returns  Stats'!B410+'MPT Optimisation'!$B$17*'Returns  Stats'!C410+'MPT Optimisation'!$B$18*'Returns  Stats'!D410+'MPT Optimisation'!$B$19*'Returns  Stats'!E410</f>
        <v>3.4143172386367755E-4</v>
      </c>
    </row>
    <row r="411" spans="1:2" ht="15" customHeight="1" x14ac:dyDescent="0.2">
      <c r="A411" s="32" t="str">
        <f>'Returns  Stats'!A411</f>
        <v>2022-08-19</v>
      </c>
      <c r="B411" s="35">
        <f>'MPT Optimisation'!$B$16*'Returns  Stats'!B411+'MPT Optimisation'!$B$17*'Returns  Stats'!C411+'MPT Optimisation'!$B$18*'Returns  Stats'!D411+'MPT Optimisation'!$B$19*'Returns  Stats'!E411</f>
        <v>-1.3566919839919575E-2</v>
      </c>
    </row>
    <row r="412" spans="1:2" ht="15" customHeight="1" x14ac:dyDescent="0.2">
      <c r="A412" s="32" t="str">
        <f>'Returns  Stats'!A412</f>
        <v>2022-08-22</v>
      </c>
      <c r="B412" s="35">
        <f>'MPT Optimisation'!$B$16*'Returns  Stats'!B412+'MPT Optimisation'!$B$17*'Returns  Stats'!C412+'MPT Optimisation'!$B$18*'Returns  Stats'!D412+'MPT Optimisation'!$B$19*'Returns  Stats'!E412</f>
        <v>-1.9240694446846351E-2</v>
      </c>
    </row>
    <row r="413" spans="1:2" ht="15" customHeight="1" x14ac:dyDescent="0.2">
      <c r="A413" s="32" t="str">
        <f>'Returns  Stats'!A413</f>
        <v>2022-08-23</v>
      </c>
      <c r="B413" s="35">
        <f>'MPT Optimisation'!$B$16*'Returns  Stats'!B413+'MPT Optimisation'!$B$17*'Returns  Stats'!C413+'MPT Optimisation'!$B$18*'Returns  Stats'!D413+'MPT Optimisation'!$B$19*'Returns  Stats'!E413</f>
        <v>-1.6492372058352523E-3</v>
      </c>
    </row>
    <row r="414" spans="1:2" ht="15" customHeight="1" x14ac:dyDescent="0.2">
      <c r="A414" s="32" t="str">
        <f>'Returns  Stats'!A414</f>
        <v>2022-08-24</v>
      </c>
      <c r="B414" s="35">
        <f>'MPT Optimisation'!$B$16*'Returns  Stats'!B414+'MPT Optimisation'!$B$17*'Returns  Stats'!C414+'MPT Optimisation'!$B$18*'Returns  Stats'!D414+'MPT Optimisation'!$B$19*'Returns  Stats'!E414</f>
        <v>3.0538108304852879E-3</v>
      </c>
    </row>
    <row r="415" spans="1:2" ht="15" customHeight="1" x14ac:dyDescent="0.2">
      <c r="A415" s="32" t="str">
        <f>'Returns  Stats'!A415</f>
        <v>2022-08-25</v>
      </c>
      <c r="B415" s="35">
        <f>'MPT Optimisation'!$B$16*'Returns  Stats'!B415+'MPT Optimisation'!$B$17*'Returns  Stats'!C415+'MPT Optimisation'!$B$18*'Returns  Stats'!D415+'MPT Optimisation'!$B$19*'Returns  Stats'!E415</f>
        <v>1.301174391918003E-2</v>
      </c>
    </row>
    <row r="416" spans="1:2" ht="15" customHeight="1" x14ac:dyDescent="0.2">
      <c r="A416" s="32" t="str">
        <f>'Returns  Stats'!A416</f>
        <v>2022-08-26</v>
      </c>
      <c r="B416" s="35">
        <f>'MPT Optimisation'!$B$16*'Returns  Stats'!B416+'MPT Optimisation'!$B$17*'Returns  Stats'!C416+'MPT Optimisation'!$B$18*'Returns  Stats'!D416+'MPT Optimisation'!$B$19*'Returns  Stats'!E416</f>
        <v>-2.9096933140225816E-2</v>
      </c>
    </row>
    <row r="417" spans="1:2" ht="15" customHeight="1" x14ac:dyDescent="0.2">
      <c r="A417" s="32" t="str">
        <f>'Returns  Stats'!A417</f>
        <v>2022-08-29</v>
      </c>
      <c r="B417" s="35">
        <f>'MPT Optimisation'!$B$16*'Returns  Stats'!B417+'MPT Optimisation'!$B$17*'Returns  Stats'!C417+'MPT Optimisation'!$B$18*'Returns  Stats'!D417+'MPT Optimisation'!$B$19*'Returns  Stats'!E417</f>
        <v>-5.7478355600769689E-3</v>
      </c>
    </row>
    <row r="418" spans="1:2" ht="15" customHeight="1" x14ac:dyDescent="0.2">
      <c r="A418" s="32" t="str">
        <f>'Returns  Stats'!A418</f>
        <v>2022-08-30</v>
      </c>
      <c r="B418" s="35">
        <f>'MPT Optimisation'!$B$16*'Returns  Stats'!B418+'MPT Optimisation'!$B$17*'Returns  Stats'!C418+'MPT Optimisation'!$B$18*'Returns  Stats'!D418+'MPT Optimisation'!$B$19*'Returns  Stats'!E418</f>
        <v>-9.4584327327081712E-3</v>
      </c>
    </row>
    <row r="419" spans="1:2" ht="15" customHeight="1" x14ac:dyDescent="0.2">
      <c r="A419" s="32" t="str">
        <f>'Returns  Stats'!A419</f>
        <v>2022-08-31</v>
      </c>
      <c r="B419" s="35">
        <f>'MPT Optimisation'!$B$16*'Returns  Stats'!B419+'MPT Optimisation'!$B$17*'Returns  Stats'!C419+'MPT Optimisation'!$B$18*'Returns  Stats'!D419+'MPT Optimisation'!$B$19*'Returns  Stats'!E419</f>
        <v>-6.9397570597721607E-3</v>
      </c>
    </row>
    <row r="420" spans="1:2" ht="15" customHeight="1" x14ac:dyDescent="0.2">
      <c r="A420" s="32" t="str">
        <f>'Returns  Stats'!A420</f>
        <v>2022-09-01</v>
      </c>
      <c r="B420" s="35">
        <f>'MPT Optimisation'!$B$16*'Returns  Stats'!B420+'MPT Optimisation'!$B$17*'Returns  Stats'!C420+'MPT Optimisation'!$B$18*'Returns  Stats'!D420+'MPT Optimisation'!$B$19*'Returns  Stats'!E420</f>
        <v>-3.7985451119805667E-3</v>
      </c>
    </row>
    <row r="421" spans="1:2" ht="15" customHeight="1" x14ac:dyDescent="0.2">
      <c r="A421" s="32" t="str">
        <f>'Returns  Stats'!A421</f>
        <v>2022-09-02</v>
      </c>
      <c r="B421" s="35">
        <f>'MPT Optimisation'!$B$16*'Returns  Stats'!B421+'MPT Optimisation'!$B$17*'Returns  Stats'!C421+'MPT Optimisation'!$B$18*'Returns  Stats'!D421+'MPT Optimisation'!$B$19*'Returns  Stats'!E421</f>
        <v>-8.4731951269264409E-3</v>
      </c>
    </row>
    <row r="422" spans="1:2" ht="15" customHeight="1" x14ac:dyDescent="0.2">
      <c r="A422" s="32" t="str">
        <f>'Returns  Stats'!A422</f>
        <v>2022-09-06</v>
      </c>
      <c r="B422" s="35">
        <f>'MPT Optimisation'!$B$16*'Returns  Stats'!B422+'MPT Optimisation'!$B$17*'Returns  Stats'!C422+'MPT Optimisation'!$B$18*'Returns  Stats'!D422+'MPT Optimisation'!$B$19*'Returns  Stats'!E422</f>
        <v>-3.2010673962018623E-3</v>
      </c>
    </row>
    <row r="423" spans="1:2" ht="15" customHeight="1" x14ac:dyDescent="0.2">
      <c r="A423" s="32" t="str">
        <f>'Returns  Stats'!A423</f>
        <v>2022-09-07</v>
      </c>
      <c r="B423" s="35">
        <f>'MPT Optimisation'!$B$16*'Returns  Stats'!B423+'MPT Optimisation'!$B$17*'Returns  Stats'!C423+'MPT Optimisation'!$B$18*'Returns  Stats'!D423+'MPT Optimisation'!$B$19*'Returns  Stats'!E423</f>
        <v>1.50458154629288E-2</v>
      </c>
    </row>
    <row r="424" spans="1:2" ht="15" customHeight="1" x14ac:dyDescent="0.2">
      <c r="A424" s="32" t="str">
        <f>'Returns  Stats'!A424</f>
        <v>2022-09-08</v>
      </c>
      <c r="B424" s="35">
        <f>'MPT Optimisation'!$B$16*'Returns  Stats'!B424+'MPT Optimisation'!$B$17*'Returns  Stats'!C424+'MPT Optimisation'!$B$18*'Returns  Stats'!D424+'MPT Optimisation'!$B$19*'Returns  Stats'!E424</f>
        <v>4.9260738339042265E-3</v>
      </c>
    </row>
    <row r="425" spans="1:2" ht="15" customHeight="1" x14ac:dyDescent="0.2">
      <c r="A425" s="32" t="str">
        <f>'Returns  Stats'!A425</f>
        <v>2022-09-09</v>
      </c>
      <c r="B425" s="35">
        <f>'MPT Optimisation'!$B$16*'Returns  Stats'!B425+'MPT Optimisation'!$B$17*'Returns  Stats'!C425+'MPT Optimisation'!$B$18*'Returns  Stats'!D425+'MPT Optimisation'!$B$19*'Returns  Stats'!E425</f>
        <v>1.813977276020973E-2</v>
      </c>
    </row>
    <row r="426" spans="1:2" ht="15" customHeight="1" x14ac:dyDescent="0.2">
      <c r="A426" s="32" t="str">
        <f>'Returns  Stats'!A426</f>
        <v>2022-09-12</v>
      </c>
      <c r="B426" s="35">
        <f>'MPT Optimisation'!$B$16*'Returns  Stats'!B426+'MPT Optimisation'!$B$17*'Returns  Stats'!C426+'MPT Optimisation'!$B$18*'Returns  Stats'!D426+'MPT Optimisation'!$B$19*'Returns  Stats'!E426</f>
        <v>1.1046535615142279E-2</v>
      </c>
    </row>
    <row r="427" spans="1:2" ht="15" customHeight="1" x14ac:dyDescent="0.2">
      <c r="A427" s="32" t="str">
        <f>'Returns  Stats'!A427</f>
        <v>2022-09-13</v>
      </c>
      <c r="B427" s="35">
        <f>'MPT Optimisation'!$B$16*'Returns  Stats'!B427+'MPT Optimisation'!$B$17*'Returns  Stats'!C427+'MPT Optimisation'!$B$18*'Returns  Stats'!D427+'MPT Optimisation'!$B$19*'Returns  Stats'!E427</f>
        <v>-3.8401013872729345E-2</v>
      </c>
    </row>
    <row r="428" spans="1:2" ht="15" customHeight="1" x14ac:dyDescent="0.2">
      <c r="A428" s="32" t="str">
        <f>'Returns  Stats'!A428</f>
        <v>2022-09-14</v>
      </c>
      <c r="B428" s="35">
        <f>'MPT Optimisation'!$B$16*'Returns  Stats'!B428+'MPT Optimisation'!$B$17*'Returns  Stats'!C428+'MPT Optimisation'!$B$18*'Returns  Stats'!D428+'MPT Optimisation'!$B$19*'Returns  Stats'!E428</f>
        <v>2.8137994493933338E-3</v>
      </c>
    </row>
    <row r="429" spans="1:2" ht="15" customHeight="1" x14ac:dyDescent="0.2">
      <c r="A429" s="32" t="str">
        <f>'Returns  Stats'!A429</f>
        <v>2022-09-15</v>
      </c>
      <c r="B429" s="35">
        <f>'MPT Optimisation'!$B$16*'Returns  Stats'!B429+'MPT Optimisation'!$B$17*'Returns  Stats'!C429+'MPT Optimisation'!$B$18*'Returns  Stats'!D429+'MPT Optimisation'!$B$19*'Returns  Stats'!E429</f>
        <v>-1.0124508721806858E-2</v>
      </c>
    </row>
    <row r="430" spans="1:2" ht="15" customHeight="1" x14ac:dyDescent="0.2">
      <c r="A430" s="32" t="str">
        <f>'Returns  Stats'!A430</f>
        <v>2022-09-16</v>
      </c>
      <c r="B430" s="35">
        <f>'MPT Optimisation'!$B$16*'Returns  Stats'!B430+'MPT Optimisation'!$B$17*'Returns  Stats'!C430+'MPT Optimisation'!$B$18*'Returns  Stats'!D430+'MPT Optimisation'!$B$19*'Returns  Stats'!E430</f>
        <v>-7.3239840389448963E-3</v>
      </c>
    </row>
    <row r="431" spans="1:2" ht="15" customHeight="1" x14ac:dyDescent="0.2">
      <c r="A431" s="32" t="str">
        <f>'Returns  Stats'!A431</f>
        <v>2022-09-19</v>
      </c>
      <c r="B431" s="35">
        <f>'MPT Optimisation'!$B$16*'Returns  Stats'!B431+'MPT Optimisation'!$B$17*'Returns  Stats'!C431+'MPT Optimisation'!$B$18*'Returns  Stats'!D431+'MPT Optimisation'!$B$19*'Returns  Stats'!E431</f>
        <v>5.1492585113722452E-3</v>
      </c>
    </row>
    <row r="432" spans="1:2" ht="15" customHeight="1" x14ac:dyDescent="0.2">
      <c r="A432" s="32" t="str">
        <f>'Returns  Stats'!A432</f>
        <v>2022-09-20</v>
      </c>
      <c r="B432" s="35">
        <f>'MPT Optimisation'!$B$16*'Returns  Stats'!B432+'MPT Optimisation'!$B$17*'Returns  Stats'!C432+'MPT Optimisation'!$B$18*'Returns  Stats'!D432+'MPT Optimisation'!$B$19*'Returns  Stats'!E432</f>
        <v>-1.3514782731951518E-2</v>
      </c>
    </row>
    <row r="433" spans="1:2" ht="15" customHeight="1" x14ac:dyDescent="0.2">
      <c r="A433" s="32" t="str">
        <f>'Returns  Stats'!A433</f>
        <v>2022-09-21</v>
      </c>
      <c r="B433" s="35">
        <f>'MPT Optimisation'!$B$16*'Returns  Stats'!B433+'MPT Optimisation'!$B$17*'Returns  Stats'!C433+'MPT Optimisation'!$B$18*'Returns  Stats'!D433+'MPT Optimisation'!$B$19*'Returns  Stats'!E433</f>
        <v>-1.4811223074186895E-2</v>
      </c>
    </row>
    <row r="434" spans="1:2" ht="15" customHeight="1" x14ac:dyDescent="0.2">
      <c r="A434" s="32" t="str">
        <f>'Returns  Stats'!A434</f>
        <v>2022-09-22</v>
      </c>
      <c r="B434" s="35">
        <f>'MPT Optimisation'!$B$16*'Returns  Stats'!B434+'MPT Optimisation'!$B$17*'Returns  Stats'!C434+'MPT Optimisation'!$B$18*'Returns  Stats'!D434+'MPT Optimisation'!$B$19*'Returns  Stats'!E434</f>
        <v>-8.7466640597844477E-3</v>
      </c>
    </row>
    <row r="435" spans="1:2" ht="15" customHeight="1" x14ac:dyDescent="0.2">
      <c r="A435" s="32" t="str">
        <f>'Returns  Stats'!A435</f>
        <v>2022-09-23</v>
      </c>
      <c r="B435" s="35">
        <f>'MPT Optimisation'!$B$16*'Returns  Stats'!B435+'MPT Optimisation'!$B$17*'Returns  Stats'!C435+'MPT Optimisation'!$B$18*'Returns  Stats'!D435+'MPT Optimisation'!$B$19*'Returns  Stats'!E435</f>
        <v>-2.0736195190084215E-2</v>
      </c>
    </row>
    <row r="436" spans="1:2" ht="15" customHeight="1" x14ac:dyDescent="0.2">
      <c r="A436" s="32" t="str">
        <f>'Returns  Stats'!A436</f>
        <v>2022-09-26</v>
      </c>
      <c r="B436" s="35">
        <f>'MPT Optimisation'!$B$16*'Returns  Stats'!B436+'MPT Optimisation'!$B$17*'Returns  Stats'!C436+'MPT Optimisation'!$B$18*'Returns  Stats'!D436+'MPT Optimisation'!$B$19*'Returns  Stats'!E436</f>
        <v>-1.3062626577742025E-2</v>
      </c>
    </row>
    <row r="437" spans="1:2" ht="15" customHeight="1" x14ac:dyDescent="0.2">
      <c r="A437" s="32" t="str">
        <f>'Returns  Stats'!A437</f>
        <v>2022-09-27</v>
      </c>
      <c r="B437" s="35">
        <f>'MPT Optimisation'!$B$16*'Returns  Stats'!B437+'MPT Optimisation'!$B$17*'Returns  Stats'!C437+'MPT Optimisation'!$B$18*'Returns  Stats'!D437+'MPT Optimisation'!$B$19*'Returns  Stats'!E437</f>
        <v>-3.8070259870135732E-3</v>
      </c>
    </row>
    <row r="438" spans="1:2" ht="15" customHeight="1" x14ac:dyDescent="0.2">
      <c r="A438" s="32" t="str">
        <f>'Returns  Stats'!A438</f>
        <v>2022-09-28</v>
      </c>
      <c r="B438" s="35">
        <f>'MPT Optimisation'!$B$16*'Returns  Stats'!B438+'MPT Optimisation'!$B$17*'Returns  Stats'!C438+'MPT Optimisation'!$B$18*'Returns  Stats'!D438+'MPT Optimisation'!$B$19*'Returns  Stats'!E438</f>
        <v>2.1709618764256498E-2</v>
      </c>
    </row>
    <row r="439" spans="1:2" ht="15" customHeight="1" x14ac:dyDescent="0.2">
      <c r="A439" s="32" t="str">
        <f>'Returns  Stats'!A439</f>
        <v>2022-09-29</v>
      </c>
      <c r="B439" s="35">
        <f>'MPT Optimisation'!$B$16*'Returns  Stats'!B439+'MPT Optimisation'!$B$17*'Returns  Stats'!C439+'MPT Optimisation'!$B$18*'Returns  Stats'!D439+'MPT Optimisation'!$B$19*'Returns  Stats'!E439</f>
        <v>-1.7730449011756067E-2</v>
      </c>
    </row>
    <row r="440" spans="1:2" ht="15" customHeight="1" x14ac:dyDescent="0.2">
      <c r="A440" s="32" t="str">
        <f>'Returns  Stats'!A440</f>
        <v>2022-09-30</v>
      </c>
      <c r="B440" s="35">
        <f>'MPT Optimisation'!$B$16*'Returns  Stats'!B440+'MPT Optimisation'!$B$17*'Returns  Stats'!C440+'MPT Optimisation'!$B$18*'Returns  Stats'!D440+'MPT Optimisation'!$B$19*'Returns  Stats'!E440</f>
        <v>-8.7708295854228725E-3</v>
      </c>
    </row>
    <row r="441" spans="1:2" ht="15" customHeight="1" x14ac:dyDescent="0.2">
      <c r="A441" s="32" t="str">
        <f>'Returns  Stats'!A441</f>
        <v>2022-10-03</v>
      </c>
      <c r="B441" s="35">
        <f>'MPT Optimisation'!$B$16*'Returns  Stats'!B441+'MPT Optimisation'!$B$17*'Returns  Stats'!C441+'MPT Optimisation'!$B$18*'Returns  Stats'!D441+'MPT Optimisation'!$B$19*'Returns  Stats'!E441</f>
        <v>2.2488416363281478E-2</v>
      </c>
    </row>
    <row r="442" spans="1:2" ht="15" customHeight="1" x14ac:dyDescent="0.2">
      <c r="A442" s="32" t="str">
        <f>'Returns  Stats'!A442</f>
        <v>2022-10-04</v>
      </c>
      <c r="B442" s="35">
        <f>'MPT Optimisation'!$B$16*'Returns  Stats'!B442+'MPT Optimisation'!$B$17*'Returns  Stats'!C442+'MPT Optimisation'!$B$18*'Returns  Stats'!D442+'MPT Optimisation'!$B$19*'Returns  Stats'!E442</f>
        <v>3.244095435780963E-2</v>
      </c>
    </row>
    <row r="443" spans="1:2" ht="15" customHeight="1" x14ac:dyDescent="0.2">
      <c r="A443" s="32" t="str">
        <f>'Returns  Stats'!A443</f>
        <v>2022-10-05</v>
      </c>
      <c r="B443" s="35">
        <f>'MPT Optimisation'!$B$16*'Returns  Stats'!B443+'MPT Optimisation'!$B$17*'Returns  Stats'!C443+'MPT Optimisation'!$B$18*'Returns  Stats'!D443+'MPT Optimisation'!$B$19*'Returns  Stats'!E443</f>
        <v>-5.5598086792131955E-3</v>
      </c>
    </row>
    <row r="444" spans="1:2" ht="15" customHeight="1" x14ac:dyDescent="0.2">
      <c r="A444" s="32" t="str">
        <f>'Returns  Stats'!A444</f>
        <v>2022-10-06</v>
      </c>
      <c r="B444" s="35">
        <f>'MPT Optimisation'!$B$16*'Returns  Stats'!B444+'MPT Optimisation'!$B$17*'Returns  Stats'!C444+'MPT Optimisation'!$B$18*'Returns  Stats'!D444+'MPT Optimisation'!$B$19*'Returns  Stats'!E444</f>
        <v>-1.2572599888754388E-2</v>
      </c>
    </row>
    <row r="445" spans="1:2" ht="15" customHeight="1" x14ac:dyDescent="0.2">
      <c r="A445" s="32" t="str">
        <f>'Returns  Stats'!A445</f>
        <v>2022-10-07</v>
      </c>
      <c r="B445" s="35">
        <f>'MPT Optimisation'!$B$16*'Returns  Stats'!B445+'MPT Optimisation'!$B$17*'Returns  Stats'!C445+'MPT Optimisation'!$B$18*'Returns  Stats'!D445+'MPT Optimisation'!$B$19*'Returns  Stats'!E445</f>
        <v>-2.3406802857396873E-2</v>
      </c>
    </row>
    <row r="446" spans="1:2" ht="15" customHeight="1" x14ac:dyDescent="0.2">
      <c r="A446" s="32" t="str">
        <f>'Returns  Stats'!A446</f>
        <v>2022-10-10</v>
      </c>
      <c r="B446" s="35">
        <f>'MPT Optimisation'!$B$16*'Returns  Stats'!B446+'MPT Optimisation'!$B$17*'Returns  Stats'!C446+'MPT Optimisation'!$B$18*'Returns  Stats'!D446+'MPT Optimisation'!$B$19*'Returns  Stats'!E446</f>
        <v>-7.1547911762462222E-3</v>
      </c>
    </row>
    <row r="447" spans="1:2" ht="15" customHeight="1" x14ac:dyDescent="0.2">
      <c r="A447" s="32" t="str">
        <f>'Returns  Stats'!A447</f>
        <v>2022-10-11</v>
      </c>
      <c r="B447" s="35">
        <f>'MPT Optimisation'!$B$16*'Returns  Stats'!B447+'MPT Optimisation'!$B$17*'Returns  Stats'!C447+'MPT Optimisation'!$B$18*'Returns  Stats'!D447+'MPT Optimisation'!$B$19*'Returns  Stats'!E447</f>
        <v>-6.5979156932289068E-3</v>
      </c>
    </row>
    <row r="448" spans="1:2" ht="15" customHeight="1" x14ac:dyDescent="0.2">
      <c r="A448" s="32" t="str">
        <f>'Returns  Stats'!A448</f>
        <v>2022-10-12</v>
      </c>
      <c r="B448" s="35">
        <f>'MPT Optimisation'!$B$16*'Returns  Stats'!B448+'MPT Optimisation'!$B$17*'Returns  Stats'!C448+'MPT Optimisation'!$B$18*'Returns  Stats'!D448+'MPT Optimisation'!$B$19*'Returns  Stats'!E448</f>
        <v>-3.0822038915803264E-3</v>
      </c>
    </row>
    <row r="449" spans="1:2" ht="15" customHeight="1" x14ac:dyDescent="0.2">
      <c r="A449" s="32" t="str">
        <f>'Returns  Stats'!A449</f>
        <v>2022-10-13</v>
      </c>
      <c r="B449" s="35">
        <f>'MPT Optimisation'!$B$16*'Returns  Stats'!B449+'MPT Optimisation'!$B$17*'Returns  Stats'!C449+'MPT Optimisation'!$B$18*'Returns  Stats'!D449+'MPT Optimisation'!$B$19*'Returns  Stats'!E449</f>
        <v>2.1839743488038164E-2</v>
      </c>
    </row>
    <row r="450" spans="1:2" ht="15" customHeight="1" x14ac:dyDescent="0.2">
      <c r="A450" s="32" t="str">
        <f>'Returns  Stats'!A450</f>
        <v>2022-10-14</v>
      </c>
      <c r="B450" s="35">
        <f>'MPT Optimisation'!$B$16*'Returns  Stats'!B450+'MPT Optimisation'!$B$17*'Returns  Stats'!C450+'MPT Optimisation'!$B$18*'Returns  Stats'!D450+'MPT Optimisation'!$B$19*'Returns  Stats'!E450</f>
        <v>-2.0138866519562221E-2</v>
      </c>
    </row>
    <row r="451" spans="1:2" ht="15" customHeight="1" x14ac:dyDescent="0.2">
      <c r="A451" s="32" t="str">
        <f>'Returns  Stats'!A451</f>
        <v>2022-10-17</v>
      </c>
      <c r="B451" s="35">
        <f>'MPT Optimisation'!$B$16*'Returns  Stats'!B451+'MPT Optimisation'!$B$17*'Returns  Stats'!C451+'MPT Optimisation'!$B$18*'Returns  Stats'!D451+'MPT Optimisation'!$B$19*'Returns  Stats'!E451</f>
        <v>2.5399986195972533E-2</v>
      </c>
    </row>
    <row r="452" spans="1:2" ht="15" customHeight="1" x14ac:dyDescent="0.2">
      <c r="A452" s="32" t="str">
        <f>'Returns  Stats'!A452</f>
        <v>2022-10-18</v>
      </c>
      <c r="B452" s="35">
        <f>'MPT Optimisation'!$B$16*'Returns  Stats'!B452+'MPT Optimisation'!$B$17*'Returns  Stats'!C452+'MPT Optimisation'!$B$18*'Returns  Stats'!D452+'MPT Optimisation'!$B$19*'Returns  Stats'!E452</f>
        <v>1.0100537785796348E-2</v>
      </c>
    </row>
    <row r="453" spans="1:2" ht="15" customHeight="1" x14ac:dyDescent="0.2">
      <c r="A453" s="32" t="str">
        <f>'Returns  Stats'!A453</f>
        <v>2022-10-19</v>
      </c>
      <c r="B453" s="35">
        <f>'MPT Optimisation'!$B$16*'Returns  Stats'!B453+'MPT Optimisation'!$B$17*'Returns  Stats'!C453+'MPT Optimisation'!$B$18*'Returns  Stats'!D453+'MPT Optimisation'!$B$19*'Returns  Stats'!E453</f>
        <v>-1.0478808622009844E-2</v>
      </c>
    </row>
    <row r="454" spans="1:2" ht="15" customHeight="1" x14ac:dyDescent="0.2">
      <c r="A454" s="32" t="str">
        <f>'Returns  Stats'!A454</f>
        <v>2022-10-20</v>
      </c>
      <c r="B454" s="35">
        <f>'MPT Optimisation'!$B$16*'Returns  Stats'!B454+'MPT Optimisation'!$B$17*'Returns  Stats'!C454+'MPT Optimisation'!$B$18*'Returns  Stats'!D454+'MPT Optimisation'!$B$19*'Returns  Stats'!E454</f>
        <v>-6.3968708149759572E-3</v>
      </c>
    </row>
    <row r="455" spans="1:2" ht="15" customHeight="1" x14ac:dyDescent="0.2">
      <c r="A455" s="32" t="str">
        <f>'Returns  Stats'!A455</f>
        <v>2022-10-21</v>
      </c>
      <c r="B455" s="35">
        <f>'MPT Optimisation'!$B$16*'Returns  Stats'!B455+'MPT Optimisation'!$B$17*'Returns  Stats'!C455+'MPT Optimisation'!$B$18*'Returns  Stats'!D455+'MPT Optimisation'!$B$19*'Returns  Stats'!E455</f>
        <v>1.9708894766671991E-2</v>
      </c>
    </row>
    <row r="456" spans="1:2" ht="15" customHeight="1" x14ac:dyDescent="0.2">
      <c r="A456" s="32" t="str">
        <f>'Returns  Stats'!A456</f>
        <v>2022-10-24</v>
      </c>
      <c r="B456" s="35">
        <f>'MPT Optimisation'!$B$16*'Returns  Stats'!B456+'MPT Optimisation'!$B$17*'Returns  Stats'!C456+'MPT Optimisation'!$B$18*'Returns  Stats'!D456+'MPT Optimisation'!$B$19*'Returns  Stats'!E456</f>
        <v>6.4401233479005008E-3</v>
      </c>
    </row>
    <row r="457" spans="1:2" ht="15" customHeight="1" x14ac:dyDescent="0.2">
      <c r="A457" s="32" t="str">
        <f>'Returns  Stats'!A457</f>
        <v>2022-10-25</v>
      </c>
      <c r="B457" s="35">
        <f>'MPT Optimisation'!$B$16*'Returns  Stats'!B457+'MPT Optimisation'!$B$17*'Returns  Stats'!C457+'MPT Optimisation'!$B$18*'Returns  Stats'!D457+'MPT Optimisation'!$B$19*'Returns  Stats'!E457</f>
        <v>1.9936008892770418E-2</v>
      </c>
    </row>
    <row r="458" spans="1:2" ht="15" customHeight="1" x14ac:dyDescent="0.2">
      <c r="A458" s="32" t="str">
        <f>'Returns  Stats'!A458</f>
        <v>2022-10-26</v>
      </c>
      <c r="B458" s="35">
        <f>'MPT Optimisation'!$B$16*'Returns  Stats'!B458+'MPT Optimisation'!$B$17*'Returns  Stats'!C458+'MPT Optimisation'!$B$18*'Returns  Stats'!D458+'MPT Optimisation'!$B$19*'Returns  Stats'!E458</f>
        <v>-6.7534807958888874E-4</v>
      </c>
    </row>
    <row r="459" spans="1:2" ht="15" customHeight="1" x14ac:dyDescent="0.2">
      <c r="A459" s="32" t="str">
        <f>'Returns  Stats'!A459</f>
        <v>2022-10-27</v>
      </c>
      <c r="B459" s="35">
        <f>'MPT Optimisation'!$B$16*'Returns  Stats'!B459+'MPT Optimisation'!$B$17*'Returns  Stats'!C459+'MPT Optimisation'!$B$18*'Returns  Stats'!D459+'MPT Optimisation'!$B$19*'Returns  Stats'!E459</f>
        <v>-5.2970321073854913E-3</v>
      </c>
    </row>
    <row r="460" spans="1:2" ht="15" customHeight="1" x14ac:dyDescent="0.2">
      <c r="A460" s="32" t="str">
        <f>'Returns  Stats'!A460</f>
        <v>2022-10-28</v>
      </c>
      <c r="B460" s="35">
        <f>'MPT Optimisation'!$B$16*'Returns  Stats'!B460+'MPT Optimisation'!$B$17*'Returns  Stats'!C460+'MPT Optimisation'!$B$18*'Returns  Stats'!D460+'MPT Optimisation'!$B$19*'Returns  Stats'!E460</f>
        <v>1.7919866742494874E-2</v>
      </c>
    </row>
    <row r="461" spans="1:2" ht="15" customHeight="1" x14ac:dyDescent="0.2">
      <c r="A461" s="32" t="str">
        <f>'Returns  Stats'!A461</f>
        <v>2022-10-31</v>
      </c>
      <c r="B461" s="35">
        <f>'MPT Optimisation'!$B$16*'Returns  Stats'!B461+'MPT Optimisation'!$B$17*'Returns  Stats'!C461+'MPT Optimisation'!$B$18*'Returns  Stats'!D461+'MPT Optimisation'!$B$19*'Returns  Stats'!E461</f>
        <v>-6.8993931238796888E-3</v>
      </c>
    </row>
    <row r="462" spans="1:2" ht="15" customHeight="1" x14ac:dyDescent="0.2">
      <c r="A462" s="32" t="str">
        <f>'Returns  Stats'!A462</f>
        <v>2022-11-01</v>
      </c>
      <c r="B462" s="35">
        <f>'MPT Optimisation'!$B$16*'Returns  Stats'!B462+'MPT Optimisation'!$B$17*'Returns  Stats'!C462+'MPT Optimisation'!$B$18*'Returns  Stats'!D462+'MPT Optimisation'!$B$19*'Returns  Stats'!E462</f>
        <v>5.9669806157067206E-4</v>
      </c>
    </row>
    <row r="463" spans="1:2" ht="15" customHeight="1" x14ac:dyDescent="0.2">
      <c r="A463" s="32" t="str">
        <f>'Returns  Stats'!A463</f>
        <v>2022-11-02</v>
      </c>
      <c r="B463" s="35">
        <f>'MPT Optimisation'!$B$16*'Returns  Stats'!B463+'MPT Optimisation'!$B$17*'Returns  Stats'!C463+'MPT Optimisation'!$B$18*'Returns  Stats'!D463+'MPT Optimisation'!$B$19*'Returns  Stats'!E463</f>
        <v>-2.1613319441254521E-2</v>
      </c>
    </row>
    <row r="464" spans="1:2" ht="15" customHeight="1" x14ac:dyDescent="0.2">
      <c r="A464" s="32" t="str">
        <f>'Returns  Stats'!A464</f>
        <v>2022-11-03</v>
      </c>
      <c r="B464" s="35">
        <f>'MPT Optimisation'!$B$16*'Returns  Stats'!B464+'MPT Optimisation'!$B$17*'Returns  Stats'!C464+'MPT Optimisation'!$B$18*'Returns  Stats'!D464+'MPT Optimisation'!$B$19*'Returns  Stats'!E464</f>
        <v>-8.5334599133933767E-3</v>
      </c>
    </row>
    <row r="465" spans="1:2" ht="15" customHeight="1" x14ac:dyDescent="0.2">
      <c r="A465" s="32" t="str">
        <f>'Returns  Stats'!A465</f>
        <v>2022-11-04</v>
      </c>
      <c r="B465" s="35">
        <f>'MPT Optimisation'!$B$16*'Returns  Stats'!B465+'MPT Optimisation'!$B$17*'Returns  Stats'!C465+'MPT Optimisation'!$B$18*'Returns  Stats'!D465+'MPT Optimisation'!$B$19*'Returns  Stats'!E465</f>
        <v>2.0415349447486162E-2</v>
      </c>
    </row>
    <row r="466" spans="1:2" ht="15" customHeight="1" x14ac:dyDescent="0.2">
      <c r="A466" s="32" t="str">
        <f>'Returns  Stats'!A466</f>
        <v>2022-11-07</v>
      </c>
      <c r="B466" s="35">
        <f>'MPT Optimisation'!$B$16*'Returns  Stats'!B466+'MPT Optimisation'!$B$17*'Returns  Stats'!C466+'MPT Optimisation'!$B$18*'Returns  Stats'!D466+'MPT Optimisation'!$B$19*'Returns  Stats'!E466</f>
        <v>6.241443285801767E-3</v>
      </c>
    </row>
    <row r="467" spans="1:2" ht="15" customHeight="1" x14ac:dyDescent="0.2">
      <c r="A467" s="32" t="str">
        <f>'Returns  Stats'!A467</f>
        <v>2022-11-08</v>
      </c>
      <c r="B467" s="35">
        <f>'MPT Optimisation'!$B$16*'Returns  Stats'!B467+'MPT Optimisation'!$B$17*'Returns  Stats'!C467+'MPT Optimisation'!$B$18*'Returns  Stats'!D467+'MPT Optimisation'!$B$19*'Returns  Stats'!E467</f>
        <v>6.9094128720653238E-3</v>
      </c>
    </row>
    <row r="468" spans="1:2" ht="15" customHeight="1" x14ac:dyDescent="0.2">
      <c r="A468" s="32" t="str">
        <f>'Returns  Stats'!A468</f>
        <v>2022-11-09</v>
      </c>
      <c r="B468" s="35">
        <f>'MPT Optimisation'!$B$16*'Returns  Stats'!B468+'MPT Optimisation'!$B$17*'Returns  Stats'!C468+'MPT Optimisation'!$B$18*'Returns  Stats'!D468+'MPT Optimisation'!$B$19*'Returns  Stats'!E468</f>
        <v>-1.7569935413479877E-2</v>
      </c>
    </row>
    <row r="469" spans="1:2" ht="15" customHeight="1" x14ac:dyDescent="0.2">
      <c r="A469" s="32" t="str">
        <f>'Returns  Stats'!A469</f>
        <v>2022-11-10</v>
      </c>
      <c r="B469" s="35">
        <f>'MPT Optimisation'!$B$16*'Returns  Stats'!B469+'MPT Optimisation'!$B$17*'Returns  Stats'!C469+'MPT Optimisation'!$B$18*'Returns  Stats'!D469+'MPT Optimisation'!$B$19*'Returns  Stats'!E469</f>
        <v>5.5511450389484254E-2</v>
      </c>
    </row>
    <row r="470" spans="1:2" ht="15" customHeight="1" x14ac:dyDescent="0.2">
      <c r="A470" s="32" t="str">
        <f>'Returns  Stats'!A470</f>
        <v>2022-11-11</v>
      </c>
      <c r="B470" s="35">
        <f>'MPT Optimisation'!$B$16*'Returns  Stats'!B470+'MPT Optimisation'!$B$17*'Returns  Stats'!C470+'MPT Optimisation'!$B$18*'Returns  Stats'!D470+'MPT Optimisation'!$B$19*'Returns  Stats'!E470</f>
        <v>1.2057986130045861E-2</v>
      </c>
    </row>
    <row r="471" spans="1:2" ht="15" customHeight="1" x14ac:dyDescent="0.2">
      <c r="A471" s="32" t="str">
        <f>'Returns  Stats'!A471</f>
        <v>2022-11-14</v>
      </c>
      <c r="B471" s="35">
        <f>'MPT Optimisation'!$B$16*'Returns  Stats'!B471+'MPT Optimisation'!$B$17*'Returns  Stats'!C471+'MPT Optimisation'!$B$18*'Returns  Stats'!D471+'MPT Optimisation'!$B$19*'Returns  Stats'!E471</f>
        <v>-9.9463230311054272E-3</v>
      </c>
    </row>
    <row r="472" spans="1:2" ht="15" customHeight="1" x14ac:dyDescent="0.2">
      <c r="A472" s="32" t="str">
        <f>'Returns  Stats'!A472</f>
        <v>2022-11-15</v>
      </c>
      <c r="B472" s="35">
        <f>'MPT Optimisation'!$B$16*'Returns  Stats'!B472+'MPT Optimisation'!$B$17*'Returns  Stats'!C472+'MPT Optimisation'!$B$18*'Returns  Stats'!D472+'MPT Optimisation'!$B$19*'Returns  Stats'!E472</f>
        <v>8.9826823527794693E-3</v>
      </c>
    </row>
    <row r="473" spans="1:2" ht="15" customHeight="1" x14ac:dyDescent="0.2">
      <c r="A473" s="32" t="str">
        <f>'Returns  Stats'!A473</f>
        <v>2022-11-16</v>
      </c>
      <c r="B473" s="35">
        <f>'MPT Optimisation'!$B$16*'Returns  Stats'!B473+'MPT Optimisation'!$B$17*'Returns  Stats'!C473+'MPT Optimisation'!$B$18*'Returns  Stats'!D473+'MPT Optimisation'!$B$19*'Returns  Stats'!E473</f>
        <v>-6.9442326607866596E-3</v>
      </c>
    </row>
    <row r="474" spans="1:2" ht="15" customHeight="1" x14ac:dyDescent="0.2">
      <c r="A474" s="32" t="str">
        <f>'Returns  Stats'!A474</f>
        <v>2022-11-17</v>
      </c>
      <c r="B474" s="35">
        <f>'MPT Optimisation'!$B$16*'Returns  Stats'!B474+'MPT Optimisation'!$B$17*'Returns  Stats'!C474+'MPT Optimisation'!$B$18*'Returns  Stats'!D474+'MPT Optimisation'!$B$19*'Returns  Stats'!E474</f>
        <v>-3.2006656521427648E-3</v>
      </c>
    </row>
    <row r="475" spans="1:2" ht="15" customHeight="1" x14ac:dyDescent="0.2">
      <c r="A475" s="32" t="str">
        <f>'Returns  Stats'!A475</f>
        <v>2022-11-18</v>
      </c>
      <c r="B475" s="35">
        <f>'MPT Optimisation'!$B$16*'Returns  Stats'!B475+'MPT Optimisation'!$B$17*'Returns  Stats'!C475+'MPT Optimisation'!$B$18*'Returns  Stats'!D475+'MPT Optimisation'!$B$19*'Returns  Stats'!E475</f>
        <v>3.9867911936982414E-3</v>
      </c>
    </row>
    <row r="476" spans="1:2" ht="15" customHeight="1" x14ac:dyDescent="0.2">
      <c r="A476" s="32" t="str">
        <f>'Returns  Stats'!A476</f>
        <v>2022-11-21</v>
      </c>
      <c r="B476" s="35">
        <f>'MPT Optimisation'!$B$16*'Returns  Stats'!B476+'MPT Optimisation'!$B$17*'Returns  Stats'!C476+'MPT Optimisation'!$B$18*'Returns  Stats'!D476+'MPT Optimisation'!$B$19*'Returns  Stats'!E476</f>
        <v>-4.5642018766927301E-3</v>
      </c>
    </row>
    <row r="477" spans="1:2" ht="15" customHeight="1" x14ac:dyDescent="0.2">
      <c r="A477" s="32" t="str">
        <f>'Returns  Stats'!A477</f>
        <v>2022-11-22</v>
      </c>
      <c r="B477" s="35">
        <f>'MPT Optimisation'!$B$16*'Returns  Stats'!B477+'MPT Optimisation'!$B$17*'Returns  Stats'!C477+'MPT Optimisation'!$B$18*'Returns  Stats'!D477+'MPT Optimisation'!$B$19*'Returns  Stats'!E477</f>
        <v>1.2572176685729776E-2</v>
      </c>
    </row>
    <row r="478" spans="1:2" ht="15" customHeight="1" x14ac:dyDescent="0.2">
      <c r="A478" s="32" t="str">
        <f>'Returns  Stats'!A478</f>
        <v>2022-11-23</v>
      </c>
      <c r="B478" s="35">
        <f>'MPT Optimisation'!$B$16*'Returns  Stats'!B478+'MPT Optimisation'!$B$17*'Returns  Stats'!C478+'MPT Optimisation'!$B$18*'Returns  Stats'!D478+'MPT Optimisation'!$B$19*'Returns  Stats'!E478</f>
        <v>7.2896142923902334E-3</v>
      </c>
    </row>
    <row r="479" spans="1:2" ht="15" customHeight="1" x14ac:dyDescent="0.2">
      <c r="A479" s="32" t="str">
        <f>'Returns  Stats'!A479</f>
        <v>2022-11-25</v>
      </c>
      <c r="B479" s="35">
        <f>'MPT Optimisation'!$B$16*'Returns  Stats'!B479+'MPT Optimisation'!$B$17*'Returns  Stats'!C479+'MPT Optimisation'!$B$18*'Returns  Stats'!D479+'MPT Optimisation'!$B$19*'Returns  Stats'!E479</f>
        <v>2.3140510482251514E-3</v>
      </c>
    </row>
    <row r="480" spans="1:2" ht="15" customHeight="1" x14ac:dyDescent="0.2">
      <c r="A480" s="32" t="str">
        <f>'Returns  Stats'!A480</f>
        <v>2022-11-28</v>
      </c>
      <c r="B480" s="35">
        <f>'MPT Optimisation'!$B$16*'Returns  Stats'!B480+'MPT Optimisation'!$B$17*'Returns  Stats'!C480+'MPT Optimisation'!$B$18*'Returns  Stats'!D480+'MPT Optimisation'!$B$19*'Returns  Stats'!E480</f>
        <v>-1.5027761967463138E-2</v>
      </c>
    </row>
    <row r="481" spans="1:2" ht="15" customHeight="1" x14ac:dyDescent="0.2">
      <c r="A481" s="32" t="str">
        <f>'Returns  Stats'!A481</f>
        <v>2022-11-29</v>
      </c>
      <c r="B481" s="35">
        <f>'MPT Optimisation'!$B$16*'Returns  Stats'!B481+'MPT Optimisation'!$B$17*'Returns  Stats'!C481+'MPT Optimisation'!$B$18*'Returns  Stats'!D481+'MPT Optimisation'!$B$19*'Returns  Stats'!E481</f>
        <v>5.7615896862591169E-4</v>
      </c>
    </row>
    <row r="482" spans="1:2" ht="15" customHeight="1" x14ac:dyDescent="0.2">
      <c r="A482" s="32" t="str">
        <f>'Returns  Stats'!A482</f>
        <v>2022-11-30</v>
      </c>
      <c r="B482" s="35">
        <f>'MPT Optimisation'!$B$16*'Returns  Stats'!B482+'MPT Optimisation'!$B$17*'Returns  Stats'!C482+'MPT Optimisation'!$B$18*'Returns  Stats'!D482+'MPT Optimisation'!$B$19*'Returns  Stats'!E482</f>
        <v>2.534436071434017E-2</v>
      </c>
    </row>
    <row r="483" spans="1:2" ht="15" customHeight="1" x14ac:dyDescent="0.2">
      <c r="A483" s="32" t="str">
        <f>'Returns  Stats'!A483</f>
        <v>2022-12-01</v>
      </c>
      <c r="B483" s="35">
        <f>'MPT Optimisation'!$B$16*'Returns  Stats'!B483+'MPT Optimisation'!$B$17*'Returns  Stats'!C483+'MPT Optimisation'!$B$18*'Returns  Stats'!D483+'MPT Optimisation'!$B$19*'Returns  Stats'!E483</f>
        <v>3.5662277471880943E-3</v>
      </c>
    </row>
    <row r="484" spans="1:2" ht="15" customHeight="1" x14ac:dyDescent="0.2">
      <c r="A484" s="32" t="str">
        <f>'Returns  Stats'!A484</f>
        <v>2022-12-02</v>
      </c>
      <c r="B484" s="35">
        <f>'MPT Optimisation'!$B$16*'Returns  Stats'!B484+'MPT Optimisation'!$B$17*'Returns  Stats'!C484+'MPT Optimisation'!$B$18*'Returns  Stats'!D484+'MPT Optimisation'!$B$19*'Returns  Stats'!E484</f>
        <v>-7.2025602647206029E-4</v>
      </c>
    </row>
    <row r="485" spans="1:2" ht="15" customHeight="1" x14ac:dyDescent="0.2">
      <c r="A485" s="32" t="str">
        <f>'Returns  Stats'!A485</f>
        <v>2022-12-05</v>
      </c>
      <c r="B485" s="35">
        <f>'MPT Optimisation'!$B$16*'Returns  Stats'!B485+'MPT Optimisation'!$B$17*'Returns  Stats'!C485+'MPT Optimisation'!$B$18*'Returns  Stats'!D485+'MPT Optimisation'!$B$19*'Returns  Stats'!E485</f>
        <v>-1.7043158922435742E-2</v>
      </c>
    </row>
    <row r="486" spans="1:2" ht="15" customHeight="1" x14ac:dyDescent="0.2">
      <c r="A486" s="32" t="str">
        <f>'Returns  Stats'!A486</f>
        <v>2022-12-06</v>
      </c>
      <c r="B486" s="35">
        <f>'MPT Optimisation'!$B$16*'Returns  Stats'!B486+'MPT Optimisation'!$B$17*'Returns  Stats'!C486+'MPT Optimisation'!$B$18*'Returns  Stats'!D486+'MPT Optimisation'!$B$19*'Returns  Stats'!E486</f>
        <v>-1.067117302064537E-2</v>
      </c>
    </row>
    <row r="487" spans="1:2" ht="15" customHeight="1" x14ac:dyDescent="0.2">
      <c r="A487" s="32" t="str">
        <f>'Returns  Stats'!A487</f>
        <v>2022-12-07</v>
      </c>
      <c r="B487" s="35">
        <f>'MPT Optimisation'!$B$16*'Returns  Stats'!B487+'MPT Optimisation'!$B$17*'Returns  Stats'!C487+'MPT Optimisation'!$B$18*'Returns  Stats'!D487+'MPT Optimisation'!$B$19*'Returns  Stats'!E487</f>
        <v>-4.2953922474987523E-4</v>
      </c>
    </row>
    <row r="488" spans="1:2" ht="15" customHeight="1" x14ac:dyDescent="0.2">
      <c r="A488" s="32" t="str">
        <f>'Returns  Stats'!A488</f>
        <v>2022-12-08</v>
      </c>
      <c r="B488" s="35">
        <f>'MPT Optimisation'!$B$16*'Returns  Stats'!B488+'MPT Optimisation'!$B$17*'Returns  Stats'!C488+'MPT Optimisation'!$B$18*'Returns  Stats'!D488+'MPT Optimisation'!$B$19*'Returns  Stats'!E488</f>
        <v>6.9206278071014477E-3</v>
      </c>
    </row>
    <row r="489" spans="1:2" ht="15" customHeight="1" x14ac:dyDescent="0.2">
      <c r="A489" s="32" t="str">
        <f>'Returns  Stats'!A489</f>
        <v>2022-12-09</v>
      </c>
      <c r="B489" s="35">
        <f>'MPT Optimisation'!$B$16*'Returns  Stats'!B489+'MPT Optimisation'!$B$17*'Returns  Stats'!C489+'MPT Optimisation'!$B$18*'Returns  Stats'!D489+'MPT Optimisation'!$B$19*'Returns  Stats'!E489</f>
        <v>-5.2316520268134263E-3</v>
      </c>
    </row>
    <row r="490" spans="1:2" ht="15" customHeight="1" x14ac:dyDescent="0.2">
      <c r="A490" s="32" t="str">
        <f>'Returns  Stats'!A490</f>
        <v>2022-12-12</v>
      </c>
      <c r="B490" s="35">
        <f>'MPT Optimisation'!$B$16*'Returns  Stats'!B490+'MPT Optimisation'!$B$17*'Returns  Stats'!C490+'MPT Optimisation'!$B$18*'Returns  Stats'!D490+'MPT Optimisation'!$B$19*'Returns  Stats'!E490</f>
        <v>9.9237249541166417E-3</v>
      </c>
    </row>
    <row r="491" spans="1:2" ht="15" customHeight="1" x14ac:dyDescent="0.2">
      <c r="A491" s="32" t="str">
        <f>'Returns  Stats'!A491</f>
        <v>2022-12-13</v>
      </c>
      <c r="B491" s="35">
        <f>'MPT Optimisation'!$B$16*'Returns  Stats'!B491+'MPT Optimisation'!$B$17*'Returns  Stats'!C491+'MPT Optimisation'!$B$18*'Returns  Stats'!D491+'MPT Optimisation'!$B$19*'Returns  Stats'!E491</f>
        <v>9.9943333744146878E-3</v>
      </c>
    </row>
    <row r="492" spans="1:2" ht="15" customHeight="1" x14ac:dyDescent="0.2">
      <c r="A492" s="32" t="str">
        <f>'Returns  Stats'!A492</f>
        <v>2022-12-14</v>
      </c>
      <c r="B492" s="35">
        <f>'MPT Optimisation'!$B$16*'Returns  Stats'!B492+'MPT Optimisation'!$B$17*'Returns  Stats'!C492+'MPT Optimisation'!$B$18*'Returns  Stats'!D492+'MPT Optimisation'!$B$19*'Returns  Stats'!E492</f>
        <v>-3.8384901491333827E-3</v>
      </c>
    </row>
    <row r="493" spans="1:2" ht="15" customHeight="1" x14ac:dyDescent="0.2">
      <c r="A493" s="32" t="str">
        <f>'Returns  Stats'!A493</f>
        <v>2022-12-15</v>
      </c>
      <c r="B493" s="35">
        <f>'MPT Optimisation'!$B$16*'Returns  Stats'!B493+'MPT Optimisation'!$B$17*'Returns  Stats'!C493+'MPT Optimisation'!$B$18*'Returns  Stats'!D493+'MPT Optimisation'!$B$19*'Returns  Stats'!E493</f>
        <v>-2.3205532922277897E-2</v>
      </c>
    </row>
    <row r="494" spans="1:2" ht="15" customHeight="1" x14ac:dyDescent="0.2">
      <c r="A494" s="32" t="str">
        <f>'Returns  Stats'!A494</f>
        <v>2022-12-16</v>
      </c>
      <c r="B494" s="35">
        <f>'MPT Optimisation'!$B$16*'Returns  Stats'!B494+'MPT Optimisation'!$B$17*'Returns  Stats'!C494+'MPT Optimisation'!$B$18*'Returns  Stats'!D494+'MPT Optimisation'!$B$19*'Returns  Stats'!E494</f>
        <v>-1.0922794326302132E-2</v>
      </c>
    </row>
    <row r="495" spans="1:2" ht="15" customHeight="1" x14ac:dyDescent="0.2">
      <c r="A495" s="32" t="str">
        <f>'Returns  Stats'!A495</f>
        <v>2022-12-19</v>
      </c>
      <c r="B495" s="35">
        <f>'MPT Optimisation'!$B$16*'Returns  Stats'!B495+'MPT Optimisation'!$B$17*'Returns  Stats'!C495+'MPT Optimisation'!$B$18*'Returns  Stats'!D495+'MPT Optimisation'!$B$19*'Returns  Stats'!E495</f>
        <v>-7.7177471372226027E-3</v>
      </c>
    </row>
    <row r="496" spans="1:2" ht="15" customHeight="1" x14ac:dyDescent="0.2">
      <c r="A496" s="32" t="str">
        <f>'Returns  Stats'!A496</f>
        <v>2022-12-20</v>
      </c>
      <c r="B496" s="35">
        <f>'MPT Optimisation'!$B$16*'Returns  Stats'!B496+'MPT Optimisation'!$B$17*'Returns  Stats'!C496+'MPT Optimisation'!$B$18*'Returns  Stats'!D496+'MPT Optimisation'!$B$19*'Returns  Stats'!E496</f>
        <v>1.9875829438745383E-3</v>
      </c>
    </row>
    <row r="497" spans="1:2" ht="15" customHeight="1" x14ac:dyDescent="0.2">
      <c r="A497" s="32" t="str">
        <f>'Returns  Stats'!A497</f>
        <v>2022-12-21</v>
      </c>
      <c r="B497" s="35">
        <f>'MPT Optimisation'!$B$16*'Returns  Stats'!B497+'MPT Optimisation'!$B$17*'Returns  Stats'!C497+'MPT Optimisation'!$B$18*'Returns  Stats'!D497+'MPT Optimisation'!$B$19*'Returns  Stats'!E497</f>
        <v>1.2751290337698529E-2</v>
      </c>
    </row>
    <row r="498" spans="1:2" ht="15" customHeight="1" x14ac:dyDescent="0.2">
      <c r="A498" s="32" t="str">
        <f>'Returns  Stats'!A498</f>
        <v>2022-12-22</v>
      </c>
      <c r="B498" s="35">
        <f>'MPT Optimisation'!$B$16*'Returns  Stats'!B498+'MPT Optimisation'!$B$17*'Returns  Stats'!C498+'MPT Optimisation'!$B$18*'Returns  Stats'!D498+'MPT Optimisation'!$B$19*'Returns  Stats'!E498</f>
        <v>-1.118263889432276E-2</v>
      </c>
    </row>
    <row r="499" spans="1:2" ht="15" customHeight="1" x14ac:dyDescent="0.2">
      <c r="A499" s="32" t="str">
        <f>'Returns  Stats'!A499</f>
        <v>2022-12-23</v>
      </c>
      <c r="B499" s="35">
        <f>'MPT Optimisation'!$B$16*'Returns  Stats'!B499+'MPT Optimisation'!$B$17*'Returns  Stats'!C499+'MPT Optimisation'!$B$18*'Returns  Stats'!D499+'MPT Optimisation'!$B$19*'Returns  Stats'!E499</f>
        <v>4.632389285895871E-3</v>
      </c>
    </row>
    <row r="500" spans="1:2" ht="15" customHeight="1" x14ac:dyDescent="0.2">
      <c r="A500" s="32" t="str">
        <f>'Returns  Stats'!A500</f>
        <v>2022-12-27</v>
      </c>
      <c r="B500" s="35">
        <f>'MPT Optimisation'!$B$16*'Returns  Stats'!B500+'MPT Optimisation'!$B$17*'Returns  Stats'!C500+'MPT Optimisation'!$B$18*'Returns  Stats'!D500+'MPT Optimisation'!$B$19*'Returns  Stats'!E500</f>
        <v>-2.4327162660724377E-3</v>
      </c>
    </row>
    <row r="501" spans="1:2" ht="15" customHeight="1" x14ac:dyDescent="0.2">
      <c r="A501" s="32" t="str">
        <f>'Returns  Stats'!A501</f>
        <v>2022-12-28</v>
      </c>
      <c r="B501" s="35">
        <f>'MPT Optimisation'!$B$16*'Returns  Stats'!B501+'MPT Optimisation'!$B$17*'Returns  Stats'!C501+'MPT Optimisation'!$B$18*'Returns  Stats'!D501+'MPT Optimisation'!$B$19*'Returns  Stats'!E501</f>
        <v>-1.167651509846766E-2</v>
      </c>
    </row>
    <row r="502" spans="1:2" ht="15" customHeight="1" x14ac:dyDescent="0.2">
      <c r="A502" s="32" t="str">
        <f>'Returns  Stats'!A502</f>
        <v>2022-12-29</v>
      </c>
      <c r="B502" s="35">
        <f>'MPT Optimisation'!$B$16*'Returns  Stats'!B502+'MPT Optimisation'!$B$17*'Returns  Stats'!C502+'MPT Optimisation'!$B$18*'Returns  Stats'!D502+'MPT Optimisation'!$B$19*'Returns  Stats'!E502</f>
        <v>1.7042572552912319E-2</v>
      </c>
    </row>
    <row r="503" spans="1:2" ht="15" customHeight="1" x14ac:dyDescent="0.2">
      <c r="A503" s="32" t="str">
        <f>'Returns  Stats'!A503</f>
        <v>2022-12-30</v>
      </c>
      <c r="B503" s="35">
        <f>'MPT Optimisation'!$B$16*'Returns  Stats'!B503+'MPT Optimisation'!$B$17*'Returns  Stats'!C503+'MPT Optimisation'!$B$18*'Returns  Stats'!D503+'MPT Optimisation'!$B$19*'Returns  Stats'!E503</f>
        <v>-5.2068942537643647E-3</v>
      </c>
    </row>
    <row r="504" spans="1:2" ht="15" customHeight="1" x14ac:dyDescent="0.2">
      <c r="A504" s="32" t="str">
        <f>'Returns  Stats'!A504</f>
        <v>2023-01-03</v>
      </c>
      <c r="B504" s="35">
        <f>'MPT Optimisation'!$B$16*'Returns  Stats'!B504+'MPT Optimisation'!$B$17*'Returns  Stats'!C504+'MPT Optimisation'!$B$18*'Returns  Stats'!D504+'MPT Optimisation'!$B$19*'Returns  Stats'!E504</f>
        <v>5.4534380127126971E-4</v>
      </c>
    </row>
    <row r="505" spans="1:2" ht="15" customHeight="1" x14ac:dyDescent="0.2">
      <c r="A505" s="32" t="str">
        <f>'Returns  Stats'!A505</f>
        <v>2023-01-04</v>
      </c>
      <c r="B505" s="35">
        <f>'MPT Optimisation'!$B$16*'Returns  Stats'!B505+'MPT Optimisation'!$B$17*'Returns  Stats'!C505+'MPT Optimisation'!$B$18*'Returns  Stats'!D505+'MPT Optimisation'!$B$19*'Returns  Stats'!E505</f>
        <v>1.0721271496119953E-2</v>
      </c>
    </row>
    <row r="506" spans="1:2" ht="15" customHeight="1" x14ac:dyDescent="0.2">
      <c r="A506" s="32" t="str">
        <f>'Returns  Stats'!A506</f>
        <v>2023-01-05</v>
      </c>
      <c r="B506" s="35">
        <f>'MPT Optimisation'!$B$16*'Returns  Stats'!B506+'MPT Optimisation'!$B$17*'Returns  Stats'!C506+'MPT Optimisation'!$B$18*'Returns  Stats'!D506+'MPT Optimisation'!$B$19*'Returns  Stats'!E506</f>
        <v>-1.1408138795224764E-2</v>
      </c>
    </row>
    <row r="507" spans="1:2" ht="15" customHeight="1" x14ac:dyDescent="0.2">
      <c r="A507" s="32" t="str">
        <f>'Returns  Stats'!A507</f>
        <v>2023-01-06</v>
      </c>
      <c r="B507" s="35">
        <f>'MPT Optimisation'!$B$16*'Returns  Stats'!B507+'MPT Optimisation'!$B$17*'Returns  Stats'!C507+'MPT Optimisation'!$B$18*'Returns  Stats'!D507+'MPT Optimisation'!$B$19*'Returns  Stats'!E507</f>
        <v>2.2809927857274159E-2</v>
      </c>
    </row>
    <row r="508" spans="1:2" ht="15" customHeight="1" x14ac:dyDescent="0.2">
      <c r="A508" s="32" t="str">
        <f>'Returns  Stats'!A508</f>
        <v>2023-01-09</v>
      </c>
      <c r="B508" s="35">
        <f>'MPT Optimisation'!$B$16*'Returns  Stats'!B508+'MPT Optimisation'!$B$17*'Returns  Stats'!C508+'MPT Optimisation'!$B$18*'Returns  Stats'!D508+'MPT Optimisation'!$B$19*'Returns  Stats'!E508</f>
        <v>1.66835571786188E-3</v>
      </c>
    </row>
    <row r="509" spans="1:2" ht="15" customHeight="1" x14ac:dyDescent="0.2">
      <c r="A509" s="32" t="str">
        <f>'Returns  Stats'!A509</f>
        <v>2023-01-10</v>
      </c>
      <c r="B509" s="35">
        <f>'MPT Optimisation'!$B$16*'Returns  Stats'!B509+'MPT Optimisation'!$B$17*'Returns  Stats'!C509+'MPT Optimisation'!$B$18*'Returns  Stats'!D509+'MPT Optimisation'!$B$19*'Returns  Stats'!E509</f>
        <v>5.5272618726519606E-3</v>
      </c>
    </row>
    <row r="510" spans="1:2" ht="15" customHeight="1" x14ac:dyDescent="0.2">
      <c r="A510" s="32" t="str">
        <f>'Returns  Stats'!A510</f>
        <v>2023-01-11</v>
      </c>
      <c r="B510" s="35">
        <f>'MPT Optimisation'!$B$16*'Returns  Stats'!B510+'MPT Optimisation'!$B$17*'Returns  Stats'!C510+'MPT Optimisation'!$B$18*'Returns  Stats'!D510+'MPT Optimisation'!$B$19*'Returns  Stats'!E510</f>
        <v>1.2284695800026779E-2</v>
      </c>
    </row>
    <row r="511" spans="1:2" ht="15" customHeight="1" x14ac:dyDescent="0.2">
      <c r="A511" s="32" t="str">
        <f>'Returns  Stats'!A511</f>
        <v>2023-01-12</v>
      </c>
      <c r="B511" s="35">
        <f>'MPT Optimisation'!$B$16*'Returns  Stats'!B511+'MPT Optimisation'!$B$17*'Returns  Stats'!C511+'MPT Optimisation'!$B$18*'Returns  Stats'!D511+'MPT Optimisation'!$B$19*'Returns  Stats'!E511</f>
        <v>8.3265055086378711E-3</v>
      </c>
    </row>
    <row r="512" spans="1:2" ht="15" customHeight="1" x14ac:dyDescent="0.2">
      <c r="A512" s="32" t="str">
        <f>'Returns  Stats'!A512</f>
        <v>2023-01-13</v>
      </c>
      <c r="B512" s="35">
        <f>'MPT Optimisation'!$B$16*'Returns  Stats'!B512+'MPT Optimisation'!$B$17*'Returns  Stats'!C512+'MPT Optimisation'!$B$18*'Returns  Stats'!D512+'MPT Optimisation'!$B$19*'Returns  Stats'!E512</f>
        <v>3.6480988773483708E-3</v>
      </c>
    </row>
    <row r="513" spans="1:2" ht="15" customHeight="1" x14ac:dyDescent="0.2">
      <c r="A513" s="32" t="str">
        <f>'Returns  Stats'!A513</f>
        <v>2023-01-17</v>
      </c>
      <c r="B513" s="35">
        <f>'MPT Optimisation'!$B$16*'Returns  Stats'!B513+'MPT Optimisation'!$B$17*'Returns  Stats'!C513+'MPT Optimisation'!$B$18*'Returns  Stats'!D513+'MPT Optimisation'!$B$19*'Returns  Stats'!E513</f>
        <v>1.7755223340764064E-4</v>
      </c>
    </row>
    <row r="514" spans="1:2" ht="15" customHeight="1" x14ac:dyDescent="0.2">
      <c r="A514" s="32" t="str">
        <f>'Returns  Stats'!A514</f>
        <v>2023-01-18</v>
      </c>
      <c r="B514" s="35">
        <f>'MPT Optimisation'!$B$16*'Returns  Stats'!B514+'MPT Optimisation'!$B$17*'Returns  Stats'!C514+'MPT Optimisation'!$B$18*'Returns  Stats'!D514+'MPT Optimisation'!$B$19*'Returns  Stats'!E514</f>
        <v>-1.0753982716028242E-2</v>
      </c>
    </row>
    <row r="515" spans="1:2" ht="15" customHeight="1" x14ac:dyDescent="0.2">
      <c r="A515" s="32" t="str">
        <f>'Returns  Stats'!A515</f>
        <v>2023-01-19</v>
      </c>
      <c r="B515" s="35">
        <f>'MPT Optimisation'!$B$16*'Returns  Stats'!B515+'MPT Optimisation'!$B$17*'Returns  Stats'!C515+'MPT Optimisation'!$B$18*'Returns  Stats'!D515+'MPT Optimisation'!$B$19*'Returns  Stats'!E515</f>
        <v>-5.7402990866593949E-3</v>
      </c>
    </row>
    <row r="516" spans="1:2" ht="15" customHeight="1" x14ac:dyDescent="0.2">
      <c r="A516" s="32" t="str">
        <f>'Returns  Stats'!A516</f>
        <v>2023-01-20</v>
      </c>
      <c r="B516" s="35">
        <f>'MPT Optimisation'!$B$16*'Returns  Stats'!B516+'MPT Optimisation'!$B$17*'Returns  Stats'!C516+'MPT Optimisation'!$B$18*'Returns  Stats'!D516+'MPT Optimisation'!$B$19*'Returns  Stats'!E516</f>
        <v>1.4539313577070605E-2</v>
      </c>
    </row>
    <row r="517" spans="1:2" ht="15" customHeight="1" x14ac:dyDescent="0.2">
      <c r="A517" s="32" t="str">
        <f>'Returns  Stats'!A517</f>
        <v>2023-01-23</v>
      </c>
      <c r="B517" s="35">
        <f>'MPT Optimisation'!$B$16*'Returns  Stats'!B517+'MPT Optimisation'!$B$17*'Returns  Stats'!C517+'MPT Optimisation'!$B$18*'Returns  Stats'!D517+'MPT Optimisation'!$B$19*'Returns  Stats'!E517</f>
        <v>8.9354901241479011E-3</v>
      </c>
    </row>
    <row r="518" spans="1:2" ht="15" customHeight="1" x14ac:dyDescent="0.2">
      <c r="A518" s="32" t="str">
        <f>'Returns  Stats'!A518</f>
        <v>2023-01-24</v>
      </c>
      <c r="B518" s="35">
        <f>'MPT Optimisation'!$B$16*'Returns  Stats'!B518+'MPT Optimisation'!$B$17*'Returns  Stats'!C518+'MPT Optimisation'!$B$18*'Returns  Stats'!D518+'MPT Optimisation'!$B$19*'Returns  Stats'!E518</f>
        <v>-1.0171938245842837E-3</v>
      </c>
    </row>
    <row r="519" spans="1:2" ht="15" customHeight="1" x14ac:dyDescent="0.2">
      <c r="A519" s="32" t="str">
        <f>'Returns  Stats'!A519</f>
        <v>2023-01-25</v>
      </c>
      <c r="B519" s="35">
        <f>'MPT Optimisation'!$B$16*'Returns  Stats'!B519+'MPT Optimisation'!$B$17*'Returns  Stats'!C519+'MPT Optimisation'!$B$18*'Returns  Stats'!D519+'MPT Optimisation'!$B$19*'Returns  Stats'!E519</f>
        <v>2.3611933205686659E-3</v>
      </c>
    </row>
    <row r="520" spans="1:2" ht="15" customHeight="1" x14ac:dyDescent="0.2">
      <c r="A520" s="32" t="str">
        <f>'Returns  Stats'!A520</f>
        <v>2023-01-26</v>
      </c>
      <c r="B520" s="35">
        <f>'MPT Optimisation'!$B$16*'Returns  Stats'!B520+'MPT Optimisation'!$B$17*'Returns  Stats'!C520+'MPT Optimisation'!$B$18*'Returns  Stats'!D520+'MPT Optimisation'!$B$19*'Returns  Stats'!E520</f>
        <v>6.9042581554761952E-3</v>
      </c>
    </row>
    <row r="521" spans="1:2" ht="15" customHeight="1" x14ac:dyDescent="0.2">
      <c r="A521" s="32" t="str">
        <f>'Returns  Stats'!A521</f>
        <v>2023-01-27</v>
      </c>
      <c r="B521" s="35">
        <f>'MPT Optimisation'!$B$16*'Returns  Stats'!B521+'MPT Optimisation'!$B$17*'Returns  Stats'!C521+'MPT Optimisation'!$B$18*'Returns  Stats'!D521+'MPT Optimisation'!$B$19*'Returns  Stats'!E521</f>
        <v>2.3215498455457836E-3</v>
      </c>
    </row>
    <row r="522" spans="1:2" ht="15" customHeight="1" x14ac:dyDescent="0.2">
      <c r="A522" s="32" t="str">
        <f>'Returns  Stats'!A522</f>
        <v>2023-01-30</v>
      </c>
      <c r="B522" s="35">
        <f>'MPT Optimisation'!$B$16*'Returns  Stats'!B522+'MPT Optimisation'!$B$17*'Returns  Stats'!C522+'MPT Optimisation'!$B$18*'Returns  Stats'!D522+'MPT Optimisation'!$B$19*'Returns  Stats'!E522</f>
        <v>-1.0730451216698798E-2</v>
      </c>
    </row>
    <row r="523" spans="1:2" ht="15" customHeight="1" x14ac:dyDescent="0.2">
      <c r="A523" s="32" t="str">
        <f>'Returns  Stats'!A523</f>
        <v>2023-01-31</v>
      </c>
      <c r="B523" s="35">
        <f>'MPT Optimisation'!$B$16*'Returns  Stats'!B523+'MPT Optimisation'!$B$17*'Returns  Stats'!C523+'MPT Optimisation'!$B$18*'Returns  Stats'!D523+'MPT Optimisation'!$B$19*'Returns  Stats'!E523</f>
        <v>1.2584624989957148E-2</v>
      </c>
    </row>
    <row r="524" spans="1:2" ht="15" customHeight="1" x14ac:dyDescent="0.2">
      <c r="A524" s="32" t="str">
        <f>'Returns  Stats'!A524</f>
        <v>2023-02-01</v>
      </c>
      <c r="B524" s="35">
        <f>'MPT Optimisation'!$B$16*'Returns  Stats'!B524+'MPT Optimisation'!$B$17*'Returns  Stats'!C524+'MPT Optimisation'!$B$18*'Returns  Stats'!D524+'MPT Optimisation'!$B$19*'Returns  Stats'!E524</f>
        <v>1.0651576901045878E-2</v>
      </c>
    </row>
    <row r="525" spans="1:2" ht="15" customHeight="1" x14ac:dyDescent="0.2">
      <c r="A525" s="32" t="str">
        <f>'Returns  Stats'!A525</f>
        <v>2023-02-02</v>
      </c>
      <c r="B525" s="35">
        <f>'MPT Optimisation'!$B$16*'Returns  Stats'!B525+'MPT Optimisation'!$B$17*'Returns  Stats'!C525+'MPT Optimisation'!$B$18*'Returns  Stats'!D525+'MPT Optimisation'!$B$19*'Returns  Stats'!E525</f>
        <v>9.7341863519759819E-3</v>
      </c>
    </row>
    <row r="526" spans="1:2" ht="15" customHeight="1" x14ac:dyDescent="0.2">
      <c r="A526" s="32" t="str">
        <f>'Returns  Stats'!A526</f>
        <v>2023-02-03</v>
      </c>
      <c r="B526" s="35">
        <f>'MPT Optimisation'!$B$16*'Returns  Stats'!B526+'MPT Optimisation'!$B$17*'Returns  Stats'!C526+'MPT Optimisation'!$B$18*'Returns  Stats'!D526+'MPT Optimisation'!$B$19*'Returns  Stats'!E526</f>
        <v>-1.0408262532583496E-2</v>
      </c>
    </row>
    <row r="527" spans="1:2" ht="15" customHeight="1" x14ac:dyDescent="0.2">
      <c r="A527" s="32" t="str">
        <f>'Returns  Stats'!A527</f>
        <v>2023-02-06</v>
      </c>
      <c r="B527" s="35">
        <f>'MPT Optimisation'!$B$16*'Returns  Stats'!B527+'MPT Optimisation'!$B$17*'Returns  Stats'!C527+'MPT Optimisation'!$B$18*'Returns  Stats'!D527+'MPT Optimisation'!$B$19*'Returns  Stats'!E527</f>
        <v>-8.2097149883949231E-3</v>
      </c>
    </row>
    <row r="528" spans="1:2" ht="15" customHeight="1" x14ac:dyDescent="0.2">
      <c r="A528" s="32" t="str">
        <f>'Returns  Stats'!A528</f>
        <v>2023-02-07</v>
      </c>
      <c r="B528" s="35">
        <f>'MPT Optimisation'!$B$16*'Returns  Stats'!B528+'MPT Optimisation'!$B$17*'Returns  Stats'!C528+'MPT Optimisation'!$B$18*'Returns  Stats'!D528+'MPT Optimisation'!$B$19*'Returns  Stats'!E528</f>
        <v>9.913652201031414E-3</v>
      </c>
    </row>
    <row r="529" spans="1:2" ht="15" customHeight="1" x14ac:dyDescent="0.2">
      <c r="A529" s="32" t="str">
        <f>'Returns  Stats'!A529</f>
        <v>2023-02-08</v>
      </c>
      <c r="B529" s="35">
        <f>'MPT Optimisation'!$B$16*'Returns  Stats'!B529+'MPT Optimisation'!$B$17*'Returns  Stats'!C529+'MPT Optimisation'!$B$18*'Returns  Stats'!D529+'MPT Optimisation'!$B$19*'Returns  Stats'!E529</f>
        <v>-8.4227678335562703E-3</v>
      </c>
    </row>
    <row r="530" spans="1:2" ht="15" customHeight="1" x14ac:dyDescent="0.2">
      <c r="A530" s="32" t="str">
        <f>'Returns  Stats'!A530</f>
        <v>2023-02-09</v>
      </c>
      <c r="B530" s="35">
        <f>'MPT Optimisation'!$B$16*'Returns  Stats'!B530+'MPT Optimisation'!$B$17*'Returns  Stats'!C530+'MPT Optimisation'!$B$18*'Returns  Stats'!D530+'MPT Optimisation'!$B$19*'Returns  Stats'!E530</f>
        <v>-6.0279342904470522E-3</v>
      </c>
    </row>
    <row r="531" spans="1:2" ht="15" customHeight="1" x14ac:dyDescent="0.2">
      <c r="A531" s="32" t="str">
        <f>'Returns  Stats'!A531</f>
        <v>2023-02-10</v>
      </c>
      <c r="B531" s="35">
        <f>'MPT Optimisation'!$B$16*'Returns  Stats'!B531+'MPT Optimisation'!$B$17*'Returns  Stats'!C531+'MPT Optimisation'!$B$18*'Returns  Stats'!D531+'MPT Optimisation'!$B$19*'Returns  Stats'!E531</f>
        <v>-2.7002875241316504E-4</v>
      </c>
    </row>
    <row r="532" spans="1:2" ht="15" customHeight="1" x14ac:dyDescent="0.2">
      <c r="A532" s="32" t="str">
        <f>'Returns  Stats'!A532</f>
        <v>2023-02-13</v>
      </c>
      <c r="B532" s="35">
        <f>'MPT Optimisation'!$B$16*'Returns  Stats'!B532+'MPT Optimisation'!$B$17*'Returns  Stats'!C532+'MPT Optimisation'!$B$18*'Returns  Stats'!D532+'MPT Optimisation'!$B$19*'Returns  Stats'!E532</f>
        <v>1.0752167959632309E-2</v>
      </c>
    </row>
    <row r="533" spans="1:2" ht="15" customHeight="1" x14ac:dyDescent="0.2">
      <c r="A533" s="32" t="str">
        <f>'Returns  Stats'!A533</f>
        <v>2023-02-14</v>
      </c>
      <c r="B533" s="35">
        <f>'MPT Optimisation'!$B$16*'Returns  Stats'!B533+'MPT Optimisation'!$B$17*'Returns  Stats'!C533+'MPT Optimisation'!$B$18*'Returns  Stats'!D533+'MPT Optimisation'!$B$19*'Returns  Stats'!E533</f>
        <v>2.0387905674411051E-4</v>
      </c>
    </row>
    <row r="534" spans="1:2" ht="15" customHeight="1" x14ac:dyDescent="0.2">
      <c r="A534" s="32" t="str">
        <f>'Returns  Stats'!A534</f>
        <v>2023-02-15</v>
      </c>
      <c r="B534" s="35">
        <f>'MPT Optimisation'!$B$16*'Returns  Stats'!B534+'MPT Optimisation'!$B$17*'Returns  Stats'!C534+'MPT Optimisation'!$B$18*'Returns  Stats'!D534+'MPT Optimisation'!$B$19*'Returns  Stats'!E534</f>
        <v>1.4496448910810977E-3</v>
      </c>
    </row>
    <row r="535" spans="1:2" ht="15" customHeight="1" x14ac:dyDescent="0.2">
      <c r="A535" s="32" t="str">
        <f>'Returns  Stats'!A535</f>
        <v>2023-02-16</v>
      </c>
      <c r="B535" s="35">
        <f>'MPT Optimisation'!$B$16*'Returns  Stats'!B535+'MPT Optimisation'!$B$17*'Returns  Stats'!C535+'MPT Optimisation'!$B$18*'Returns  Stats'!D535+'MPT Optimisation'!$B$19*'Returns  Stats'!E535</f>
        <v>-1.0172082002198667E-2</v>
      </c>
    </row>
    <row r="536" spans="1:2" ht="15" customHeight="1" x14ac:dyDescent="0.2">
      <c r="A536" s="32" t="str">
        <f>'Returns  Stats'!A536</f>
        <v>2023-02-17</v>
      </c>
      <c r="B536" s="35">
        <f>'MPT Optimisation'!$B$16*'Returns  Stats'!B536+'MPT Optimisation'!$B$17*'Returns  Stats'!C536+'MPT Optimisation'!$B$18*'Returns  Stats'!D536+'MPT Optimisation'!$B$19*'Returns  Stats'!E536</f>
        <v>-1.0657564169349652E-3</v>
      </c>
    </row>
    <row r="537" spans="1:2" ht="15" customHeight="1" x14ac:dyDescent="0.2">
      <c r="A537" s="32" t="str">
        <f>'Returns  Stats'!A537</f>
        <v>2023-02-21</v>
      </c>
      <c r="B537" s="35">
        <f>'MPT Optimisation'!$B$16*'Returns  Stats'!B537+'MPT Optimisation'!$B$17*'Returns  Stats'!C537+'MPT Optimisation'!$B$18*'Returns  Stats'!D537+'MPT Optimisation'!$B$19*'Returns  Stats'!E537</f>
        <v>-1.7202126873090785E-2</v>
      </c>
    </row>
    <row r="538" spans="1:2" ht="15" customHeight="1" x14ac:dyDescent="0.2">
      <c r="A538" s="32" t="str">
        <f>'Returns  Stats'!A538</f>
        <v>2023-02-22</v>
      </c>
      <c r="B538" s="35">
        <f>'MPT Optimisation'!$B$16*'Returns  Stats'!B538+'MPT Optimisation'!$B$17*'Returns  Stats'!C538+'MPT Optimisation'!$B$18*'Returns  Stats'!D538+'MPT Optimisation'!$B$19*'Returns  Stats'!E538</f>
        <v>-2.4918085281454834E-3</v>
      </c>
    </row>
    <row r="539" spans="1:2" ht="15" customHeight="1" x14ac:dyDescent="0.2">
      <c r="A539" s="32" t="str">
        <f>'Returns  Stats'!A539</f>
        <v>2023-02-23</v>
      </c>
      <c r="B539" s="35">
        <f>'MPT Optimisation'!$B$16*'Returns  Stats'!B539+'MPT Optimisation'!$B$17*'Returns  Stats'!C539+'MPT Optimisation'!$B$18*'Returns  Stats'!D539+'MPT Optimisation'!$B$19*'Returns  Stats'!E539</f>
        <v>5.3007477748822857E-3</v>
      </c>
    </row>
    <row r="540" spans="1:2" ht="15" customHeight="1" x14ac:dyDescent="0.2">
      <c r="A540" s="32" t="str">
        <f>'Returns  Stats'!A540</f>
        <v>2023-02-24</v>
      </c>
      <c r="B540" s="35">
        <f>'MPT Optimisation'!$B$16*'Returns  Stats'!B540+'MPT Optimisation'!$B$17*'Returns  Stats'!C540+'MPT Optimisation'!$B$18*'Returns  Stats'!D540+'MPT Optimisation'!$B$19*'Returns  Stats'!E540</f>
        <v>-1.2854898219059897E-2</v>
      </c>
    </row>
    <row r="541" spans="1:2" ht="15" customHeight="1" x14ac:dyDescent="0.2">
      <c r="A541" s="32" t="str">
        <f>'Returns  Stats'!A541</f>
        <v>2023-02-27</v>
      </c>
      <c r="B541" s="35">
        <f>'MPT Optimisation'!$B$16*'Returns  Stats'!B541+'MPT Optimisation'!$B$17*'Returns  Stats'!C541+'MPT Optimisation'!$B$18*'Returns  Stats'!D541+'MPT Optimisation'!$B$19*'Returns  Stats'!E541</f>
        <v>5.8723408299831588E-3</v>
      </c>
    </row>
    <row r="542" spans="1:2" ht="15" customHeight="1" x14ac:dyDescent="0.2">
      <c r="A542" s="32" t="str">
        <f>'Returns  Stats'!A542</f>
        <v>2023-02-28</v>
      </c>
      <c r="B542" s="35">
        <f>'MPT Optimisation'!$B$16*'Returns  Stats'!B542+'MPT Optimisation'!$B$17*'Returns  Stats'!C542+'MPT Optimisation'!$B$18*'Returns  Stats'!D542+'MPT Optimisation'!$B$19*'Returns  Stats'!E542</f>
        <v>-4.2732079373058894E-3</v>
      </c>
    </row>
    <row r="543" spans="1:2" ht="15" customHeight="1" x14ac:dyDescent="0.2">
      <c r="A543" s="32" t="str">
        <f>'Returns  Stats'!A543</f>
        <v>2023-03-01</v>
      </c>
      <c r="B543" s="35">
        <f>'MPT Optimisation'!$B$16*'Returns  Stats'!B543+'MPT Optimisation'!$B$17*'Returns  Stats'!C543+'MPT Optimisation'!$B$18*'Returns  Stats'!D543+'MPT Optimisation'!$B$19*'Returns  Stats'!E543</f>
        <v>2.1277430986625045E-3</v>
      </c>
    </row>
    <row r="544" spans="1:2" ht="15" customHeight="1" x14ac:dyDescent="0.2">
      <c r="A544" s="32" t="str">
        <f>'Returns  Stats'!A544</f>
        <v>2023-03-02</v>
      </c>
      <c r="B544" s="35">
        <f>'MPT Optimisation'!$B$16*'Returns  Stats'!B544+'MPT Optimisation'!$B$17*'Returns  Stats'!C544+'MPT Optimisation'!$B$18*'Returns  Stats'!D544+'MPT Optimisation'!$B$19*'Returns  Stats'!E544</f>
        <v>2.013608141717521E-3</v>
      </c>
    </row>
    <row r="545" spans="1:2" ht="15" customHeight="1" x14ac:dyDescent="0.2">
      <c r="A545" s="32" t="str">
        <f>'Returns  Stats'!A545</f>
        <v>2023-03-03</v>
      </c>
      <c r="B545" s="35">
        <f>'MPT Optimisation'!$B$16*'Returns  Stats'!B545+'MPT Optimisation'!$B$17*'Returns  Stats'!C545+'MPT Optimisation'!$B$18*'Returns  Stats'!D545+'MPT Optimisation'!$B$19*'Returns  Stats'!E545</f>
        <v>1.5298675569134911E-2</v>
      </c>
    </row>
    <row r="546" spans="1:2" ht="15" customHeight="1" x14ac:dyDescent="0.2">
      <c r="A546" s="32" t="str">
        <f>'Returns  Stats'!A546</f>
        <v>2023-03-06</v>
      </c>
      <c r="B546" s="35">
        <f>'MPT Optimisation'!$B$16*'Returns  Stats'!B546+'MPT Optimisation'!$B$17*'Returns  Stats'!C546+'MPT Optimisation'!$B$18*'Returns  Stats'!D546+'MPT Optimisation'!$B$19*'Returns  Stats'!E546</f>
        <v>-1.8769714461717103E-3</v>
      </c>
    </row>
    <row r="547" spans="1:2" ht="15" customHeight="1" x14ac:dyDescent="0.2">
      <c r="A547" s="32" t="str">
        <f>'Returns  Stats'!A547</f>
        <v>2023-03-07</v>
      </c>
      <c r="B547" s="35">
        <f>'MPT Optimisation'!$B$16*'Returns  Stats'!B547+'MPT Optimisation'!$B$17*'Returns  Stats'!C547+'MPT Optimisation'!$B$18*'Returns  Stats'!D547+'MPT Optimisation'!$B$19*'Returns  Stats'!E547</f>
        <v>-1.5182874721049221E-2</v>
      </c>
    </row>
    <row r="548" spans="1:2" ht="15" customHeight="1" x14ac:dyDescent="0.2">
      <c r="A548" s="32" t="str">
        <f>'Returns  Stats'!A548</f>
        <v>2023-03-08</v>
      </c>
      <c r="B548" s="35">
        <f>'MPT Optimisation'!$B$16*'Returns  Stats'!B548+'MPT Optimisation'!$B$17*'Returns  Stats'!C548+'MPT Optimisation'!$B$18*'Returns  Stats'!D548+'MPT Optimisation'!$B$19*'Returns  Stats'!E548</f>
        <v>2.9405137522826694E-3</v>
      </c>
    </row>
    <row r="549" spans="1:2" ht="15" customHeight="1" x14ac:dyDescent="0.2">
      <c r="A549" s="32" t="str">
        <f>'Returns  Stats'!A549</f>
        <v>2023-03-09</v>
      </c>
      <c r="B549" s="35">
        <f>'MPT Optimisation'!$B$16*'Returns  Stats'!B549+'MPT Optimisation'!$B$17*'Returns  Stats'!C549+'MPT Optimisation'!$B$18*'Returns  Stats'!D549+'MPT Optimisation'!$B$19*'Returns  Stats'!E549</f>
        <v>-1.5002007985819205E-2</v>
      </c>
    </row>
    <row r="550" spans="1:2" ht="15" customHeight="1" x14ac:dyDescent="0.2">
      <c r="A550" s="32" t="str">
        <f>'Returns  Stats'!A550</f>
        <v>2023-03-10</v>
      </c>
      <c r="B550" s="35">
        <f>'MPT Optimisation'!$B$16*'Returns  Stats'!B550+'MPT Optimisation'!$B$17*'Returns  Stats'!C550+'MPT Optimisation'!$B$18*'Returns  Stats'!D550+'MPT Optimisation'!$B$19*'Returns  Stats'!E550</f>
        <v>-1.4377016250318729E-2</v>
      </c>
    </row>
    <row r="551" spans="1:2" ht="15" customHeight="1" x14ac:dyDescent="0.2">
      <c r="A551" s="32" t="str">
        <f>'Returns  Stats'!A551</f>
        <v>2023-03-13</v>
      </c>
      <c r="B551" s="35">
        <f>'MPT Optimisation'!$B$16*'Returns  Stats'!B551+'MPT Optimisation'!$B$17*'Returns  Stats'!C551+'MPT Optimisation'!$B$18*'Returns  Stats'!D551+'MPT Optimisation'!$B$19*'Returns  Stats'!E551</f>
        <v>-3.4840745759259772E-3</v>
      </c>
    </row>
    <row r="552" spans="1:2" ht="15" customHeight="1" x14ac:dyDescent="0.2">
      <c r="A552" s="32" t="str">
        <f>'Returns  Stats'!A552</f>
        <v>2023-03-14</v>
      </c>
      <c r="B552" s="35">
        <f>'MPT Optimisation'!$B$16*'Returns  Stats'!B552+'MPT Optimisation'!$B$17*'Returns  Stats'!C552+'MPT Optimisation'!$B$18*'Returns  Stats'!D552+'MPT Optimisation'!$B$19*'Returns  Stats'!E552</f>
        <v>1.4886356950583162E-2</v>
      </c>
    </row>
    <row r="553" spans="1:2" ht="15" customHeight="1" x14ac:dyDescent="0.2">
      <c r="A553" s="32" t="str">
        <f>'Returns  Stats'!A553</f>
        <v>2023-03-15</v>
      </c>
      <c r="B553" s="35">
        <f>'MPT Optimisation'!$B$16*'Returns  Stats'!B553+'MPT Optimisation'!$B$17*'Returns  Stats'!C553+'MPT Optimisation'!$B$18*'Returns  Stats'!D553+'MPT Optimisation'!$B$19*'Returns  Stats'!E553</f>
        <v>-1.3454996676399732E-2</v>
      </c>
    </row>
    <row r="554" spans="1:2" ht="15" customHeight="1" x14ac:dyDescent="0.2">
      <c r="A554" s="32" t="str">
        <f>'Returns  Stats'!A554</f>
        <v>2023-03-16</v>
      </c>
      <c r="B554" s="35">
        <f>'MPT Optimisation'!$B$16*'Returns  Stats'!B554+'MPT Optimisation'!$B$17*'Returns  Stats'!C554+'MPT Optimisation'!$B$18*'Returns  Stats'!D554+'MPT Optimisation'!$B$19*'Returns  Stats'!E554</f>
        <v>1.4726274519539723E-2</v>
      </c>
    </row>
    <row r="555" spans="1:2" ht="15" customHeight="1" x14ac:dyDescent="0.2">
      <c r="A555" s="32" t="str">
        <f>'Returns  Stats'!A555</f>
        <v>2023-03-17</v>
      </c>
      <c r="B555" s="35">
        <f>'MPT Optimisation'!$B$16*'Returns  Stats'!B555+'MPT Optimisation'!$B$17*'Returns  Stats'!C555+'MPT Optimisation'!$B$18*'Returns  Stats'!D555+'MPT Optimisation'!$B$19*'Returns  Stats'!E555</f>
        <v>-1.213236149473464E-2</v>
      </c>
    </row>
    <row r="556" spans="1:2" ht="15" customHeight="1" x14ac:dyDescent="0.2">
      <c r="A556" s="32" t="str">
        <f>'Returns  Stats'!A556</f>
        <v>2023-03-20</v>
      </c>
      <c r="B556" s="35">
        <f>'MPT Optimisation'!$B$16*'Returns  Stats'!B556+'MPT Optimisation'!$B$17*'Returns  Stats'!C556+'MPT Optimisation'!$B$18*'Returns  Stats'!D556+'MPT Optimisation'!$B$19*'Returns  Stats'!E556</f>
        <v>1.0284578645389415E-2</v>
      </c>
    </row>
    <row r="557" spans="1:2" ht="15" customHeight="1" x14ac:dyDescent="0.2">
      <c r="A557" s="32" t="str">
        <f>'Returns  Stats'!A557</f>
        <v>2023-03-21</v>
      </c>
      <c r="B557" s="35">
        <f>'MPT Optimisation'!$B$16*'Returns  Stats'!B557+'MPT Optimisation'!$B$17*'Returns  Stats'!C557+'MPT Optimisation'!$B$18*'Returns  Stats'!D557+'MPT Optimisation'!$B$19*'Returns  Stats'!E557</f>
        <v>1.2719706024285267E-2</v>
      </c>
    </row>
    <row r="558" spans="1:2" ht="15" customHeight="1" x14ac:dyDescent="0.2">
      <c r="A558" s="32" t="str">
        <f>'Returns  Stats'!A558</f>
        <v>2023-03-22</v>
      </c>
      <c r="B558" s="35">
        <f>'MPT Optimisation'!$B$16*'Returns  Stats'!B558+'MPT Optimisation'!$B$17*'Returns  Stats'!C558+'MPT Optimisation'!$B$18*'Returns  Stats'!D558+'MPT Optimisation'!$B$19*'Returns  Stats'!E558</f>
        <v>-1.3152751487890938E-2</v>
      </c>
    </row>
    <row r="559" spans="1:2" ht="15" customHeight="1" x14ac:dyDescent="0.2">
      <c r="A559" s="32" t="str">
        <f>'Returns  Stats'!A559</f>
        <v>2023-03-23</v>
      </c>
      <c r="B559" s="35">
        <f>'MPT Optimisation'!$B$16*'Returns  Stats'!B559+'MPT Optimisation'!$B$17*'Returns  Stats'!C559+'MPT Optimisation'!$B$18*'Returns  Stats'!D559+'MPT Optimisation'!$B$19*'Returns  Stats'!E559</f>
        <v>9.434572535088557E-4</v>
      </c>
    </row>
    <row r="560" spans="1:2" ht="15" customHeight="1" x14ac:dyDescent="0.2">
      <c r="A560" s="32" t="str">
        <f>'Returns  Stats'!A560</f>
        <v>2023-03-24</v>
      </c>
      <c r="B560" s="35">
        <f>'MPT Optimisation'!$B$16*'Returns  Stats'!B560+'MPT Optimisation'!$B$17*'Returns  Stats'!C560+'MPT Optimisation'!$B$18*'Returns  Stats'!D560+'MPT Optimisation'!$B$19*'Returns  Stats'!E560</f>
        <v>4.2255894421316161E-3</v>
      </c>
    </row>
    <row r="561" spans="1:2" ht="15" customHeight="1" x14ac:dyDescent="0.2">
      <c r="A561" s="32" t="str">
        <f>'Returns  Stats'!A561</f>
        <v>2023-03-27</v>
      </c>
      <c r="B561" s="35">
        <f>'MPT Optimisation'!$B$16*'Returns  Stats'!B561+'MPT Optimisation'!$B$17*'Returns  Stats'!C561+'MPT Optimisation'!$B$18*'Returns  Stats'!D561+'MPT Optimisation'!$B$19*'Returns  Stats'!E561</f>
        <v>3.7606317883687795E-3</v>
      </c>
    </row>
    <row r="562" spans="1:2" ht="15" customHeight="1" x14ac:dyDescent="0.2">
      <c r="A562" s="32" t="str">
        <f>'Returns  Stats'!A562</f>
        <v>2023-03-28</v>
      </c>
      <c r="B562" s="35">
        <f>'MPT Optimisation'!$B$16*'Returns  Stats'!B562+'MPT Optimisation'!$B$17*'Returns  Stats'!C562+'MPT Optimisation'!$B$18*'Returns  Stats'!D562+'MPT Optimisation'!$B$19*'Returns  Stats'!E562</f>
        <v>-9.1785328887854516E-4</v>
      </c>
    </row>
    <row r="563" spans="1:2" ht="15" customHeight="1" x14ac:dyDescent="0.2">
      <c r="A563" s="32" t="str">
        <f>'Returns  Stats'!A563</f>
        <v>2023-03-29</v>
      </c>
      <c r="B563" s="35">
        <f>'MPT Optimisation'!$B$16*'Returns  Stats'!B563+'MPT Optimisation'!$B$17*'Returns  Stats'!C563+'MPT Optimisation'!$B$18*'Returns  Stats'!D563+'MPT Optimisation'!$B$19*'Returns  Stats'!E563</f>
        <v>1.3438024670656912E-2</v>
      </c>
    </row>
    <row r="564" spans="1:2" ht="15" customHeight="1" x14ac:dyDescent="0.2">
      <c r="A564" s="32" t="str">
        <f>'Returns  Stats'!A564</f>
        <v>2023-03-30</v>
      </c>
      <c r="B564" s="35">
        <f>'MPT Optimisation'!$B$16*'Returns  Stats'!B564+'MPT Optimisation'!$B$17*'Returns  Stats'!C564+'MPT Optimisation'!$B$18*'Returns  Stats'!D564+'MPT Optimisation'!$B$19*'Returns  Stats'!E564</f>
        <v>7.4470669316029966E-3</v>
      </c>
    </row>
    <row r="565" spans="1:2" ht="15" customHeight="1" x14ac:dyDescent="0.2">
      <c r="A565" s="32" t="str">
        <f>'Returns  Stats'!A565</f>
        <v>2023-03-31</v>
      </c>
      <c r="B565" s="35">
        <f>'MPT Optimisation'!$B$16*'Returns  Stats'!B565+'MPT Optimisation'!$B$17*'Returns  Stats'!C565+'MPT Optimisation'!$B$18*'Returns  Stats'!D565+'MPT Optimisation'!$B$19*'Returns  Stats'!E565</f>
        <v>1.1871589555224426E-2</v>
      </c>
    </row>
    <row r="566" spans="1:2" ht="15" customHeight="1" x14ac:dyDescent="0.2">
      <c r="A566" s="32" t="str">
        <f>'Returns  Stats'!A566</f>
        <v>2023-04-03</v>
      </c>
      <c r="B566" s="35">
        <f>'MPT Optimisation'!$B$16*'Returns  Stats'!B566+'MPT Optimisation'!$B$17*'Returns  Stats'!C566+'MPT Optimisation'!$B$18*'Returns  Stats'!D566+'MPT Optimisation'!$B$19*'Returns  Stats'!E566</f>
        <v>3.7981613178133919E-3</v>
      </c>
    </row>
    <row r="567" spans="1:2" ht="15" customHeight="1" x14ac:dyDescent="0.2">
      <c r="A567" s="32" t="str">
        <f>'Returns  Stats'!A567</f>
        <v>2023-04-04</v>
      </c>
      <c r="B567" s="35">
        <f>'MPT Optimisation'!$B$16*'Returns  Stats'!B567+'MPT Optimisation'!$B$17*'Returns  Stats'!C567+'MPT Optimisation'!$B$18*'Returns  Stats'!D567+'MPT Optimisation'!$B$19*'Returns  Stats'!E567</f>
        <v>-3.856576722525251E-3</v>
      </c>
    </row>
    <row r="568" spans="1:2" ht="15" customHeight="1" x14ac:dyDescent="0.2">
      <c r="A568" s="32" t="str">
        <f>'Returns  Stats'!A568</f>
        <v>2023-04-05</v>
      </c>
      <c r="B568" s="35">
        <f>'MPT Optimisation'!$B$16*'Returns  Stats'!B568+'MPT Optimisation'!$B$17*'Returns  Stats'!C568+'MPT Optimisation'!$B$18*'Returns  Stats'!D568+'MPT Optimisation'!$B$19*'Returns  Stats'!E568</f>
        <v>-4.3625519824558147E-3</v>
      </c>
    </row>
    <row r="569" spans="1:2" ht="15" customHeight="1" x14ac:dyDescent="0.2">
      <c r="A569" s="32" t="str">
        <f>'Returns  Stats'!A569</f>
        <v>2023-04-06</v>
      </c>
      <c r="B569" s="35">
        <f>'MPT Optimisation'!$B$16*'Returns  Stats'!B569+'MPT Optimisation'!$B$17*'Returns  Stats'!C569+'MPT Optimisation'!$B$18*'Returns  Stats'!D569+'MPT Optimisation'!$B$19*'Returns  Stats'!E569</f>
        <v>3.7069222656506305E-3</v>
      </c>
    </row>
    <row r="570" spans="1:2" ht="15" customHeight="1" x14ac:dyDescent="0.2">
      <c r="A570" s="32" t="str">
        <f>'Returns  Stats'!A570</f>
        <v>2023-04-10</v>
      </c>
      <c r="B570" s="35">
        <f>'MPT Optimisation'!$B$16*'Returns  Stats'!B570+'MPT Optimisation'!$B$17*'Returns  Stats'!C570+'MPT Optimisation'!$B$18*'Returns  Stats'!D570+'MPT Optimisation'!$B$19*'Returns  Stats'!E570</f>
        <v>1.0369895727008248E-3</v>
      </c>
    </row>
    <row r="571" spans="1:2" ht="15" customHeight="1" x14ac:dyDescent="0.2">
      <c r="A571" s="32" t="str">
        <f>'Returns  Stats'!A571</f>
        <v>2023-04-11</v>
      </c>
      <c r="B571" s="35">
        <f>'MPT Optimisation'!$B$16*'Returns  Stats'!B571+'MPT Optimisation'!$B$17*'Returns  Stats'!C571+'MPT Optimisation'!$B$18*'Returns  Stats'!D571+'MPT Optimisation'!$B$19*'Returns  Stats'!E571</f>
        <v>1.8616866024970145E-3</v>
      </c>
    </row>
    <row r="572" spans="1:2" ht="15" customHeight="1" x14ac:dyDescent="0.2">
      <c r="A572" s="32" t="str">
        <f>'Returns  Stats'!A572</f>
        <v>2023-04-12</v>
      </c>
      <c r="B572" s="35">
        <f>'MPT Optimisation'!$B$16*'Returns  Stats'!B572+'MPT Optimisation'!$B$17*'Returns  Stats'!C572+'MPT Optimisation'!$B$18*'Returns  Stats'!D572+'MPT Optimisation'!$B$19*'Returns  Stats'!E572</f>
        <v>-7.9842136552944482E-4</v>
      </c>
    </row>
    <row r="573" spans="1:2" ht="15" customHeight="1" x14ac:dyDescent="0.2">
      <c r="A573" s="32" t="str">
        <f>'Returns  Stats'!A573</f>
        <v>2023-04-13</v>
      </c>
      <c r="B573" s="35">
        <f>'MPT Optimisation'!$B$16*'Returns  Stats'!B573+'MPT Optimisation'!$B$17*'Returns  Stats'!C573+'MPT Optimisation'!$B$18*'Returns  Stats'!D573+'MPT Optimisation'!$B$19*'Returns  Stats'!E573</f>
        <v>1.1474931484148394E-2</v>
      </c>
    </row>
    <row r="574" spans="1:2" ht="15" customHeight="1" x14ac:dyDescent="0.2">
      <c r="A574" s="32" t="str">
        <f>'Returns  Stats'!A574</f>
        <v>2023-04-14</v>
      </c>
      <c r="B574" s="35">
        <f>'MPT Optimisation'!$B$16*'Returns  Stats'!B574+'MPT Optimisation'!$B$17*'Returns  Stats'!C574+'MPT Optimisation'!$B$18*'Returns  Stats'!D574+'MPT Optimisation'!$B$19*'Returns  Stats'!E574</f>
        <v>-3.908345881246539E-3</v>
      </c>
    </row>
    <row r="575" spans="1:2" ht="15" customHeight="1" x14ac:dyDescent="0.2">
      <c r="A575" s="32" t="str">
        <f>'Returns  Stats'!A575</f>
        <v>2023-04-17</v>
      </c>
      <c r="B575" s="35">
        <f>'MPT Optimisation'!$B$16*'Returns  Stats'!B575+'MPT Optimisation'!$B$17*'Returns  Stats'!C575+'MPT Optimisation'!$B$18*'Returns  Stats'!D575+'MPT Optimisation'!$B$19*'Returns  Stats'!E575</f>
        <v>2.6555732418695579E-3</v>
      </c>
    </row>
    <row r="576" spans="1:2" ht="15" customHeight="1" x14ac:dyDescent="0.2">
      <c r="A576" s="32" t="str">
        <f>'Returns  Stats'!A576</f>
        <v>2023-04-18</v>
      </c>
      <c r="B576" s="35">
        <f>'MPT Optimisation'!$B$16*'Returns  Stats'!B576+'MPT Optimisation'!$B$17*'Returns  Stats'!C576+'MPT Optimisation'!$B$18*'Returns  Stats'!D576+'MPT Optimisation'!$B$19*'Returns  Stats'!E576</f>
        <v>1.8894941647456199E-3</v>
      </c>
    </row>
    <row r="577" spans="1:2" ht="15" customHeight="1" x14ac:dyDescent="0.2">
      <c r="A577" s="32" t="str">
        <f>'Returns  Stats'!A577</f>
        <v>2023-04-19</v>
      </c>
      <c r="B577" s="35">
        <f>'MPT Optimisation'!$B$16*'Returns  Stats'!B577+'MPT Optimisation'!$B$17*'Returns  Stats'!C577+'MPT Optimisation'!$B$18*'Returns  Stats'!D577+'MPT Optimisation'!$B$19*'Returns  Stats'!E577</f>
        <v>-4.2717913700117117E-4</v>
      </c>
    </row>
    <row r="578" spans="1:2" ht="15" customHeight="1" x14ac:dyDescent="0.2">
      <c r="A578" s="32" t="str">
        <f>'Returns  Stats'!A578</f>
        <v>2023-04-20</v>
      </c>
      <c r="B578" s="35">
        <f>'MPT Optimisation'!$B$16*'Returns  Stats'!B578+'MPT Optimisation'!$B$17*'Returns  Stats'!C578+'MPT Optimisation'!$B$18*'Returns  Stats'!D578+'MPT Optimisation'!$B$19*'Returns  Stats'!E578</f>
        <v>-3.9916724072539597E-3</v>
      </c>
    </row>
    <row r="579" spans="1:2" ht="15" customHeight="1" x14ac:dyDescent="0.2">
      <c r="A579" s="32" t="str">
        <f>'Returns  Stats'!A579</f>
        <v>2023-04-21</v>
      </c>
      <c r="B579" s="35">
        <f>'MPT Optimisation'!$B$16*'Returns  Stats'!B579+'MPT Optimisation'!$B$17*'Returns  Stats'!C579+'MPT Optimisation'!$B$18*'Returns  Stats'!D579+'MPT Optimisation'!$B$19*'Returns  Stats'!E579</f>
        <v>1.9628847991028098E-3</v>
      </c>
    </row>
    <row r="580" spans="1:2" ht="15" customHeight="1" x14ac:dyDescent="0.2">
      <c r="A580" s="32" t="str">
        <f>'Returns  Stats'!A580</f>
        <v>2023-04-24</v>
      </c>
      <c r="B580" s="35">
        <f>'MPT Optimisation'!$B$16*'Returns  Stats'!B580+'MPT Optimisation'!$B$17*'Returns  Stats'!C580+'MPT Optimisation'!$B$18*'Returns  Stats'!D580+'MPT Optimisation'!$B$19*'Returns  Stats'!E580</f>
        <v>1.0167972392604973E-3</v>
      </c>
    </row>
    <row r="581" spans="1:2" ht="15" customHeight="1" x14ac:dyDescent="0.2">
      <c r="A581" s="32" t="str">
        <f>'Returns  Stats'!A581</f>
        <v>2023-04-25</v>
      </c>
      <c r="B581" s="35">
        <f>'MPT Optimisation'!$B$16*'Returns  Stats'!B581+'MPT Optimisation'!$B$17*'Returns  Stats'!C581+'MPT Optimisation'!$B$18*'Returns  Stats'!D581+'MPT Optimisation'!$B$19*'Returns  Stats'!E581</f>
        <v>-1.4373974031789553E-2</v>
      </c>
    </row>
    <row r="582" spans="1:2" ht="15" customHeight="1" x14ac:dyDescent="0.2">
      <c r="A582" s="32" t="str">
        <f>'Returns  Stats'!A582</f>
        <v>2023-04-26</v>
      </c>
      <c r="B582" s="35">
        <f>'MPT Optimisation'!$B$16*'Returns  Stats'!B582+'MPT Optimisation'!$B$17*'Returns  Stats'!C582+'MPT Optimisation'!$B$18*'Returns  Stats'!D582+'MPT Optimisation'!$B$19*'Returns  Stats'!E582</f>
        <v>-3.5783054536268062E-3</v>
      </c>
    </row>
    <row r="583" spans="1:2" ht="15" customHeight="1" x14ac:dyDescent="0.2">
      <c r="A583" s="32" t="str">
        <f>'Returns  Stats'!A583</f>
        <v>2023-04-27</v>
      </c>
      <c r="B583" s="35">
        <f>'MPT Optimisation'!$B$16*'Returns  Stats'!B583+'MPT Optimisation'!$B$17*'Returns  Stats'!C583+'MPT Optimisation'!$B$18*'Returns  Stats'!D583+'MPT Optimisation'!$B$19*'Returns  Stats'!E583</f>
        <v>1.5971513451153167E-2</v>
      </c>
    </row>
    <row r="584" spans="1:2" ht="15" customHeight="1" x14ac:dyDescent="0.2">
      <c r="A584" s="32" t="str">
        <f>'Returns  Stats'!A584</f>
        <v>2023-04-28</v>
      </c>
      <c r="B584" s="35">
        <f>'MPT Optimisation'!$B$16*'Returns  Stats'!B584+'MPT Optimisation'!$B$17*'Returns  Stats'!C584+'MPT Optimisation'!$B$18*'Returns  Stats'!D584+'MPT Optimisation'!$B$19*'Returns  Stats'!E584</f>
        <v>5.9698619056511972E-3</v>
      </c>
    </row>
    <row r="585" spans="1:2" ht="15" customHeight="1" x14ac:dyDescent="0.2">
      <c r="A585" s="32" t="str">
        <f>'Returns  Stats'!A585</f>
        <v>2023-05-01</v>
      </c>
      <c r="B585" s="35">
        <f>'MPT Optimisation'!$B$16*'Returns  Stats'!B585+'MPT Optimisation'!$B$17*'Returns  Stats'!C585+'MPT Optimisation'!$B$18*'Returns  Stats'!D585+'MPT Optimisation'!$B$19*'Returns  Stats'!E585</f>
        <v>-1.6231743142253729E-3</v>
      </c>
    </row>
    <row r="586" spans="1:2" ht="15" customHeight="1" x14ac:dyDescent="0.2">
      <c r="A586" s="32" t="str">
        <f>'Returns  Stats'!A586</f>
        <v>2023-05-02</v>
      </c>
      <c r="B586" s="35">
        <f>'MPT Optimisation'!$B$16*'Returns  Stats'!B586+'MPT Optimisation'!$B$17*'Returns  Stats'!C586+'MPT Optimisation'!$B$18*'Returns  Stats'!D586+'MPT Optimisation'!$B$19*'Returns  Stats'!E586</f>
        <v>-1.0713088875541399E-2</v>
      </c>
    </row>
    <row r="587" spans="1:2" ht="15" customHeight="1" x14ac:dyDescent="0.2">
      <c r="A587" s="32" t="str">
        <f>'Returns  Stats'!A587</f>
        <v>2023-05-03</v>
      </c>
      <c r="B587" s="35">
        <f>'MPT Optimisation'!$B$16*'Returns  Stats'!B587+'MPT Optimisation'!$B$17*'Returns  Stats'!C587+'MPT Optimisation'!$B$18*'Returns  Stats'!D587+'MPT Optimisation'!$B$19*'Returns  Stats'!E587</f>
        <v>-2.698132790565261E-3</v>
      </c>
    </row>
    <row r="588" spans="1:2" ht="15" customHeight="1" x14ac:dyDescent="0.2">
      <c r="A588" s="32" t="str">
        <f>'Returns  Stats'!A588</f>
        <v>2023-05-04</v>
      </c>
      <c r="B588" s="35">
        <f>'MPT Optimisation'!$B$16*'Returns  Stats'!B588+'MPT Optimisation'!$B$17*'Returns  Stats'!C588+'MPT Optimisation'!$B$18*'Returns  Stats'!D588+'MPT Optimisation'!$B$19*'Returns  Stats'!E588</f>
        <v>-4.7372969212020775E-3</v>
      </c>
    </row>
    <row r="589" spans="1:2" ht="15" customHeight="1" x14ac:dyDescent="0.2">
      <c r="A589" s="32" t="str">
        <f>'Returns  Stats'!A589</f>
        <v>2023-05-05</v>
      </c>
      <c r="B589" s="35">
        <f>'MPT Optimisation'!$B$16*'Returns  Stats'!B589+'MPT Optimisation'!$B$17*'Returns  Stats'!C589+'MPT Optimisation'!$B$18*'Returns  Stats'!D589+'MPT Optimisation'!$B$19*'Returns  Stats'!E589</f>
        <v>1.6157533912495442E-2</v>
      </c>
    </row>
    <row r="590" spans="1:2" ht="15" customHeight="1" x14ac:dyDescent="0.2">
      <c r="A590" s="32" t="str">
        <f>'Returns  Stats'!A590</f>
        <v>2023-05-08</v>
      </c>
      <c r="B590" s="35">
        <f>'MPT Optimisation'!$B$16*'Returns  Stats'!B590+'MPT Optimisation'!$B$17*'Returns  Stats'!C590+'MPT Optimisation'!$B$18*'Returns  Stats'!D590+'MPT Optimisation'!$B$19*'Returns  Stats'!E590</f>
        <v>1.6088849542666419E-4</v>
      </c>
    </row>
    <row r="591" spans="1:2" ht="15" customHeight="1" x14ac:dyDescent="0.2">
      <c r="A591" s="32" t="str">
        <f>'Returns  Stats'!A591</f>
        <v>2023-05-09</v>
      </c>
      <c r="B591" s="35">
        <f>'MPT Optimisation'!$B$16*'Returns  Stats'!B591+'MPT Optimisation'!$B$17*'Returns  Stats'!C591+'MPT Optimisation'!$B$18*'Returns  Stats'!D591+'MPT Optimisation'!$B$19*'Returns  Stats'!E591</f>
        <v>-3.9350734920381375E-3</v>
      </c>
    </row>
    <row r="592" spans="1:2" ht="15" customHeight="1" x14ac:dyDescent="0.2">
      <c r="A592" s="32" t="str">
        <f>'Returns  Stats'!A592</f>
        <v>2023-05-10</v>
      </c>
      <c r="B592" s="35">
        <f>'MPT Optimisation'!$B$16*'Returns  Stats'!B592+'MPT Optimisation'!$B$17*'Returns  Stats'!C592+'MPT Optimisation'!$B$18*'Returns  Stats'!D592+'MPT Optimisation'!$B$19*'Returns  Stats'!E592</f>
        <v>2.8387439473349209E-3</v>
      </c>
    </row>
    <row r="593" spans="1:2" ht="15" customHeight="1" x14ac:dyDescent="0.2">
      <c r="A593" s="32" t="str">
        <f>'Returns  Stats'!A593</f>
        <v>2023-05-11</v>
      </c>
      <c r="B593" s="35">
        <f>'MPT Optimisation'!$B$16*'Returns  Stats'!B593+'MPT Optimisation'!$B$17*'Returns  Stats'!C593+'MPT Optimisation'!$B$18*'Returns  Stats'!D593+'MPT Optimisation'!$B$19*'Returns  Stats'!E593</f>
        <v>-1.9236112646999317E-3</v>
      </c>
    </row>
    <row r="594" spans="1:2" ht="15" customHeight="1" x14ac:dyDescent="0.2">
      <c r="A594" s="32" t="str">
        <f>'Returns  Stats'!A594</f>
        <v>2023-05-12</v>
      </c>
      <c r="B594" s="35">
        <f>'MPT Optimisation'!$B$16*'Returns  Stats'!B594+'MPT Optimisation'!$B$17*'Returns  Stats'!C594+'MPT Optimisation'!$B$18*'Returns  Stats'!D594+'MPT Optimisation'!$B$19*'Returns  Stats'!E594</f>
        <v>-2.2254238335004395E-3</v>
      </c>
    </row>
    <row r="595" spans="1:2" ht="15" customHeight="1" x14ac:dyDescent="0.2">
      <c r="A595" s="32" t="str">
        <f>'Returns  Stats'!A595</f>
        <v>2023-05-15</v>
      </c>
      <c r="B595" s="35">
        <f>'MPT Optimisation'!$B$16*'Returns  Stats'!B595+'MPT Optimisation'!$B$17*'Returns  Stats'!C595+'MPT Optimisation'!$B$18*'Returns  Stats'!D595+'MPT Optimisation'!$B$19*'Returns  Stats'!E595</f>
        <v>4.6419624673694534E-3</v>
      </c>
    </row>
    <row r="596" spans="1:2" ht="15" customHeight="1" x14ac:dyDescent="0.2">
      <c r="A596" s="32" t="str">
        <f>'Returns  Stats'!A596</f>
        <v>2023-05-16</v>
      </c>
      <c r="B596" s="35">
        <f>'MPT Optimisation'!$B$16*'Returns  Stats'!B596+'MPT Optimisation'!$B$17*'Returns  Stats'!C596+'MPT Optimisation'!$B$18*'Returns  Stats'!D596+'MPT Optimisation'!$B$19*'Returns  Stats'!E596</f>
        <v>-8.8685737661500959E-3</v>
      </c>
    </row>
    <row r="597" spans="1:2" ht="15" customHeight="1" x14ac:dyDescent="0.2">
      <c r="A597" s="32" t="str">
        <f>'Returns  Stats'!A597</f>
        <v>2023-05-17</v>
      </c>
      <c r="B597" s="35">
        <f>'MPT Optimisation'!$B$16*'Returns  Stats'!B597+'MPT Optimisation'!$B$17*'Returns  Stats'!C597+'MPT Optimisation'!$B$18*'Returns  Stats'!D597+'MPT Optimisation'!$B$19*'Returns  Stats'!E597</f>
        <v>9.7814650016185001E-3</v>
      </c>
    </row>
    <row r="598" spans="1:2" ht="15" customHeight="1" x14ac:dyDescent="0.2">
      <c r="A598" s="32" t="str">
        <f>'Returns  Stats'!A598</f>
        <v>2023-05-18</v>
      </c>
      <c r="B598" s="35">
        <f>'MPT Optimisation'!$B$16*'Returns  Stats'!B598+'MPT Optimisation'!$B$17*'Returns  Stats'!C598+'MPT Optimisation'!$B$18*'Returns  Stats'!D598+'MPT Optimisation'!$B$19*'Returns  Stats'!E598</f>
        <v>5.0431015298220017E-3</v>
      </c>
    </row>
    <row r="599" spans="1:2" ht="15" customHeight="1" x14ac:dyDescent="0.2">
      <c r="A599" s="32" t="str">
        <f>'Returns  Stats'!A599</f>
        <v>2023-05-19</v>
      </c>
      <c r="B599" s="35">
        <f>'MPT Optimisation'!$B$16*'Returns  Stats'!B599+'MPT Optimisation'!$B$17*'Returns  Stats'!C599+'MPT Optimisation'!$B$18*'Returns  Stats'!D599+'MPT Optimisation'!$B$19*'Returns  Stats'!E599</f>
        <v>1.2793992693237443E-4</v>
      </c>
    </row>
    <row r="600" spans="1:2" ht="15" customHeight="1" x14ac:dyDescent="0.2">
      <c r="A600" s="32" t="str">
        <f>'Returns  Stats'!A600</f>
        <v>2023-05-22</v>
      </c>
      <c r="B600" s="35">
        <f>'MPT Optimisation'!$B$16*'Returns  Stats'!B600+'MPT Optimisation'!$B$17*'Returns  Stats'!C600+'MPT Optimisation'!$B$18*'Returns  Stats'!D600+'MPT Optimisation'!$B$19*'Returns  Stats'!E600</f>
        <v>1.380244546678944E-3</v>
      </c>
    </row>
    <row r="601" spans="1:2" ht="15" customHeight="1" x14ac:dyDescent="0.2">
      <c r="A601" s="32" t="str">
        <f>'Returns  Stats'!A601</f>
        <v>2023-05-23</v>
      </c>
      <c r="B601" s="35">
        <f>'MPT Optimisation'!$B$16*'Returns  Stats'!B601+'MPT Optimisation'!$B$17*'Returns  Stats'!C601+'MPT Optimisation'!$B$18*'Returns  Stats'!D601+'MPT Optimisation'!$B$19*'Returns  Stats'!E601</f>
        <v>-1.1155703110566018E-2</v>
      </c>
    </row>
    <row r="602" spans="1:2" ht="15" customHeight="1" x14ac:dyDescent="0.2">
      <c r="A602" s="32" t="str">
        <f>'Returns  Stats'!A602</f>
        <v>2023-05-24</v>
      </c>
      <c r="B602" s="35">
        <f>'MPT Optimisation'!$B$16*'Returns  Stats'!B602+'MPT Optimisation'!$B$17*'Returns  Stats'!C602+'MPT Optimisation'!$B$18*'Returns  Stats'!D602+'MPT Optimisation'!$B$19*'Returns  Stats'!E602</f>
        <v>-1.0215344722361158E-2</v>
      </c>
    </row>
    <row r="603" spans="1:2" ht="15" customHeight="1" x14ac:dyDescent="0.2">
      <c r="A603" s="32" t="str">
        <f>'Returns  Stats'!A603</f>
        <v>2023-05-25</v>
      </c>
      <c r="B603" s="35">
        <f>'MPT Optimisation'!$B$16*'Returns  Stats'!B603+'MPT Optimisation'!$B$17*'Returns  Stats'!C603+'MPT Optimisation'!$B$18*'Returns  Stats'!D603+'MPT Optimisation'!$B$19*'Returns  Stats'!E603</f>
        <v>3.4732893388773052E-3</v>
      </c>
    </row>
    <row r="604" spans="1:2" ht="15" customHeight="1" x14ac:dyDescent="0.2">
      <c r="A604" s="32" t="str">
        <f>'Returns  Stats'!A604</f>
        <v>2023-05-26</v>
      </c>
      <c r="B604" s="35">
        <f>'MPT Optimisation'!$B$16*'Returns  Stats'!B604+'MPT Optimisation'!$B$17*'Returns  Stats'!C604+'MPT Optimisation'!$B$18*'Returns  Stats'!D604+'MPT Optimisation'!$B$19*'Returns  Stats'!E604</f>
        <v>1.1461408324747836E-2</v>
      </c>
    </row>
    <row r="605" spans="1:2" ht="15" customHeight="1" x14ac:dyDescent="0.2">
      <c r="A605" s="32" t="str">
        <f>'Returns  Stats'!A605</f>
        <v>2023-05-30</v>
      </c>
      <c r="B605" s="35">
        <f>'MPT Optimisation'!$B$16*'Returns  Stats'!B605+'MPT Optimisation'!$B$17*'Returns  Stats'!C605+'MPT Optimisation'!$B$18*'Returns  Stats'!D605+'MPT Optimisation'!$B$19*'Returns  Stats'!E605</f>
        <v>-2.3120604281563371E-3</v>
      </c>
    </row>
    <row r="606" spans="1:2" ht="15" customHeight="1" x14ac:dyDescent="0.2">
      <c r="A606" s="32" t="str">
        <f>'Returns  Stats'!A606</f>
        <v>2023-05-31</v>
      </c>
      <c r="B606" s="35">
        <f>'MPT Optimisation'!$B$16*'Returns  Stats'!B606+'MPT Optimisation'!$B$17*'Returns  Stats'!C606+'MPT Optimisation'!$B$18*'Returns  Stats'!D606+'MPT Optimisation'!$B$19*'Returns  Stats'!E606</f>
        <v>-6.2776731080578241E-3</v>
      </c>
    </row>
    <row r="607" spans="1:2" ht="15" customHeight="1" x14ac:dyDescent="0.2">
      <c r="A607" s="32" t="str">
        <f>'Returns  Stats'!A607</f>
        <v>2023-06-01</v>
      </c>
      <c r="B607" s="35">
        <f>'MPT Optimisation'!$B$16*'Returns  Stats'!B607+'MPT Optimisation'!$B$17*'Returns  Stats'!C607+'MPT Optimisation'!$B$18*'Returns  Stats'!D607+'MPT Optimisation'!$B$19*'Returns  Stats'!E607</f>
        <v>1.0609923473092552E-2</v>
      </c>
    </row>
    <row r="608" spans="1:2" ht="15" customHeight="1" x14ac:dyDescent="0.2">
      <c r="A608" s="32" t="str">
        <f>'Returns  Stats'!A608</f>
        <v>2023-06-02</v>
      </c>
      <c r="B608" s="35">
        <f>'MPT Optimisation'!$B$16*'Returns  Stats'!B608+'MPT Optimisation'!$B$17*'Returns  Stats'!C608+'MPT Optimisation'!$B$18*'Returns  Stats'!D608+'MPT Optimisation'!$B$19*'Returns  Stats'!E608</f>
        <v>1.4766188060919894E-2</v>
      </c>
    </row>
    <row r="609" spans="1:2" ht="15" customHeight="1" x14ac:dyDescent="0.2">
      <c r="A609" s="32" t="str">
        <f>'Returns  Stats'!A609</f>
        <v>2023-06-05</v>
      </c>
      <c r="B609" s="35">
        <f>'MPT Optimisation'!$B$16*'Returns  Stats'!B609+'MPT Optimisation'!$B$17*'Returns  Stats'!C609+'MPT Optimisation'!$B$18*'Returns  Stats'!D609+'MPT Optimisation'!$B$19*'Returns  Stats'!E609</f>
        <v>-3.6666696715451585E-3</v>
      </c>
    </row>
    <row r="610" spans="1:2" ht="15" customHeight="1" x14ac:dyDescent="0.2">
      <c r="A610" s="32" t="str">
        <f>'Returns  Stats'!A610</f>
        <v>2023-06-06</v>
      </c>
      <c r="B610" s="35">
        <f>'MPT Optimisation'!$B$16*'Returns  Stats'!B610+'MPT Optimisation'!$B$17*'Returns  Stats'!C610+'MPT Optimisation'!$B$18*'Returns  Stats'!D610+'MPT Optimisation'!$B$19*'Returns  Stats'!E610</f>
        <v>5.7756626891952373E-3</v>
      </c>
    </row>
    <row r="611" spans="1:2" ht="15" customHeight="1" x14ac:dyDescent="0.2">
      <c r="A611" s="32" t="str">
        <f>'Returns  Stats'!A611</f>
        <v>2023-06-07</v>
      </c>
      <c r="B611" s="35">
        <f>'MPT Optimisation'!$B$16*'Returns  Stats'!B611+'MPT Optimisation'!$B$17*'Returns  Stats'!C611+'MPT Optimisation'!$B$18*'Returns  Stats'!D611+'MPT Optimisation'!$B$19*'Returns  Stats'!E611</f>
        <v>-3.166841019336725E-3</v>
      </c>
    </row>
    <row r="612" spans="1:2" ht="15" customHeight="1" x14ac:dyDescent="0.2">
      <c r="A612" s="32" t="str">
        <f>'Returns  Stats'!A612</f>
        <v>2023-06-08</v>
      </c>
      <c r="B612" s="35">
        <f>'MPT Optimisation'!$B$16*'Returns  Stats'!B612+'MPT Optimisation'!$B$17*'Returns  Stats'!C612+'MPT Optimisation'!$B$18*'Returns  Stats'!D612+'MPT Optimisation'!$B$19*'Returns  Stats'!E612</f>
        <v>5.9503037252380871E-3</v>
      </c>
    </row>
    <row r="613" spans="1:2" ht="15" customHeight="1" x14ac:dyDescent="0.2">
      <c r="A613" s="32" t="str">
        <f>'Returns  Stats'!A613</f>
        <v>2023-06-09</v>
      </c>
      <c r="B613" s="35">
        <f>'MPT Optimisation'!$B$16*'Returns  Stats'!B613+'MPT Optimisation'!$B$17*'Returns  Stats'!C613+'MPT Optimisation'!$B$18*'Returns  Stats'!D613+'MPT Optimisation'!$B$19*'Returns  Stats'!E613</f>
        <v>-2.6263865571442014E-4</v>
      </c>
    </row>
    <row r="614" spans="1:2" ht="15" customHeight="1" x14ac:dyDescent="0.2">
      <c r="A614" s="32" t="str">
        <f>'Returns  Stats'!A614</f>
        <v>2023-06-12</v>
      </c>
      <c r="B614" s="35">
        <f>'MPT Optimisation'!$B$16*'Returns  Stats'!B614+'MPT Optimisation'!$B$17*'Returns  Stats'!C614+'MPT Optimisation'!$B$18*'Returns  Stats'!D614+'MPT Optimisation'!$B$19*'Returns  Stats'!E614</f>
        <v>6.7843000942801159E-3</v>
      </c>
    </row>
    <row r="615" spans="1:2" ht="15" customHeight="1" x14ac:dyDescent="0.2">
      <c r="A615" s="32" t="str">
        <f>'Returns  Stats'!A615</f>
        <v>2023-06-13</v>
      </c>
      <c r="B615" s="35">
        <f>'MPT Optimisation'!$B$16*'Returns  Stats'!B615+'MPT Optimisation'!$B$17*'Returns  Stats'!C615+'MPT Optimisation'!$B$18*'Returns  Stats'!D615+'MPT Optimisation'!$B$19*'Returns  Stats'!E615</f>
        <v>7.3458982041384839E-3</v>
      </c>
    </row>
    <row r="616" spans="1:2" ht="15" customHeight="1" x14ac:dyDescent="0.2">
      <c r="A616" s="32" t="str">
        <f>'Returns  Stats'!A616</f>
        <v>2023-06-14</v>
      </c>
      <c r="B616" s="35">
        <f>'MPT Optimisation'!$B$16*'Returns  Stats'!B616+'MPT Optimisation'!$B$17*'Returns  Stats'!C616+'MPT Optimisation'!$B$18*'Returns  Stats'!D616+'MPT Optimisation'!$B$19*'Returns  Stats'!E616</f>
        <v>1.349321196356279E-3</v>
      </c>
    </row>
    <row r="617" spans="1:2" ht="15" customHeight="1" x14ac:dyDescent="0.2">
      <c r="A617" s="32" t="str">
        <f>'Returns  Stats'!A617</f>
        <v>2023-06-15</v>
      </c>
      <c r="B617" s="35">
        <f>'MPT Optimisation'!$B$16*'Returns  Stats'!B617+'MPT Optimisation'!$B$17*'Returns  Stats'!C617+'MPT Optimisation'!$B$18*'Returns  Stats'!D617+'MPT Optimisation'!$B$19*'Returns  Stats'!E617</f>
        <v>1.1097400204767138E-2</v>
      </c>
    </row>
    <row r="618" spans="1:2" ht="15" customHeight="1" x14ac:dyDescent="0.2">
      <c r="A618" s="32" t="str">
        <f>'Returns  Stats'!A618</f>
        <v>2023-06-16</v>
      </c>
      <c r="B618" s="35">
        <f>'MPT Optimisation'!$B$16*'Returns  Stats'!B618+'MPT Optimisation'!$B$17*'Returns  Stats'!C618+'MPT Optimisation'!$B$18*'Returns  Stats'!D618+'MPT Optimisation'!$B$19*'Returns  Stats'!E618</f>
        <v>-3.1085213890664209E-3</v>
      </c>
    </row>
    <row r="619" spans="1:2" ht="15" customHeight="1" x14ac:dyDescent="0.2">
      <c r="A619" s="32" t="str">
        <f>'Returns  Stats'!A619</f>
        <v>2023-06-20</v>
      </c>
      <c r="B619" s="35">
        <f>'MPT Optimisation'!$B$16*'Returns  Stats'!B619+'MPT Optimisation'!$B$17*'Returns  Stats'!C619+'MPT Optimisation'!$B$18*'Returns  Stats'!D619+'MPT Optimisation'!$B$19*'Returns  Stats'!E619</f>
        <v>-7.4186457302059519E-3</v>
      </c>
    </row>
    <row r="620" spans="1:2" ht="15" customHeight="1" x14ac:dyDescent="0.2">
      <c r="A620" s="32" t="str">
        <f>'Returns  Stats'!A620</f>
        <v>2023-06-21</v>
      </c>
      <c r="B620" s="35">
        <f>'MPT Optimisation'!$B$16*'Returns  Stats'!B620+'MPT Optimisation'!$B$17*'Returns  Stats'!C620+'MPT Optimisation'!$B$18*'Returns  Stats'!D620+'MPT Optimisation'!$B$19*'Returns  Stats'!E620</f>
        <v>-3.0644093336851031E-3</v>
      </c>
    </row>
    <row r="621" spans="1:2" ht="15" customHeight="1" x14ac:dyDescent="0.2">
      <c r="A621" s="32" t="str">
        <f>'Returns  Stats'!A621</f>
        <v>2023-06-22</v>
      </c>
      <c r="B621" s="35">
        <f>'MPT Optimisation'!$B$16*'Returns  Stats'!B621+'MPT Optimisation'!$B$17*'Returns  Stats'!C621+'MPT Optimisation'!$B$18*'Returns  Stats'!D621+'MPT Optimisation'!$B$19*'Returns  Stats'!E621</f>
        <v>-1.232138526923604E-3</v>
      </c>
    </row>
    <row r="622" spans="1:2" ht="15" customHeight="1" x14ac:dyDescent="0.2">
      <c r="A622" s="32" t="str">
        <f>'Returns  Stats'!A622</f>
        <v>2023-06-23</v>
      </c>
      <c r="B622" s="35">
        <f>'MPT Optimisation'!$B$16*'Returns  Stats'!B622+'MPT Optimisation'!$B$17*'Returns  Stats'!C622+'MPT Optimisation'!$B$18*'Returns  Stats'!D622+'MPT Optimisation'!$B$19*'Returns  Stats'!E622</f>
        <v>-1.0166428577795166E-2</v>
      </c>
    </row>
    <row r="623" spans="1:2" ht="15" customHeight="1" x14ac:dyDescent="0.2">
      <c r="A623" s="32" t="str">
        <f>'Returns  Stats'!A623</f>
        <v>2023-06-26</v>
      </c>
      <c r="B623" s="35">
        <f>'MPT Optimisation'!$B$16*'Returns  Stats'!B623+'MPT Optimisation'!$B$17*'Returns  Stats'!C623+'MPT Optimisation'!$B$18*'Returns  Stats'!D623+'MPT Optimisation'!$B$19*'Returns  Stats'!E623</f>
        <v>-4.9776514863134579E-4</v>
      </c>
    </row>
    <row r="624" spans="1:2" ht="15" customHeight="1" x14ac:dyDescent="0.2">
      <c r="A624" s="32" t="str">
        <f>'Returns  Stats'!A624</f>
        <v>2023-06-27</v>
      </c>
      <c r="B624" s="35">
        <f>'MPT Optimisation'!$B$16*'Returns  Stats'!B624+'MPT Optimisation'!$B$17*'Returns  Stats'!C624+'MPT Optimisation'!$B$18*'Returns  Stats'!D624+'MPT Optimisation'!$B$19*'Returns  Stats'!E624</f>
        <v>1.0448614687523266E-2</v>
      </c>
    </row>
    <row r="625" spans="1:2" ht="15" customHeight="1" x14ac:dyDescent="0.2">
      <c r="A625" s="32" t="str">
        <f>'Returns  Stats'!A625</f>
        <v>2023-06-28</v>
      </c>
      <c r="B625" s="35">
        <f>'MPT Optimisation'!$B$16*'Returns  Stats'!B625+'MPT Optimisation'!$B$17*'Returns  Stats'!C625+'MPT Optimisation'!$B$18*'Returns  Stats'!D625+'MPT Optimisation'!$B$19*'Returns  Stats'!E625</f>
        <v>9.2739221603372875E-4</v>
      </c>
    </row>
    <row r="626" spans="1:2" ht="15" customHeight="1" x14ac:dyDescent="0.2">
      <c r="A626" s="32" t="str">
        <f>'Returns  Stats'!A626</f>
        <v>2023-06-29</v>
      </c>
      <c r="B626" s="35">
        <f>'MPT Optimisation'!$B$16*'Returns  Stats'!B626+'MPT Optimisation'!$B$17*'Returns  Stats'!C626+'MPT Optimisation'!$B$18*'Returns  Stats'!D626+'MPT Optimisation'!$B$19*'Returns  Stats'!E626</f>
        <v>2.6302618888563441E-3</v>
      </c>
    </row>
    <row r="627" spans="1:2" ht="15" customHeight="1" x14ac:dyDescent="0.2">
      <c r="A627" s="32" t="str">
        <f>'Returns  Stats'!A627</f>
        <v>2023-06-30</v>
      </c>
      <c r="B627" s="35">
        <f>'MPT Optimisation'!$B$16*'Returns  Stats'!B627+'MPT Optimisation'!$B$17*'Returns  Stats'!C627+'MPT Optimisation'!$B$18*'Returns  Stats'!D627+'MPT Optimisation'!$B$19*'Returns  Stats'!E627</f>
        <v>1.0300125202047259E-2</v>
      </c>
    </row>
    <row r="628" spans="1:2" ht="15" customHeight="1" x14ac:dyDescent="0.2">
      <c r="A628" s="32" t="str">
        <f>'Returns  Stats'!A628</f>
        <v>2023-07-03</v>
      </c>
      <c r="B628" s="35">
        <f>'MPT Optimisation'!$B$16*'Returns  Stats'!B628+'MPT Optimisation'!$B$17*'Returns  Stats'!C628+'MPT Optimisation'!$B$18*'Returns  Stats'!D628+'MPT Optimisation'!$B$19*'Returns  Stats'!E628</f>
        <v>1.8985261131208905E-3</v>
      </c>
    </row>
    <row r="629" spans="1:2" ht="15" customHeight="1" x14ac:dyDescent="0.2">
      <c r="A629" s="32" t="str">
        <f>'Returns  Stats'!A629</f>
        <v>2023-07-05</v>
      </c>
      <c r="B629" s="35">
        <f>'MPT Optimisation'!$B$16*'Returns  Stats'!B629+'MPT Optimisation'!$B$17*'Returns  Stats'!C629+'MPT Optimisation'!$B$18*'Returns  Stats'!D629+'MPT Optimisation'!$B$19*'Returns  Stats'!E629</f>
        <v>-5.2877332168560229E-3</v>
      </c>
    </row>
    <row r="630" spans="1:2" ht="15" customHeight="1" x14ac:dyDescent="0.2">
      <c r="A630" s="32" t="str">
        <f>'Returns  Stats'!A630</f>
        <v>2023-07-06</v>
      </c>
      <c r="B630" s="35">
        <f>'MPT Optimisation'!$B$16*'Returns  Stats'!B630+'MPT Optimisation'!$B$17*'Returns  Stats'!C630+'MPT Optimisation'!$B$18*'Returns  Stats'!D630+'MPT Optimisation'!$B$19*'Returns  Stats'!E630</f>
        <v>-1.1242393212623658E-2</v>
      </c>
    </row>
    <row r="631" spans="1:2" ht="15" customHeight="1" x14ac:dyDescent="0.2">
      <c r="A631" s="32" t="str">
        <f>'Returns  Stats'!A631</f>
        <v>2023-07-07</v>
      </c>
      <c r="B631" s="35">
        <f>'MPT Optimisation'!$B$16*'Returns  Stats'!B631+'MPT Optimisation'!$B$17*'Returns  Stats'!C631+'MPT Optimisation'!$B$18*'Returns  Stats'!D631+'MPT Optimisation'!$B$19*'Returns  Stats'!E631</f>
        <v>1.4146016895707878E-3</v>
      </c>
    </row>
    <row r="632" spans="1:2" ht="15" customHeight="1" x14ac:dyDescent="0.2">
      <c r="A632" s="32" t="str">
        <f>'Returns  Stats'!A632</f>
        <v>2023-07-10</v>
      </c>
      <c r="B632" s="35">
        <f>'MPT Optimisation'!$B$16*'Returns  Stats'!B632+'MPT Optimisation'!$B$17*'Returns  Stats'!C632+'MPT Optimisation'!$B$18*'Returns  Stats'!D632+'MPT Optimisation'!$B$19*'Returns  Stats'!E632</f>
        <v>3.8153845993127546E-3</v>
      </c>
    </row>
    <row r="633" spans="1:2" ht="15" customHeight="1" x14ac:dyDescent="0.2">
      <c r="A633" s="32" t="str">
        <f>'Returns  Stats'!A633</f>
        <v>2023-07-11</v>
      </c>
      <c r="B633" s="35">
        <f>'MPT Optimisation'!$B$16*'Returns  Stats'!B633+'MPT Optimisation'!$B$17*'Returns  Stats'!C633+'MPT Optimisation'!$B$18*'Returns  Stats'!D633+'MPT Optimisation'!$B$19*'Returns  Stats'!E633</f>
        <v>8.234876597599838E-3</v>
      </c>
    </row>
    <row r="634" spans="1:2" ht="15" customHeight="1" x14ac:dyDescent="0.2">
      <c r="A634" s="32" t="str">
        <f>'Returns  Stats'!A634</f>
        <v>2023-07-12</v>
      </c>
      <c r="B634" s="35">
        <f>'MPT Optimisation'!$B$16*'Returns  Stats'!B634+'MPT Optimisation'!$B$17*'Returns  Stats'!C634+'MPT Optimisation'!$B$18*'Returns  Stats'!D634+'MPT Optimisation'!$B$19*'Returns  Stats'!E634</f>
        <v>1.1000117008257936E-2</v>
      </c>
    </row>
    <row r="635" spans="1:2" ht="15" customHeight="1" x14ac:dyDescent="0.2">
      <c r="A635" s="32" t="str">
        <f>'Returns  Stats'!A635</f>
        <v>2023-07-13</v>
      </c>
      <c r="B635" s="35">
        <f>'MPT Optimisation'!$B$16*'Returns  Stats'!B635+'MPT Optimisation'!$B$17*'Returns  Stats'!C635+'MPT Optimisation'!$B$18*'Returns  Stats'!D635+'MPT Optimisation'!$B$19*'Returns  Stats'!E635</f>
        <v>1.0505568799334042E-2</v>
      </c>
    </row>
    <row r="636" spans="1:2" ht="15" customHeight="1" x14ac:dyDescent="0.2">
      <c r="A636" s="32" t="str">
        <f>'Returns  Stats'!A636</f>
        <v>2023-07-14</v>
      </c>
      <c r="B636" s="35">
        <f>'MPT Optimisation'!$B$16*'Returns  Stats'!B636+'MPT Optimisation'!$B$17*'Returns  Stats'!C636+'MPT Optimisation'!$B$18*'Returns  Stats'!D636+'MPT Optimisation'!$B$19*'Returns  Stats'!E636</f>
        <v>-2.9164247611136174E-3</v>
      </c>
    </row>
    <row r="637" spans="1:2" ht="15" customHeight="1" x14ac:dyDescent="0.2">
      <c r="A637" s="32" t="str">
        <f>'Returns  Stats'!A637</f>
        <v>2023-07-17</v>
      </c>
      <c r="B637" s="35">
        <f>'MPT Optimisation'!$B$16*'Returns  Stats'!B637+'MPT Optimisation'!$B$17*'Returns  Stats'!C637+'MPT Optimisation'!$B$18*'Returns  Stats'!D637+'MPT Optimisation'!$B$19*'Returns  Stats'!E637</f>
        <v>1.6427901660653551E-3</v>
      </c>
    </row>
    <row r="638" spans="1:2" ht="15" customHeight="1" x14ac:dyDescent="0.2">
      <c r="A638" s="32" t="str">
        <f>'Returns  Stats'!A638</f>
        <v>2023-07-18</v>
      </c>
      <c r="B638" s="35">
        <f>'MPT Optimisation'!$B$16*'Returns  Stats'!B638+'MPT Optimisation'!$B$17*'Returns  Stats'!C638+'MPT Optimisation'!$B$18*'Returns  Stats'!D638+'MPT Optimisation'!$B$19*'Returns  Stats'!E638</f>
        <v>6.495822773365822E-3</v>
      </c>
    </row>
    <row r="639" spans="1:2" ht="15" customHeight="1" x14ac:dyDescent="0.2">
      <c r="A639" s="32" t="str">
        <f>'Returns  Stats'!A639</f>
        <v>2023-07-19</v>
      </c>
      <c r="B639" s="35">
        <f>'MPT Optimisation'!$B$16*'Returns  Stats'!B639+'MPT Optimisation'!$B$17*'Returns  Stats'!C639+'MPT Optimisation'!$B$18*'Returns  Stats'!D639+'MPT Optimisation'!$B$19*'Returns  Stats'!E639</f>
        <v>2.1175382311217072E-3</v>
      </c>
    </row>
    <row r="640" spans="1:2" ht="15" customHeight="1" x14ac:dyDescent="0.2">
      <c r="A640" s="32" t="str">
        <f>'Returns  Stats'!A640</f>
        <v>2023-07-20</v>
      </c>
      <c r="B640" s="35">
        <f>'MPT Optimisation'!$B$16*'Returns  Stats'!B640+'MPT Optimisation'!$B$17*'Returns  Stats'!C640+'MPT Optimisation'!$B$18*'Returns  Stats'!D640+'MPT Optimisation'!$B$19*'Returns  Stats'!E640</f>
        <v>-6.2893273235913264E-3</v>
      </c>
    </row>
    <row r="641" spans="1:2" ht="15" customHeight="1" x14ac:dyDescent="0.2">
      <c r="A641" s="32" t="str">
        <f>'Returns  Stats'!A641</f>
        <v>2023-07-21</v>
      </c>
      <c r="B641" s="35">
        <f>'MPT Optimisation'!$B$16*'Returns  Stats'!B641+'MPT Optimisation'!$B$17*'Returns  Stats'!C641+'MPT Optimisation'!$B$18*'Returns  Stats'!D641+'MPT Optimisation'!$B$19*'Returns  Stats'!E641</f>
        <v>8.2521144485733235E-4</v>
      </c>
    </row>
    <row r="642" spans="1:2" ht="15" customHeight="1" x14ac:dyDescent="0.2">
      <c r="A642" s="32" t="str">
        <f>'Returns  Stats'!A642</f>
        <v>2023-07-24</v>
      </c>
      <c r="B642" s="35">
        <f>'MPT Optimisation'!$B$16*'Returns  Stats'!B642+'MPT Optimisation'!$B$17*'Returns  Stats'!C642+'MPT Optimisation'!$B$18*'Returns  Stats'!D642+'MPT Optimisation'!$B$19*'Returns  Stats'!E642</f>
        <v>1.7186134375803627E-3</v>
      </c>
    </row>
    <row r="643" spans="1:2" ht="15" customHeight="1" x14ac:dyDescent="0.2">
      <c r="A643" s="32" t="str">
        <f>'Returns  Stats'!A643</f>
        <v>2023-07-25</v>
      </c>
      <c r="B643" s="35">
        <f>'MPT Optimisation'!$B$16*'Returns  Stats'!B643+'MPT Optimisation'!$B$17*'Returns  Stats'!C643+'MPT Optimisation'!$B$18*'Returns  Stats'!D643+'MPT Optimisation'!$B$19*'Returns  Stats'!E643</f>
        <v>1.4233551360071761E-3</v>
      </c>
    </row>
    <row r="644" spans="1:2" ht="15" customHeight="1" x14ac:dyDescent="0.2">
      <c r="A644" s="32" t="str">
        <f>'Returns  Stats'!A644</f>
        <v>2023-07-26</v>
      </c>
      <c r="B644" s="35">
        <f>'MPT Optimisation'!$B$16*'Returns  Stats'!B644+'MPT Optimisation'!$B$17*'Returns  Stats'!C644+'MPT Optimisation'!$B$18*'Returns  Stats'!D644+'MPT Optimisation'!$B$19*'Returns  Stats'!E644</f>
        <v>1.6513923542035625E-3</v>
      </c>
    </row>
    <row r="645" spans="1:2" ht="15" customHeight="1" x14ac:dyDescent="0.2">
      <c r="A645" s="32" t="str">
        <f>'Returns  Stats'!A645</f>
        <v>2023-07-27</v>
      </c>
      <c r="B645" s="35">
        <f>'MPT Optimisation'!$B$16*'Returns  Stats'!B645+'MPT Optimisation'!$B$17*'Returns  Stats'!C645+'MPT Optimisation'!$B$18*'Returns  Stats'!D645+'MPT Optimisation'!$B$19*'Returns  Stats'!E645</f>
        <v>-6.8259458961916816E-3</v>
      </c>
    </row>
    <row r="646" spans="1:2" ht="15" customHeight="1" x14ac:dyDescent="0.2">
      <c r="A646" s="32" t="str">
        <f>'Returns  Stats'!A646</f>
        <v>2023-07-28</v>
      </c>
      <c r="B646" s="35">
        <f>'MPT Optimisation'!$B$16*'Returns  Stats'!B646+'MPT Optimisation'!$B$17*'Returns  Stats'!C646+'MPT Optimisation'!$B$18*'Returns  Stats'!D646+'MPT Optimisation'!$B$19*'Returns  Stats'!E646</f>
        <v>8.563635913517326E-3</v>
      </c>
    </row>
    <row r="647" spans="1:2" ht="15" customHeight="1" x14ac:dyDescent="0.2">
      <c r="A647" s="32" t="str">
        <f>'Returns  Stats'!A647</f>
        <v>2023-07-31</v>
      </c>
      <c r="B647" s="35">
        <f>'MPT Optimisation'!$B$16*'Returns  Stats'!B647+'MPT Optimisation'!$B$17*'Returns  Stats'!C647+'MPT Optimisation'!$B$18*'Returns  Stats'!D647+'MPT Optimisation'!$B$19*'Returns  Stats'!E647</f>
        <v>2.2852063421796246E-3</v>
      </c>
    </row>
    <row r="648" spans="1:2" ht="15" customHeight="1" x14ac:dyDescent="0.2">
      <c r="A648" s="32" t="str">
        <f>'Returns  Stats'!A648</f>
        <v>2023-08-01</v>
      </c>
      <c r="B648" s="35">
        <f>'MPT Optimisation'!$B$16*'Returns  Stats'!B648+'MPT Optimisation'!$B$17*'Returns  Stats'!C648+'MPT Optimisation'!$B$18*'Returns  Stats'!D648+'MPT Optimisation'!$B$19*'Returns  Stats'!E648</f>
        <v>-5.7892379848136716E-3</v>
      </c>
    </row>
    <row r="649" spans="1:2" ht="15" customHeight="1" x14ac:dyDescent="0.2">
      <c r="A649" s="32" t="str">
        <f>'Returns  Stats'!A649</f>
        <v>2023-08-02</v>
      </c>
      <c r="B649" s="35">
        <f>'MPT Optimisation'!$B$16*'Returns  Stats'!B649+'MPT Optimisation'!$B$17*'Returns  Stats'!C649+'MPT Optimisation'!$B$18*'Returns  Stats'!D649+'MPT Optimisation'!$B$19*'Returns  Stats'!E649</f>
        <v>-1.4506207828895728E-2</v>
      </c>
    </row>
    <row r="650" spans="1:2" ht="15" customHeight="1" x14ac:dyDescent="0.2">
      <c r="A650" s="32" t="str">
        <f>'Returns  Stats'!A650</f>
        <v>2023-08-03</v>
      </c>
      <c r="B650" s="35">
        <f>'MPT Optimisation'!$B$16*'Returns  Stats'!B650+'MPT Optimisation'!$B$17*'Returns  Stats'!C650+'MPT Optimisation'!$B$18*'Returns  Stats'!D650+'MPT Optimisation'!$B$19*'Returns  Stats'!E650</f>
        <v>-3.4489736141205818E-3</v>
      </c>
    </row>
    <row r="651" spans="1:2" ht="15" customHeight="1" x14ac:dyDescent="0.2">
      <c r="A651" s="32" t="str">
        <f>'Returns  Stats'!A651</f>
        <v>2023-08-04</v>
      </c>
      <c r="B651" s="35">
        <f>'MPT Optimisation'!$B$16*'Returns  Stats'!B651+'MPT Optimisation'!$B$17*'Returns  Stats'!C651+'MPT Optimisation'!$B$18*'Returns  Stats'!D651+'MPT Optimisation'!$B$19*'Returns  Stats'!E651</f>
        <v>-1.706763671225259E-3</v>
      </c>
    </row>
    <row r="652" spans="1:2" ht="15" customHeight="1" x14ac:dyDescent="0.2">
      <c r="A652" s="32" t="str">
        <f>'Returns  Stats'!A652</f>
        <v>2023-08-07</v>
      </c>
      <c r="B652" s="35">
        <f>'MPT Optimisation'!$B$16*'Returns  Stats'!B652+'MPT Optimisation'!$B$17*'Returns  Stats'!C652+'MPT Optimisation'!$B$18*'Returns  Stats'!D652+'MPT Optimisation'!$B$19*'Returns  Stats'!E652</f>
        <v>7.7755683753708447E-3</v>
      </c>
    </row>
    <row r="653" spans="1:2" ht="15" customHeight="1" x14ac:dyDescent="0.2">
      <c r="A653" s="32" t="str">
        <f>'Returns  Stats'!A653</f>
        <v>2023-08-08</v>
      </c>
      <c r="B653" s="35">
        <f>'MPT Optimisation'!$B$16*'Returns  Stats'!B653+'MPT Optimisation'!$B$17*'Returns  Stats'!C653+'MPT Optimisation'!$B$18*'Returns  Stats'!D653+'MPT Optimisation'!$B$19*'Returns  Stats'!E653</f>
        <v>-4.7942580634338988E-3</v>
      </c>
    </row>
    <row r="654" spans="1:2" ht="15" customHeight="1" x14ac:dyDescent="0.2">
      <c r="A654" s="32" t="str">
        <f>'Returns  Stats'!A654</f>
        <v>2023-08-09</v>
      </c>
      <c r="B654" s="35">
        <f>'MPT Optimisation'!$B$16*'Returns  Stats'!B654+'MPT Optimisation'!$B$17*'Returns  Stats'!C654+'MPT Optimisation'!$B$18*'Returns  Stats'!D654+'MPT Optimisation'!$B$19*'Returns  Stats'!E654</f>
        <v>-4.3468676797873635E-3</v>
      </c>
    </row>
    <row r="655" spans="1:2" ht="15" customHeight="1" x14ac:dyDescent="0.2">
      <c r="A655" s="32" t="str">
        <f>'Returns  Stats'!A655</f>
        <v>2023-08-10</v>
      </c>
      <c r="B655" s="35">
        <f>'MPT Optimisation'!$B$16*'Returns  Stats'!B655+'MPT Optimisation'!$B$17*'Returns  Stats'!C655+'MPT Optimisation'!$B$18*'Returns  Stats'!D655+'MPT Optimisation'!$B$19*'Returns  Stats'!E655</f>
        <v>8.7796424154995534E-4</v>
      </c>
    </row>
    <row r="656" spans="1:2" ht="15" customHeight="1" x14ac:dyDescent="0.2">
      <c r="A656" s="32" t="str">
        <f>'Returns  Stats'!A656</f>
        <v>2023-08-11</v>
      </c>
      <c r="B656" s="35">
        <f>'MPT Optimisation'!$B$16*'Returns  Stats'!B656+'MPT Optimisation'!$B$17*'Returns  Stats'!C656+'MPT Optimisation'!$B$18*'Returns  Stats'!D656+'MPT Optimisation'!$B$19*'Returns  Stats'!E656</f>
        <v>-2.6692326741852342E-3</v>
      </c>
    </row>
    <row r="657" spans="1:2" ht="15" customHeight="1" x14ac:dyDescent="0.2">
      <c r="A657" s="32" t="str">
        <f>'Returns  Stats'!A657</f>
        <v>2023-08-14</v>
      </c>
      <c r="B657" s="35">
        <f>'MPT Optimisation'!$B$16*'Returns  Stats'!B657+'MPT Optimisation'!$B$17*'Returns  Stats'!C657+'MPT Optimisation'!$B$18*'Returns  Stats'!D657+'MPT Optimisation'!$B$19*'Returns  Stats'!E657</f>
        <v>1.2782103207083396E-3</v>
      </c>
    </row>
    <row r="658" spans="1:2" ht="15" customHeight="1" x14ac:dyDescent="0.2">
      <c r="A658" s="32" t="str">
        <f>'Returns  Stats'!A658</f>
        <v>2023-08-15</v>
      </c>
      <c r="B658" s="35">
        <f>'MPT Optimisation'!$B$16*'Returns  Stats'!B658+'MPT Optimisation'!$B$17*'Returns  Stats'!C658+'MPT Optimisation'!$B$18*'Returns  Stats'!D658+'MPT Optimisation'!$B$19*'Returns  Stats'!E658</f>
        <v>-1.1225539772723996E-2</v>
      </c>
    </row>
    <row r="659" spans="1:2" ht="15" customHeight="1" x14ac:dyDescent="0.2">
      <c r="A659" s="32" t="str">
        <f>'Returns  Stats'!A659</f>
        <v>2023-08-16</v>
      </c>
      <c r="B659" s="35">
        <f>'MPT Optimisation'!$B$16*'Returns  Stats'!B659+'MPT Optimisation'!$B$17*'Returns  Stats'!C659+'MPT Optimisation'!$B$18*'Returns  Stats'!D659+'MPT Optimisation'!$B$19*'Returns  Stats'!E659</f>
        <v>-8.1458221995799832E-3</v>
      </c>
    </row>
    <row r="660" spans="1:2" ht="15" customHeight="1" x14ac:dyDescent="0.2">
      <c r="A660" s="32" t="str">
        <f>'Returns  Stats'!A660</f>
        <v>2023-08-17</v>
      </c>
      <c r="B660" s="35">
        <f>'MPT Optimisation'!$B$16*'Returns  Stats'!B660+'MPT Optimisation'!$B$17*'Returns  Stats'!C660+'MPT Optimisation'!$B$18*'Returns  Stats'!D660+'MPT Optimisation'!$B$19*'Returns  Stats'!E660</f>
        <v>-7.501135715764622E-3</v>
      </c>
    </row>
    <row r="661" spans="1:2" ht="15" customHeight="1" x14ac:dyDescent="0.2">
      <c r="A661" s="32" t="str">
        <f>'Returns  Stats'!A661</f>
        <v>2023-08-18</v>
      </c>
      <c r="B661" s="35">
        <f>'MPT Optimisation'!$B$16*'Returns  Stats'!B661+'MPT Optimisation'!$B$17*'Returns  Stats'!C661+'MPT Optimisation'!$B$18*'Returns  Stats'!D661+'MPT Optimisation'!$B$19*'Returns  Stats'!E661</f>
        <v>9.5796225132351877E-4</v>
      </c>
    </row>
    <row r="662" spans="1:2" ht="15" customHeight="1" x14ac:dyDescent="0.2">
      <c r="A662" s="32" t="str">
        <f>'Returns  Stats'!A662</f>
        <v>2023-08-21</v>
      </c>
      <c r="B662" s="35">
        <f>'MPT Optimisation'!$B$16*'Returns  Stats'!B662+'MPT Optimisation'!$B$17*'Returns  Stats'!C662+'MPT Optimisation'!$B$18*'Returns  Stats'!D662+'MPT Optimisation'!$B$19*'Returns  Stats'!E662</f>
        <v>3.8618895099456429E-3</v>
      </c>
    </row>
    <row r="663" spans="1:2" ht="15" customHeight="1" x14ac:dyDescent="0.2">
      <c r="A663" s="32" t="str">
        <f>'Returns  Stats'!A663</f>
        <v>2023-08-22</v>
      </c>
      <c r="B663" s="35">
        <f>'MPT Optimisation'!$B$16*'Returns  Stats'!B663+'MPT Optimisation'!$B$17*'Returns  Stats'!C663+'MPT Optimisation'!$B$18*'Returns  Stats'!D663+'MPT Optimisation'!$B$19*'Returns  Stats'!E663</f>
        <v>-1.9539926901637862E-3</v>
      </c>
    </row>
    <row r="664" spans="1:2" ht="15" customHeight="1" x14ac:dyDescent="0.2">
      <c r="A664" s="32" t="str">
        <f>'Returns  Stats'!A664</f>
        <v>2023-08-23</v>
      </c>
      <c r="B664" s="35">
        <f>'MPT Optimisation'!$B$16*'Returns  Stats'!B664+'MPT Optimisation'!$B$17*'Returns  Stats'!C664+'MPT Optimisation'!$B$18*'Returns  Stats'!D664+'MPT Optimisation'!$B$19*'Returns  Stats'!E664</f>
        <v>1.1084652489081248E-2</v>
      </c>
    </row>
    <row r="665" spans="1:2" ht="15" customHeight="1" x14ac:dyDescent="0.2">
      <c r="A665" s="32" t="str">
        <f>'Returns  Stats'!A665</f>
        <v>2023-08-24</v>
      </c>
      <c r="B665" s="35">
        <f>'MPT Optimisation'!$B$16*'Returns  Stats'!B665+'MPT Optimisation'!$B$17*'Returns  Stats'!C665+'MPT Optimisation'!$B$18*'Returns  Stats'!D665+'MPT Optimisation'!$B$19*'Returns  Stats'!E665</f>
        <v>-1.2462772041015691E-2</v>
      </c>
    </row>
    <row r="666" spans="1:2" ht="15" customHeight="1" x14ac:dyDescent="0.2">
      <c r="A666" s="32" t="str">
        <f>'Returns  Stats'!A666</f>
        <v>2023-08-25</v>
      </c>
      <c r="B666" s="35">
        <f>'MPT Optimisation'!$B$16*'Returns  Stats'!B666+'MPT Optimisation'!$B$17*'Returns  Stats'!C666+'MPT Optimisation'!$B$18*'Returns  Stats'!D666+'MPT Optimisation'!$B$19*'Returns  Stats'!E666</f>
        <v>6.1171045430464081E-3</v>
      </c>
    </row>
    <row r="667" spans="1:2" ht="15" customHeight="1" x14ac:dyDescent="0.2">
      <c r="A667" s="32" t="str">
        <f>'Returns  Stats'!A667</f>
        <v>2023-08-28</v>
      </c>
      <c r="B667" s="35">
        <f>'MPT Optimisation'!$B$16*'Returns  Stats'!B667+'MPT Optimisation'!$B$17*'Returns  Stats'!C667+'MPT Optimisation'!$B$18*'Returns  Stats'!D667+'MPT Optimisation'!$B$19*'Returns  Stats'!E667</f>
        <v>7.5828791222795943E-3</v>
      </c>
    </row>
    <row r="668" spans="1:2" ht="15" customHeight="1" x14ac:dyDescent="0.2">
      <c r="A668" s="32" t="str">
        <f>'Returns  Stats'!A668</f>
        <v>2023-08-29</v>
      </c>
      <c r="B668" s="35">
        <f>'MPT Optimisation'!$B$16*'Returns  Stats'!B668+'MPT Optimisation'!$B$17*'Returns  Stats'!C668+'MPT Optimisation'!$B$18*'Returns  Stats'!D668+'MPT Optimisation'!$B$19*'Returns  Stats'!E668</f>
        <v>1.3376058219391529E-2</v>
      </c>
    </row>
    <row r="669" spans="1:2" ht="15" customHeight="1" x14ac:dyDescent="0.2">
      <c r="A669" s="32" t="str">
        <f>'Returns  Stats'!A669</f>
        <v>2023-08-30</v>
      </c>
      <c r="B669" s="35">
        <f>'MPT Optimisation'!$B$16*'Returns  Stats'!B669+'MPT Optimisation'!$B$17*'Returns  Stats'!C669+'MPT Optimisation'!$B$18*'Returns  Stats'!D669+'MPT Optimisation'!$B$19*'Returns  Stats'!E669</f>
        <v>2.65508892901114E-3</v>
      </c>
    </row>
    <row r="670" spans="1:2" ht="15" customHeight="1" x14ac:dyDescent="0.2">
      <c r="A670" s="32" t="str">
        <f>'Returns  Stats'!A670</f>
        <v>2023-08-31</v>
      </c>
      <c r="B670" s="35">
        <f>'MPT Optimisation'!$B$16*'Returns  Stats'!B670+'MPT Optimisation'!$B$17*'Returns  Stats'!C670+'MPT Optimisation'!$B$18*'Returns  Stats'!D670+'MPT Optimisation'!$B$19*'Returns  Stats'!E670</f>
        <v>-2.1071767590152501E-3</v>
      </c>
    </row>
    <row r="671" spans="1:2" ht="15" customHeight="1" x14ac:dyDescent="0.2">
      <c r="A671" s="32" t="str">
        <f>'Returns  Stats'!A671</f>
        <v>2023-09-01</v>
      </c>
      <c r="B671" s="35">
        <f>'MPT Optimisation'!$B$16*'Returns  Stats'!B671+'MPT Optimisation'!$B$17*'Returns  Stats'!C671+'MPT Optimisation'!$B$18*'Returns  Stats'!D671+'MPT Optimisation'!$B$19*'Returns  Stats'!E671</f>
        <v>1.6409077675922645E-3</v>
      </c>
    </row>
    <row r="672" spans="1:2" ht="15" customHeight="1" x14ac:dyDescent="0.2">
      <c r="A672" s="32" t="str">
        <f>'Returns  Stats'!A672</f>
        <v>2023-09-05</v>
      </c>
      <c r="B672" s="35">
        <f>'MPT Optimisation'!$B$16*'Returns  Stats'!B672+'MPT Optimisation'!$B$17*'Returns  Stats'!C672+'MPT Optimisation'!$B$18*'Returns  Stats'!D672+'MPT Optimisation'!$B$19*'Returns  Stats'!E672</f>
        <v>-7.0325225266595678E-3</v>
      </c>
    </row>
    <row r="673" spans="1:2" ht="15" customHeight="1" x14ac:dyDescent="0.2">
      <c r="A673" s="32" t="str">
        <f>'Returns  Stats'!A673</f>
        <v>2023-09-06</v>
      </c>
      <c r="B673" s="35">
        <f>'MPT Optimisation'!$B$16*'Returns  Stats'!B673+'MPT Optimisation'!$B$17*'Returns  Stats'!C673+'MPT Optimisation'!$B$18*'Returns  Stats'!D673+'MPT Optimisation'!$B$19*'Returns  Stats'!E673</f>
        <v>-4.5474468311911161E-3</v>
      </c>
    </row>
    <row r="674" spans="1:2" ht="15" customHeight="1" x14ac:dyDescent="0.2">
      <c r="A674" s="32" t="str">
        <f>'Returns  Stats'!A674</f>
        <v>2023-09-07</v>
      </c>
      <c r="B674" s="35">
        <f>'MPT Optimisation'!$B$16*'Returns  Stats'!B674+'MPT Optimisation'!$B$17*'Returns  Stats'!C674+'MPT Optimisation'!$B$18*'Returns  Stats'!D674+'MPT Optimisation'!$B$19*'Returns  Stats'!E674</f>
        <v>-2.5597547560510356E-3</v>
      </c>
    </row>
    <row r="675" spans="1:2" ht="15" customHeight="1" x14ac:dyDescent="0.2">
      <c r="A675" s="32" t="str">
        <f>'Returns  Stats'!A675</f>
        <v>2023-09-08</v>
      </c>
      <c r="B675" s="35">
        <f>'MPT Optimisation'!$B$16*'Returns  Stats'!B675+'MPT Optimisation'!$B$17*'Returns  Stats'!C675+'MPT Optimisation'!$B$18*'Returns  Stats'!D675+'MPT Optimisation'!$B$19*'Returns  Stats'!E675</f>
        <v>5.614351221840946E-5</v>
      </c>
    </row>
    <row r="676" spans="1:2" ht="15" customHeight="1" x14ac:dyDescent="0.2">
      <c r="A676" s="32" t="str">
        <f>'Returns  Stats'!A676</f>
        <v>2023-09-11</v>
      </c>
      <c r="B676" s="35">
        <f>'MPT Optimisation'!$B$16*'Returns  Stats'!B676+'MPT Optimisation'!$B$17*'Returns  Stats'!C676+'MPT Optimisation'!$B$18*'Returns  Stats'!D676+'MPT Optimisation'!$B$19*'Returns  Stats'!E676</f>
        <v>6.8265783603951857E-3</v>
      </c>
    </row>
    <row r="677" spans="1:2" ht="15" customHeight="1" x14ac:dyDescent="0.2">
      <c r="A677" s="32" t="str">
        <f>'Returns  Stats'!A677</f>
        <v>2023-09-12</v>
      </c>
      <c r="B677" s="35">
        <f>'MPT Optimisation'!$B$16*'Returns  Stats'!B677+'MPT Optimisation'!$B$17*'Returns  Stats'!C677+'MPT Optimisation'!$B$18*'Returns  Stats'!D677+'MPT Optimisation'!$B$19*'Returns  Stats'!E677</f>
        <v>-4.14041181792138E-3</v>
      </c>
    </row>
    <row r="678" spans="1:2" ht="15" customHeight="1" x14ac:dyDescent="0.2">
      <c r="A678" s="32" t="str">
        <f>'Returns  Stats'!A678</f>
        <v>2023-09-13</v>
      </c>
      <c r="B678" s="35">
        <f>'MPT Optimisation'!$B$16*'Returns  Stats'!B678+'MPT Optimisation'!$B$17*'Returns  Stats'!C678+'MPT Optimisation'!$B$18*'Returns  Stats'!D678+'MPT Optimisation'!$B$19*'Returns  Stats'!E678</f>
        <v>-1.3230655811582671E-3</v>
      </c>
    </row>
    <row r="679" spans="1:2" ht="15" customHeight="1" x14ac:dyDescent="0.2">
      <c r="A679" s="32" t="str">
        <f>'Returns  Stats'!A679</f>
        <v>2023-09-14</v>
      </c>
      <c r="B679" s="35">
        <f>'MPT Optimisation'!$B$16*'Returns  Stats'!B679+'MPT Optimisation'!$B$17*'Returns  Stats'!C679+'MPT Optimisation'!$B$18*'Returns  Stats'!D679+'MPT Optimisation'!$B$19*'Returns  Stats'!E679</f>
        <v>9.9291069602192809E-3</v>
      </c>
    </row>
    <row r="680" spans="1:2" ht="15" customHeight="1" x14ac:dyDescent="0.2">
      <c r="A680" s="32" t="str">
        <f>'Returns  Stats'!A680</f>
        <v>2023-09-15</v>
      </c>
      <c r="B680" s="35">
        <f>'MPT Optimisation'!$B$16*'Returns  Stats'!B680+'MPT Optimisation'!$B$17*'Returns  Stats'!C680+'MPT Optimisation'!$B$18*'Returns  Stats'!D680+'MPT Optimisation'!$B$19*'Returns  Stats'!E680</f>
        <v>-8.0300254958299185E-3</v>
      </c>
    </row>
    <row r="681" spans="1:2" ht="15" customHeight="1" x14ac:dyDescent="0.2">
      <c r="A681" s="32" t="str">
        <f>'Returns  Stats'!A681</f>
        <v>2023-09-18</v>
      </c>
      <c r="B681" s="35">
        <f>'MPT Optimisation'!$B$16*'Returns  Stats'!B681+'MPT Optimisation'!$B$17*'Returns  Stats'!C681+'MPT Optimisation'!$B$18*'Returns  Stats'!D681+'MPT Optimisation'!$B$19*'Returns  Stats'!E681</f>
        <v>-1.3692258699188997E-3</v>
      </c>
    </row>
    <row r="682" spans="1:2" ht="15" customHeight="1" x14ac:dyDescent="0.2">
      <c r="A682" s="32" t="str">
        <f>'Returns  Stats'!A682</f>
        <v>2023-09-19</v>
      </c>
      <c r="B682" s="35">
        <f>'MPT Optimisation'!$B$16*'Returns  Stats'!B682+'MPT Optimisation'!$B$17*'Returns  Stats'!C682+'MPT Optimisation'!$B$18*'Returns  Stats'!D682+'MPT Optimisation'!$B$19*'Returns  Stats'!E682</f>
        <v>-1.6415160809829079E-3</v>
      </c>
    </row>
    <row r="683" spans="1:2" ht="15" customHeight="1" x14ac:dyDescent="0.2">
      <c r="A683" s="32" t="str">
        <f>'Returns  Stats'!A683</f>
        <v>2023-09-20</v>
      </c>
      <c r="B683" s="35">
        <f>'MPT Optimisation'!$B$16*'Returns  Stats'!B683+'MPT Optimisation'!$B$17*'Returns  Stats'!C683+'MPT Optimisation'!$B$18*'Returns  Stats'!D683+'MPT Optimisation'!$B$19*'Returns  Stats'!E683</f>
        <v>-6.0055852577729878E-3</v>
      </c>
    </row>
    <row r="684" spans="1:2" ht="15" customHeight="1" x14ac:dyDescent="0.2">
      <c r="A684" s="32" t="str">
        <f>'Returns  Stats'!A684</f>
        <v>2023-09-21</v>
      </c>
      <c r="B684" s="35">
        <f>'MPT Optimisation'!$B$16*'Returns  Stats'!B684+'MPT Optimisation'!$B$17*'Returns  Stats'!C684+'MPT Optimisation'!$B$18*'Returns  Stats'!D684+'MPT Optimisation'!$B$19*'Returns  Stats'!E684</f>
        <v>-1.7091032680667965E-2</v>
      </c>
    </row>
    <row r="685" spans="1:2" ht="15" customHeight="1" x14ac:dyDescent="0.2">
      <c r="A685" s="32" t="str">
        <f>'Returns  Stats'!A685</f>
        <v>2023-09-22</v>
      </c>
      <c r="B685" s="35">
        <f>'MPT Optimisation'!$B$16*'Returns  Stats'!B685+'MPT Optimisation'!$B$17*'Returns  Stats'!C685+'MPT Optimisation'!$B$18*'Returns  Stats'!D685+'MPT Optimisation'!$B$19*'Returns  Stats'!E685</f>
        <v>-1.170187598074213E-3</v>
      </c>
    </row>
    <row r="686" spans="1:2" ht="15" customHeight="1" x14ac:dyDescent="0.2">
      <c r="A686" s="32" t="str">
        <f>'Returns  Stats'!A686</f>
        <v>2023-09-25</v>
      </c>
      <c r="B686" s="35">
        <f>'MPT Optimisation'!$B$16*'Returns  Stats'!B686+'MPT Optimisation'!$B$17*'Returns  Stats'!C686+'MPT Optimisation'!$B$18*'Returns  Stats'!D686+'MPT Optimisation'!$B$19*'Returns  Stats'!E686</f>
        <v>6.4510668047623189E-4</v>
      </c>
    </row>
    <row r="687" spans="1:2" ht="15" customHeight="1" x14ac:dyDescent="0.2">
      <c r="A687" s="32" t="str">
        <f>'Returns  Stats'!A687</f>
        <v>2023-09-26</v>
      </c>
      <c r="B687" s="35">
        <f>'MPT Optimisation'!$B$16*'Returns  Stats'!B687+'MPT Optimisation'!$B$17*'Returns  Stats'!C687+'MPT Optimisation'!$B$18*'Returns  Stats'!D687+'MPT Optimisation'!$B$19*'Returns  Stats'!E687</f>
        <v>-1.3498128390604474E-2</v>
      </c>
    </row>
    <row r="688" spans="1:2" ht="15" customHeight="1" x14ac:dyDescent="0.2">
      <c r="A688" s="32" t="str">
        <f>'Returns  Stats'!A688</f>
        <v>2023-09-27</v>
      </c>
      <c r="B688" s="35">
        <f>'MPT Optimisation'!$B$16*'Returns  Stats'!B688+'MPT Optimisation'!$B$17*'Returns  Stats'!C688+'MPT Optimisation'!$B$18*'Returns  Stats'!D688+'MPT Optimisation'!$B$19*'Returns  Stats'!E688</f>
        <v>-4.5430161931471762E-4</v>
      </c>
    </row>
    <row r="689" spans="1:2" ht="15" customHeight="1" x14ac:dyDescent="0.2">
      <c r="A689" s="32" t="str">
        <f>'Returns  Stats'!A689</f>
        <v>2023-09-28</v>
      </c>
      <c r="B689" s="35">
        <f>'MPT Optimisation'!$B$16*'Returns  Stats'!B689+'MPT Optimisation'!$B$17*'Returns  Stats'!C689+'MPT Optimisation'!$B$18*'Returns  Stats'!D689+'MPT Optimisation'!$B$19*'Returns  Stats'!E689</f>
        <v>7.0486734502662064E-3</v>
      </c>
    </row>
    <row r="690" spans="1:2" ht="15" customHeight="1" x14ac:dyDescent="0.2">
      <c r="A690" s="32" t="str">
        <f>'Returns  Stats'!A690</f>
        <v>2023-09-29</v>
      </c>
      <c r="B690" s="35">
        <f>'MPT Optimisation'!$B$16*'Returns  Stats'!B690+'MPT Optimisation'!$B$17*'Returns  Stats'!C690+'MPT Optimisation'!$B$18*'Returns  Stats'!D690+'MPT Optimisation'!$B$19*'Returns  Stats'!E690</f>
        <v>-2.5163115080396202E-3</v>
      </c>
    </row>
    <row r="691" spans="1:2" ht="15" customHeight="1" x14ac:dyDescent="0.2">
      <c r="A691" s="32" t="str">
        <f>'Returns  Stats'!A691</f>
        <v>2023-10-02</v>
      </c>
      <c r="B691" s="35">
        <f>'MPT Optimisation'!$B$16*'Returns  Stats'!B691+'MPT Optimisation'!$B$17*'Returns  Stats'!C691+'MPT Optimisation'!$B$18*'Returns  Stats'!D691+'MPT Optimisation'!$B$19*'Returns  Stats'!E691</f>
        <v>-6.4540706015453579E-3</v>
      </c>
    </row>
    <row r="692" spans="1:2" ht="15" customHeight="1" x14ac:dyDescent="0.2">
      <c r="A692" s="32" t="str">
        <f>'Returns  Stats'!A692</f>
        <v>2023-10-03</v>
      </c>
      <c r="B692" s="35">
        <f>'MPT Optimisation'!$B$16*'Returns  Stats'!B692+'MPT Optimisation'!$B$17*'Returns  Stats'!C692+'MPT Optimisation'!$B$18*'Returns  Stats'!D692+'MPT Optimisation'!$B$19*'Returns  Stats'!E692</f>
        <v>-1.3834733340975246E-2</v>
      </c>
    </row>
    <row r="693" spans="1:2" ht="15" customHeight="1" x14ac:dyDescent="0.2">
      <c r="A693" s="32" t="str">
        <f>'Returns  Stats'!A693</f>
        <v>2023-10-04</v>
      </c>
      <c r="B693" s="35">
        <f>'MPT Optimisation'!$B$16*'Returns  Stats'!B693+'MPT Optimisation'!$B$17*'Returns  Stats'!C693+'MPT Optimisation'!$B$18*'Returns  Stats'!D693+'MPT Optimisation'!$B$19*'Returns  Stats'!E693</f>
        <v>5.8335576957888489E-3</v>
      </c>
    </row>
    <row r="694" spans="1:2" ht="15" customHeight="1" x14ac:dyDescent="0.2">
      <c r="A694" s="32" t="str">
        <f>'Returns  Stats'!A694</f>
        <v>2023-10-05</v>
      </c>
      <c r="B694" s="35">
        <f>'MPT Optimisation'!$B$16*'Returns  Stats'!B694+'MPT Optimisation'!$B$17*'Returns  Stats'!C694+'MPT Optimisation'!$B$18*'Returns  Stats'!D694+'MPT Optimisation'!$B$19*'Returns  Stats'!E694</f>
        <v>2.6315799459972972E-3</v>
      </c>
    </row>
    <row r="695" spans="1:2" ht="15" customHeight="1" x14ac:dyDescent="0.2">
      <c r="A695" s="32" t="str">
        <f>'Returns  Stats'!A695</f>
        <v>2023-10-06</v>
      </c>
      <c r="B695" s="35">
        <f>'MPT Optimisation'!$B$16*'Returns  Stats'!B695+'MPT Optimisation'!$B$17*'Returns  Stats'!C695+'MPT Optimisation'!$B$18*'Returns  Stats'!D695+'MPT Optimisation'!$B$19*'Returns  Stats'!E695</f>
        <v>1.0417846110660234E-2</v>
      </c>
    </row>
    <row r="696" spans="1:2" ht="15" customHeight="1" x14ac:dyDescent="0.2">
      <c r="A696" s="32" t="str">
        <f>'Returns  Stats'!A696</f>
        <v>2023-10-09</v>
      </c>
      <c r="B696" s="35">
        <f>'MPT Optimisation'!$B$16*'Returns  Stats'!B696+'MPT Optimisation'!$B$17*'Returns  Stats'!C696+'MPT Optimisation'!$B$18*'Returns  Stats'!D696+'MPT Optimisation'!$B$19*'Returns  Stats'!E696</f>
        <v>4.3999550770942412E-3</v>
      </c>
    </row>
    <row r="697" spans="1:2" ht="15" customHeight="1" x14ac:dyDescent="0.2">
      <c r="A697" s="32" t="str">
        <f>'Returns  Stats'!A697</f>
        <v>2023-10-10</v>
      </c>
      <c r="B697" s="35">
        <f>'MPT Optimisation'!$B$16*'Returns  Stats'!B697+'MPT Optimisation'!$B$17*'Returns  Stats'!C697+'MPT Optimisation'!$B$18*'Returns  Stats'!D697+'MPT Optimisation'!$B$19*'Returns  Stats'!E697</f>
        <v>8.0368825453868021E-3</v>
      </c>
    </row>
    <row r="698" spans="1:2" ht="15" customHeight="1" x14ac:dyDescent="0.2">
      <c r="A698" s="32" t="str">
        <f>'Returns  Stats'!A698</f>
        <v>2023-10-11</v>
      </c>
      <c r="B698" s="35">
        <f>'MPT Optimisation'!$B$16*'Returns  Stats'!B698+'MPT Optimisation'!$B$17*'Returns  Stats'!C698+'MPT Optimisation'!$B$18*'Returns  Stats'!D698+'MPT Optimisation'!$B$19*'Returns  Stats'!E698</f>
        <v>4.7167272160097192E-3</v>
      </c>
    </row>
    <row r="699" spans="1:2" ht="15" customHeight="1" x14ac:dyDescent="0.2">
      <c r="A699" s="32" t="str">
        <f>'Returns  Stats'!A699</f>
        <v>2023-10-12</v>
      </c>
      <c r="B699" s="35">
        <f>'MPT Optimisation'!$B$16*'Returns  Stats'!B699+'MPT Optimisation'!$B$17*'Returns  Stats'!C699+'MPT Optimisation'!$B$18*'Returns  Stats'!D699+'MPT Optimisation'!$B$19*'Returns  Stats'!E699</f>
        <v>-8.4805882017154229E-3</v>
      </c>
    </row>
    <row r="700" spans="1:2" ht="15" customHeight="1" x14ac:dyDescent="0.2">
      <c r="A700" s="32" t="str">
        <f>'Returns  Stats'!A700</f>
        <v>2023-10-13</v>
      </c>
      <c r="B700" s="35">
        <f>'MPT Optimisation'!$B$16*'Returns  Stats'!B700+'MPT Optimisation'!$B$17*'Returns  Stats'!C700+'MPT Optimisation'!$B$18*'Returns  Stats'!D700+'MPT Optimisation'!$B$19*'Returns  Stats'!E700</f>
        <v>-6.0716297208445727E-3</v>
      </c>
    </row>
    <row r="701" spans="1:2" ht="15" customHeight="1" x14ac:dyDescent="0.2">
      <c r="A701" s="32" t="str">
        <f>'Returns  Stats'!A701</f>
        <v>2023-10-16</v>
      </c>
      <c r="B701" s="35">
        <f>'MPT Optimisation'!$B$16*'Returns  Stats'!B701+'MPT Optimisation'!$B$17*'Returns  Stats'!C701+'MPT Optimisation'!$B$18*'Returns  Stats'!D701+'MPT Optimisation'!$B$19*'Returns  Stats'!E701</f>
        <v>9.4791048753741624E-3</v>
      </c>
    </row>
    <row r="702" spans="1:2" ht="15" customHeight="1" x14ac:dyDescent="0.2">
      <c r="A702" s="32" t="str">
        <f>'Returns  Stats'!A702</f>
        <v>2023-10-17</v>
      </c>
      <c r="B702" s="35">
        <f>'MPT Optimisation'!$B$16*'Returns  Stats'!B702+'MPT Optimisation'!$B$17*'Returns  Stats'!C702+'MPT Optimisation'!$B$18*'Returns  Stats'!D702+'MPT Optimisation'!$B$19*'Returns  Stats'!E702</f>
        <v>5.2003551220841096E-4</v>
      </c>
    </row>
    <row r="703" spans="1:2" ht="15" customHeight="1" x14ac:dyDescent="0.2">
      <c r="A703" s="32" t="str">
        <f>'Returns  Stats'!A703</f>
        <v>2023-10-18</v>
      </c>
      <c r="B703" s="35">
        <f>'MPT Optimisation'!$B$16*'Returns  Stats'!B703+'MPT Optimisation'!$B$17*'Returns  Stats'!C703+'MPT Optimisation'!$B$18*'Returns  Stats'!D703+'MPT Optimisation'!$B$19*'Returns  Stats'!E703</f>
        <v>-1.539107297625069E-2</v>
      </c>
    </row>
    <row r="704" spans="1:2" ht="15" customHeight="1" x14ac:dyDescent="0.2">
      <c r="A704" s="32" t="str">
        <f>'Returns  Stats'!A704</f>
        <v>2023-10-19</v>
      </c>
      <c r="B704" s="35">
        <f>'MPT Optimisation'!$B$16*'Returns  Stats'!B704+'MPT Optimisation'!$B$17*'Returns  Stats'!C704+'MPT Optimisation'!$B$18*'Returns  Stats'!D704+'MPT Optimisation'!$B$19*'Returns  Stats'!E704</f>
        <v>-9.691128942460759E-3</v>
      </c>
    </row>
    <row r="705" spans="1:2" ht="15" customHeight="1" x14ac:dyDescent="0.2">
      <c r="A705" s="32" t="str">
        <f>'Returns  Stats'!A705</f>
        <v>2023-10-20</v>
      </c>
      <c r="B705" s="35">
        <f>'MPT Optimisation'!$B$16*'Returns  Stats'!B705+'MPT Optimisation'!$B$17*'Returns  Stats'!C705+'MPT Optimisation'!$B$18*'Returns  Stats'!D705+'MPT Optimisation'!$B$19*'Returns  Stats'!E705</f>
        <v>-1.0254915930375358E-2</v>
      </c>
    </row>
    <row r="706" spans="1:2" ht="15" customHeight="1" x14ac:dyDescent="0.2">
      <c r="A706" s="32" t="str">
        <f>'Returns  Stats'!A706</f>
        <v>2023-10-23</v>
      </c>
      <c r="B706" s="35">
        <f>'MPT Optimisation'!$B$16*'Returns  Stats'!B706+'MPT Optimisation'!$B$17*'Returns  Stats'!C706+'MPT Optimisation'!$B$18*'Returns  Stats'!D706+'MPT Optimisation'!$B$19*'Returns  Stats'!E706</f>
        <v>-1.7098150209193864E-3</v>
      </c>
    </row>
    <row r="707" spans="1:2" ht="15" customHeight="1" x14ac:dyDescent="0.2">
      <c r="A707" s="32" t="str">
        <f>'Returns  Stats'!A707</f>
        <v>2023-10-24</v>
      </c>
      <c r="B707" s="35">
        <f>'MPT Optimisation'!$B$16*'Returns  Stats'!B707+'MPT Optimisation'!$B$17*'Returns  Stats'!C707+'MPT Optimisation'!$B$18*'Returns  Stats'!D707+'MPT Optimisation'!$B$19*'Returns  Stats'!E707</f>
        <v>7.0624862648539398E-3</v>
      </c>
    </row>
    <row r="708" spans="1:2" ht="15" customHeight="1" x14ac:dyDescent="0.2">
      <c r="A708" s="32" t="str">
        <f>'Returns  Stats'!A708</f>
        <v>2023-10-25</v>
      </c>
      <c r="B708" s="35">
        <f>'MPT Optimisation'!$B$16*'Returns  Stats'!B708+'MPT Optimisation'!$B$17*'Returns  Stats'!C708+'MPT Optimisation'!$B$18*'Returns  Stats'!D708+'MPT Optimisation'!$B$19*'Returns  Stats'!E708</f>
        <v>-1.2503817501308334E-2</v>
      </c>
    </row>
    <row r="709" spans="1:2" ht="15" customHeight="1" x14ac:dyDescent="0.2">
      <c r="A709" s="32" t="str">
        <f>'Returns  Stats'!A709</f>
        <v>2023-10-26</v>
      </c>
      <c r="B709" s="35">
        <f>'MPT Optimisation'!$B$16*'Returns  Stats'!B709+'MPT Optimisation'!$B$17*'Returns  Stats'!C709+'MPT Optimisation'!$B$18*'Returns  Stats'!D709+'MPT Optimisation'!$B$19*'Returns  Stats'!E709</f>
        <v>-7.0929523965029368E-3</v>
      </c>
    </row>
    <row r="710" spans="1:2" ht="15" customHeight="1" x14ac:dyDescent="0.2">
      <c r="A710" s="32" t="str">
        <f>'Returns  Stats'!A710</f>
        <v>2023-10-27</v>
      </c>
      <c r="B710" s="35">
        <f>'MPT Optimisation'!$B$16*'Returns  Stats'!B710+'MPT Optimisation'!$B$17*'Returns  Stats'!C710+'MPT Optimisation'!$B$18*'Returns  Stats'!D710+'MPT Optimisation'!$B$19*'Returns  Stats'!E710</f>
        <v>-4.9575705263075536E-3</v>
      </c>
    </row>
    <row r="711" spans="1:2" ht="15" customHeight="1" x14ac:dyDescent="0.2">
      <c r="A711" s="32" t="str">
        <f>'Returns  Stats'!A711</f>
        <v>2023-10-30</v>
      </c>
      <c r="B711" s="35">
        <f>'MPT Optimisation'!$B$16*'Returns  Stats'!B711+'MPT Optimisation'!$B$17*'Returns  Stats'!C711+'MPT Optimisation'!$B$18*'Returns  Stats'!D711+'MPT Optimisation'!$B$19*'Returns  Stats'!E711</f>
        <v>1.0936688538280902E-2</v>
      </c>
    </row>
    <row r="712" spans="1:2" ht="15" customHeight="1" x14ac:dyDescent="0.2">
      <c r="A712" s="32" t="str">
        <f>'Returns  Stats'!A712</f>
        <v>2023-10-31</v>
      </c>
      <c r="B712" s="35">
        <f>'MPT Optimisation'!$B$16*'Returns  Stats'!B712+'MPT Optimisation'!$B$17*'Returns  Stats'!C712+'MPT Optimisation'!$B$18*'Returns  Stats'!D712+'MPT Optimisation'!$B$19*'Returns  Stats'!E712</f>
        <v>5.7819918953797289E-3</v>
      </c>
    </row>
    <row r="713" spans="1:2" ht="15" customHeight="1" x14ac:dyDescent="0.2">
      <c r="A713" s="32" t="str">
        <f>'Returns  Stats'!A713</f>
        <v>2023-11-01</v>
      </c>
      <c r="B713" s="35">
        <f>'MPT Optimisation'!$B$16*'Returns  Stats'!B713+'MPT Optimisation'!$B$17*'Returns  Stats'!C713+'MPT Optimisation'!$B$18*'Returns  Stats'!D713+'MPT Optimisation'!$B$19*'Returns  Stats'!E713</f>
        <v>9.6914847208783503E-3</v>
      </c>
    </row>
    <row r="714" spans="1:2" ht="15" customHeight="1" x14ac:dyDescent="0.2">
      <c r="A714" s="32" t="str">
        <f>'Returns  Stats'!A714</f>
        <v>2023-11-02</v>
      </c>
      <c r="B714" s="35">
        <f>'MPT Optimisation'!$B$16*'Returns  Stats'!B714+'MPT Optimisation'!$B$17*'Returns  Stats'!C714+'MPT Optimisation'!$B$18*'Returns  Stats'!D714+'MPT Optimisation'!$B$19*'Returns  Stats'!E714</f>
        <v>1.9993811482201283E-2</v>
      </c>
    </row>
    <row r="715" spans="1:2" ht="15" customHeight="1" x14ac:dyDescent="0.2">
      <c r="A715" s="32" t="str">
        <f>'Returns  Stats'!A715</f>
        <v>2023-11-03</v>
      </c>
      <c r="B715" s="35">
        <f>'MPT Optimisation'!$B$16*'Returns  Stats'!B715+'MPT Optimisation'!$B$17*'Returns  Stats'!C715+'MPT Optimisation'!$B$18*'Returns  Stats'!D715+'MPT Optimisation'!$B$19*'Returns  Stats'!E715</f>
        <v>1.1436215553477192E-2</v>
      </c>
    </row>
    <row r="716" spans="1:2" ht="15" customHeight="1" x14ac:dyDescent="0.2">
      <c r="A716" s="32" t="str">
        <f>'Returns  Stats'!A716</f>
        <v>2023-11-06</v>
      </c>
      <c r="B716" s="35">
        <f>'MPT Optimisation'!$B$16*'Returns  Stats'!B716+'MPT Optimisation'!$B$17*'Returns  Stats'!C716+'MPT Optimisation'!$B$18*'Returns  Stats'!D716+'MPT Optimisation'!$B$19*'Returns  Stats'!E716</f>
        <v>-2.2278722583029763E-3</v>
      </c>
    </row>
    <row r="717" spans="1:2" ht="15" customHeight="1" x14ac:dyDescent="0.2">
      <c r="A717" s="32" t="str">
        <f>'Returns  Stats'!A717</f>
        <v>2023-11-07</v>
      </c>
      <c r="B717" s="35">
        <f>'MPT Optimisation'!$B$16*'Returns  Stats'!B717+'MPT Optimisation'!$B$17*'Returns  Stats'!C717+'MPT Optimisation'!$B$18*'Returns  Stats'!D717+'MPT Optimisation'!$B$19*'Returns  Stats'!E717</f>
        <v>-1.8123372054791316E-4</v>
      </c>
    </row>
    <row r="718" spans="1:2" ht="15" customHeight="1" x14ac:dyDescent="0.2">
      <c r="A718" s="32" t="str">
        <f>'Returns  Stats'!A718</f>
        <v>2023-11-08</v>
      </c>
      <c r="B718" s="35">
        <f>'MPT Optimisation'!$B$16*'Returns  Stats'!B718+'MPT Optimisation'!$B$17*'Returns  Stats'!C718+'MPT Optimisation'!$B$18*'Returns  Stats'!D718+'MPT Optimisation'!$B$19*'Returns  Stats'!E718</f>
        <v>-1.4048264603339072E-4</v>
      </c>
    </row>
    <row r="719" spans="1:2" ht="15" customHeight="1" x14ac:dyDescent="0.2">
      <c r="A719" s="32" t="str">
        <f>'Returns  Stats'!A719</f>
        <v>2023-11-09</v>
      </c>
      <c r="B719" s="35">
        <f>'MPT Optimisation'!$B$16*'Returns  Stats'!B719+'MPT Optimisation'!$B$17*'Returns  Stats'!C719+'MPT Optimisation'!$B$18*'Returns  Stats'!D719+'MPT Optimisation'!$B$19*'Returns  Stats'!E719</f>
        <v>-6.3585953764925315E-3</v>
      </c>
    </row>
    <row r="720" spans="1:2" ht="15" customHeight="1" x14ac:dyDescent="0.2">
      <c r="A720" s="32" t="str">
        <f>'Returns  Stats'!A720</f>
        <v>2023-11-10</v>
      </c>
      <c r="B720" s="35">
        <f>'MPT Optimisation'!$B$16*'Returns  Stats'!B720+'MPT Optimisation'!$B$17*'Returns  Stats'!C720+'MPT Optimisation'!$B$18*'Returns  Stats'!D720+'MPT Optimisation'!$B$19*'Returns  Stats'!E720</f>
        <v>1.0869298110047599E-2</v>
      </c>
    </row>
    <row r="721" spans="1:2" ht="15" customHeight="1" x14ac:dyDescent="0.2">
      <c r="A721" s="32" t="str">
        <f>'Returns  Stats'!A721</f>
        <v>2023-11-13</v>
      </c>
      <c r="B721" s="35">
        <f>'MPT Optimisation'!$B$16*'Returns  Stats'!B721+'MPT Optimisation'!$B$17*'Returns  Stats'!C721+'MPT Optimisation'!$B$18*'Returns  Stats'!D721+'MPT Optimisation'!$B$19*'Returns  Stats'!E721</f>
        <v>8.1078538180510158E-7</v>
      </c>
    </row>
    <row r="722" spans="1:2" ht="15" customHeight="1" x14ac:dyDescent="0.2">
      <c r="A722" s="32" t="str">
        <f>'Returns  Stats'!A722</f>
        <v>2023-11-14</v>
      </c>
      <c r="B722" s="35">
        <f>'MPT Optimisation'!$B$16*'Returns  Stats'!B722+'MPT Optimisation'!$B$17*'Returns  Stats'!C722+'MPT Optimisation'!$B$18*'Returns  Stats'!D722+'MPT Optimisation'!$B$19*'Returns  Stats'!E722</f>
        <v>2.437417146783628E-2</v>
      </c>
    </row>
    <row r="723" spans="1:2" ht="15" customHeight="1" x14ac:dyDescent="0.2">
      <c r="A723" s="32" t="str">
        <f>'Returns  Stats'!A723</f>
        <v>2023-11-15</v>
      </c>
      <c r="B723" s="35">
        <f>'MPT Optimisation'!$B$16*'Returns  Stats'!B723+'MPT Optimisation'!$B$17*'Returns  Stats'!C723+'MPT Optimisation'!$B$18*'Returns  Stats'!D723+'MPT Optimisation'!$B$19*'Returns  Stats'!E723</f>
        <v>8.5631715876270946E-4</v>
      </c>
    </row>
    <row r="724" spans="1:2" ht="15" customHeight="1" x14ac:dyDescent="0.2">
      <c r="A724" s="32" t="str">
        <f>'Returns  Stats'!A724</f>
        <v>2023-11-16</v>
      </c>
      <c r="B724" s="35">
        <f>'MPT Optimisation'!$B$16*'Returns  Stats'!B724+'MPT Optimisation'!$B$17*'Returns  Stats'!C724+'MPT Optimisation'!$B$18*'Returns  Stats'!D724+'MPT Optimisation'!$B$19*'Returns  Stats'!E724</f>
        <v>-4.4761639617402747E-4</v>
      </c>
    </row>
    <row r="725" spans="1:2" ht="15" customHeight="1" x14ac:dyDescent="0.2">
      <c r="A725" s="32" t="str">
        <f>'Returns  Stats'!A725</f>
        <v>2023-11-17</v>
      </c>
      <c r="B725" s="35">
        <f>'MPT Optimisation'!$B$16*'Returns  Stats'!B725+'MPT Optimisation'!$B$17*'Returns  Stats'!C725+'MPT Optimisation'!$B$18*'Returns  Stats'!D725+'MPT Optimisation'!$B$19*'Returns  Stats'!E725</f>
        <v>5.6344378760379461E-3</v>
      </c>
    </row>
    <row r="726" spans="1:2" ht="15" customHeight="1" x14ac:dyDescent="0.2">
      <c r="A726" s="32" t="str">
        <f>'Returns  Stats'!A726</f>
        <v>2023-11-20</v>
      </c>
      <c r="B726" s="35">
        <f>'MPT Optimisation'!$B$16*'Returns  Stats'!B726+'MPT Optimisation'!$B$17*'Returns  Stats'!C726+'MPT Optimisation'!$B$18*'Returns  Stats'!D726+'MPT Optimisation'!$B$19*'Returns  Stats'!E726</f>
        <v>6.0904847182581259E-3</v>
      </c>
    </row>
    <row r="727" spans="1:2" ht="15" customHeight="1" x14ac:dyDescent="0.2">
      <c r="A727" s="32" t="str">
        <f>'Returns  Stats'!A727</f>
        <v>2023-11-21</v>
      </c>
      <c r="B727" s="35">
        <f>'MPT Optimisation'!$B$16*'Returns  Stats'!B727+'MPT Optimisation'!$B$17*'Returns  Stats'!C727+'MPT Optimisation'!$B$18*'Returns  Stats'!D727+'MPT Optimisation'!$B$19*'Returns  Stats'!E727</f>
        <v>-3.0918142599658362E-3</v>
      </c>
    </row>
    <row r="728" spans="1:2" ht="15" customHeight="1" x14ac:dyDescent="0.2">
      <c r="A728" s="32" t="str">
        <f>'Returns  Stats'!A728</f>
        <v>2023-11-22</v>
      </c>
      <c r="B728" s="35">
        <f>'MPT Optimisation'!$B$16*'Returns  Stats'!B728+'MPT Optimisation'!$B$17*'Returns  Stats'!C728+'MPT Optimisation'!$B$18*'Returns  Stats'!D728+'MPT Optimisation'!$B$19*'Returns  Stats'!E728</f>
        <v>3.5728077591255956E-3</v>
      </c>
    </row>
    <row r="729" spans="1:2" ht="15" customHeight="1" x14ac:dyDescent="0.2">
      <c r="A729" s="32" t="str">
        <f>'Returns  Stats'!A729</f>
        <v>2023-11-24</v>
      </c>
      <c r="B729" s="35">
        <f>'MPT Optimisation'!$B$16*'Returns  Stats'!B729+'MPT Optimisation'!$B$17*'Returns  Stats'!C729+'MPT Optimisation'!$B$18*'Returns  Stats'!D729+'MPT Optimisation'!$B$19*'Returns  Stats'!E729</f>
        <v>2.8455148081866829E-3</v>
      </c>
    </row>
    <row r="730" spans="1:2" ht="15" customHeight="1" x14ac:dyDescent="0.2">
      <c r="A730" s="32" t="str">
        <f>'Returns  Stats'!A730</f>
        <v>2023-11-27</v>
      </c>
      <c r="B730" s="35">
        <f>'MPT Optimisation'!$B$16*'Returns  Stats'!B730+'MPT Optimisation'!$B$17*'Returns  Stats'!C730+'MPT Optimisation'!$B$18*'Returns  Stats'!D730+'MPT Optimisation'!$B$19*'Returns  Stats'!E730</f>
        <v>-1.3401715617138545E-3</v>
      </c>
    </row>
    <row r="731" spans="1:2" ht="15" customHeight="1" x14ac:dyDescent="0.2">
      <c r="A731" s="32" t="str">
        <f>'Returns  Stats'!A731</f>
        <v>2023-11-28</v>
      </c>
      <c r="B731" s="35">
        <f>'MPT Optimisation'!$B$16*'Returns  Stats'!B731+'MPT Optimisation'!$B$17*'Returns  Stats'!C731+'MPT Optimisation'!$B$18*'Returns  Stats'!D731+'MPT Optimisation'!$B$19*'Returns  Stats'!E731</f>
        <v>1.0067250911901971E-3</v>
      </c>
    </row>
    <row r="732" spans="1:2" ht="15" customHeight="1" x14ac:dyDescent="0.2">
      <c r="A732" s="32" t="str">
        <f>'Returns  Stats'!A732</f>
        <v>2023-11-29</v>
      </c>
      <c r="B732" s="35">
        <f>'MPT Optimisation'!$B$16*'Returns  Stats'!B732+'MPT Optimisation'!$B$17*'Returns  Stats'!C732+'MPT Optimisation'!$B$18*'Returns  Stats'!D732+'MPT Optimisation'!$B$19*'Returns  Stats'!E732</f>
        <v>1.4804744292987837E-3</v>
      </c>
    </row>
    <row r="733" spans="1:2" ht="15" customHeight="1" x14ac:dyDescent="0.2">
      <c r="A733" s="32" t="str">
        <f>'Returns  Stats'!A733</f>
        <v>2023-11-30</v>
      </c>
      <c r="B733" s="35">
        <f>'MPT Optimisation'!$B$16*'Returns  Stats'!B733+'MPT Optimisation'!$B$17*'Returns  Stats'!C733+'MPT Optimisation'!$B$18*'Returns  Stats'!D733+'MPT Optimisation'!$B$19*'Returns  Stats'!E733</f>
        <v>2.425912642322392E-3</v>
      </c>
    </row>
    <row r="734" spans="1:2" ht="15" customHeight="1" x14ac:dyDescent="0.2">
      <c r="A734" s="32" t="str">
        <f>'Returns  Stats'!A734</f>
        <v>2023-12-01</v>
      </c>
      <c r="B734" s="35">
        <f>'MPT Optimisation'!$B$16*'Returns  Stats'!B734+'MPT Optimisation'!$B$17*'Returns  Stats'!C734+'MPT Optimisation'!$B$18*'Returns  Stats'!D734+'MPT Optimisation'!$B$19*'Returns  Stats'!E734</f>
        <v>9.8826338971358067E-3</v>
      </c>
    </row>
    <row r="735" spans="1:2" ht="15" customHeight="1" x14ac:dyDescent="0.2">
      <c r="A735" s="32" t="str">
        <f>'Returns  Stats'!A735</f>
        <v>2023-12-04</v>
      </c>
      <c r="B735" s="35">
        <f>'MPT Optimisation'!$B$16*'Returns  Stats'!B735+'MPT Optimisation'!$B$17*'Returns  Stats'!C735+'MPT Optimisation'!$B$18*'Returns  Stats'!D735+'MPT Optimisation'!$B$19*'Returns  Stats'!E735</f>
        <v>-4.3198751260966669E-3</v>
      </c>
    </row>
    <row r="736" spans="1:2" ht="15" customHeight="1" x14ac:dyDescent="0.2">
      <c r="A736" s="32" t="str">
        <f>'Returns  Stats'!A736</f>
        <v>2023-12-05</v>
      </c>
      <c r="B736" s="35">
        <f>'MPT Optimisation'!$B$16*'Returns  Stats'!B736+'MPT Optimisation'!$B$17*'Returns  Stats'!C736+'MPT Optimisation'!$B$18*'Returns  Stats'!D736+'MPT Optimisation'!$B$19*'Returns  Stats'!E736</f>
        <v>-2.2356252749860142E-3</v>
      </c>
    </row>
    <row r="737" spans="1:2" ht="15" customHeight="1" x14ac:dyDescent="0.2">
      <c r="A737" s="32" t="str">
        <f>'Returns  Stats'!A737</f>
        <v>2023-12-06</v>
      </c>
      <c r="B737" s="35">
        <f>'MPT Optimisation'!$B$16*'Returns  Stats'!B737+'MPT Optimisation'!$B$17*'Returns  Stats'!C737+'MPT Optimisation'!$B$18*'Returns  Stats'!D737+'MPT Optimisation'!$B$19*'Returns  Stats'!E737</f>
        <v>-1.6466623656898993E-3</v>
      </c>
    </row>
    <row r="738" spans="1:2" ht="15" customHeight="1" x14ac:dyDescent="0.2">
      <c r="A738" s="32" t="str">
        <f>'Returns  Stats'!A738</f>
        <v>2023-12-07</v>
      </c>
      <c r="B738" s="35">
        <f>'MPT Optimisation'!$B$16*'Returns  Stats'!B738+'MPT Optimisation'!$B$17*'Returns  Stats'!C738+'MPT Optimisation'!$B$18*'Returns  Stats'!D738+'MPT Optimisation'!$B$19*'Returns  Stats'!E738</f>
        <v>6.4123977662640542E-3</v>
      </c>
    </row>
    <row r="739" spans="1:2" ht="15" customHeight="1" x14ac:dyDescent="0.2">
      <c r="A739" s="32" t="str">
        <f>'Returns  Stats'!A739</f>
        <v>2023-12-08</v>
      </c>
      <c r="B739" s="35">
        <f>'MPT Optimisation'!$B$16*'Returns  Stats'!B739+'MPT Optimisation'!$B$17*'Returns  Stats'!C739+'MPT Optimisation'!$B$18*'Returns  Stats'!D739+'MPT Optimisation'!$B$19*'Returns  Stats'!E739</f>
        <v>3.4412727686555676E-3</v>
      </c>
    </row>
    <row r="740" spans="1:2" ht="15" customHeight="1" x14ac:dyDescent="0.2">
      <c r="A740" s="32" t="str">
        <f>'Returns  Stats'!A740</f>
        <v>2023-12-11</v>
      </c>
      <c r="B740" s="35">
        <f>'MPT Optimisation'!$B$16*'Returns  Stats'!B740+'MPT Optimisation'!$B$17*'Returns  Stats'!C740+'MPT Optimisation'!$B$18*'Returns  Stats'!D740+'MPT Optimisation'!$B$19*'Returns  Stats'!E740</f>
        <v>3.3455057322452574E-3</v>
      </c>
    </row>
    <row r="741" spans="1:2" ht="15" customHeight="1" x14ac:dyDescent="0.2">
      <c r="A741" s="32" t="str">
        <f>'Returns  Stats'!A741</f>
        <v>2023-12-12</v>
      </c>
      <c r="B741" s="35">
        <f>'MPT Optimisation'!$B$16*'Returns  Stats'!B741+'MPT Optimisation'!$B$17*'Returns  Stats'!C741+'MPT Optimisation'!$B$18*'Returns  Stats'!D741+'MPT Optimisation'!$B$19*'Returns  Stats'!E741</f>
        <v>2.9233969520282839E-3</v>
      </c>
    </row>
    <row r="742" spans="1:2" ht="15" customHeight="1" x14ac:dyDescent="0.2">
      <c r="A742" s="32" t="str">
        <f>'Returns  Stats'!A742</f>
        <v>2023-12-13</v>
      </c>
      <c r="B742" s="35">
        <f>'MPT Optimisation'!$B$16*'Returns  Stats'!B742+'MPT Optimisation'!$B$17*'Returns  Stats'!C742+'MPT Optimisation'!$B$18*'Returns  Stats'!D742+'MPT Optimisation'!$B$19*'Returns  Stats'!E742</f>
        <v>1.6225188508631826E-2</v>
      </c>
    </row>
    <row r="743" spans="1:2" ht="15" customHeight="1" x14ac:dyDescent="0.2">
      <c r="A743" s="32" t="str">
        <f>'Returns  Stats'!A743</f>
        <v>2023-12-14</v>
      </c>
      <c r="B743" s="35">
        <f>'MPT Optimisation'!$B$16*'Returns  Stats'!B743+'MPT Optimisation'!$B$17*'Returns  Stats'!C743+'MPT Optimisation'!$B$18*'Returns  Stats'!D743+'MPT Optimisation'!$B$19*'Returns  Stats'!E743</f>
        <v>7.6202698593575537E-3</v>
      </c>
    </row>
    <row r="744" spans="1:2" ht="15" customHeight="1" x14ac:dyDescent="0.2">
      <c r="A744" s="32" t="str">
        <f>'Returns  Stats'!A744</f>
        <v>2023-12-15</v>
      </c>
      <c r="B744" s="35">
        <f>'MPT Optimisation'!$B$16*'Returns  Stats'!B744+'MPT Optimisation'!$B$17*'Returns  Stats'!C744+'MPT Optimisation'!$B$18*'Returns  Stats'!D744+'MPT Optimisation'!$B$19*'Returns  Stats'!E744</f>
        <v>-4.5521187856258976E-3</v>
      </c>
    </row>
    <row r="745" spans="1:2" ht="15" customHeight="1" x14ac:dyDescent="0.2">
      <c r="A745" s="32" t="str">
        <f>'Returns  Stats'!A745</f>
        <v>2023-12-18</v>
      </c>
      <c r="B745" s="35">
        <f>'MPT Optimisation'!$B$16*'Returns  Stats'!B745+'MPT Optimisation'!$B$17*'Returns  Stats'!C745+'MPT Optimisation'!$B$18*'Returns  Stats'!D745+'MPT Optimisation'!$B$19*'Returns  Stats'!E745</f>
        <v>3.1127088227791751E-3</v>
      </c>
    </row>
    <row r="746" spans="1:2" ht="15" customHeight="1" x14ac:dyDescent="0.2">
      <c r="A746" s="32" t="str">
        <f>'Returns  Stats'!A746</f>
        <v>2023-12-19</v>
      </c>
      <c r="B746" s="35">
        <f>'MPT Optimisation'!$B$16*'Returns  Stats'!B746+'MPT Optimisation'!$B$17*'Returns  Stats'!C746+'MPT Optimisation'!$B$18*'Returns  Stats'!D746+'MPT Optimisation'!$B$19*'Returns  Stats'!E746</f>
        <v>7.369585152781976E-3</v>
      </c>
    </row>
    <row r="747" spans="1:2" ht="15" customHeight="1" x14ac:dyDescent="0.2">
      <c r="A747" s="32" t="str">
        <f>'Returns  Stats'!A747</f>
        <v>2023-12-20</v>
      </c>
      <c r="B747" s="35">
        <f>'MPT Optimisation'!$B$16*'Returns  Stats'!B747+'MPT Optimisation'!$B$17*'Returns  Stats'!C747+'MPT Optimisation'!$B$18*'Returns  Stats'!D747+'MPT Optimisation'!$B$19*'Returns  Stats'!E747</f>
        <v>-1.2400700520660312E-2</v>
      </c>
    </row>
    <row r="748" spans="1:2" ht="15" customHeight="1" x14ac:dyDescent="0.2">
      <c r="A748" s="32" t="str">
        <f>'Returns  Stats'!A748</f>
        <v>2023-12-21</v>
      </c>
      <c r="B748" s="35">
        <f>'MPT Optimisation'!$B$16*'Returns  Stats'!B748+'MPT Optimisation'!$B$17*'Returns  Stats'!C748+'MPT Optimisation'!$B$18*'Returns  Stats'!D748+'MPT Optimisation'!$B$19*'Returns  Stats'!E748</f>
        <v>1.193186815532175E-2</v>
      </c>
    </row>
    <row r="749" spans="1:2" ht="15" customHeight="1" x14ac:dyDescent="0.2">
      <c r="A749" s="32" t="str">
        <f>'Returns  Stats'!A749</f>
        <v>2023-12-22</v>
      </c>
      <c r="B749" s="35">
        <f>'MPT Optimisation'!$B$16*'Returns  Stats'!B749+'MPT Optimisation'!$B$17*'Returns  Stats'!C749+'MPT Optimisation'!$B$18*'Returns  Stats'!D749+'MPT Optimisation'!$B$19*'Returns  Stats'!E749</f>
        <v>1.7826205814293282E-3</v>
      </c>
    </row>
    <row r="750" spans="1:2" ht="15" customHeight="1" x14ac:dyDescent="0.2">
      <c r="A750" s="32" t="str">
        <f>'Returns  Stats'!A750</f>
        <v>2023-12-26</v>
      </c>
      <c r="B750" s="35">
        <f>'MPT Optimisation'!$B$16*'Returns  Stats'!B750+'MPT Optimisation'!$B$17*'Returns  Stats'!C750+'MPT Optimisation'!$B$18*'Returns  Stats'!D750+'MPT Optimisation'!$B$19*'Returns  Stats'!E750</f>
        <v>4.8032575928010019E-3</v>
      </c>
    </row>
    <row r="751" spans="1:2" ht="15" customHeight="1" x14ac:dyDescent="0.2">
      <c r="A751" s="32" t="str">
        <f>'Returns  Stats'!A751</f>
        <v>2023-12-27</v>
      </c>
      <c r="B751" s="35">
        <f>'MPT Optimisation'!$B$16*'Returns  Stats'!B751+'MPT Optimisation'!$B$17*'Returns  Stats'!C751+'MPT Optimisation'!$B$18*'Returns  Stats'!D751+'MPT Optimisation'!$B$19*'Returns  Stats'!E751</f>
        <v>3.2953698060017465E-3</v>
      </c>
    </row>
    <row r="752" spans="1:2" ht="15" customHeight="1" x14ac:dyDescent="0.2">
      <c r="A752" s="32" t="str">
        <f>'Returns  Stats'!A752</f>
        <v>2023-12-28</v>
      </c>
      <c r="B752" s="35">
        <f>'MPT Optimisation'!$B$16*'Returns  Stats'!B752+'MPT Optimisation'!$B$17*'Returns  Stats'!C752+'MPT Optimisation'!$B$18*'Returns  Stats'!D752+'MPT Optimisation'!$B$19*'Returns  Stats'!E752</f>
        <v>-8.5292845217781459E-4</v>
      </c>
    </row>
    <row r="753" spans="1:2" ht="15" customHeight="1" x14ac:dyDescent="0.2">
      <c r="A753" s="32" t="str">
        <f>'Returns  Stats'!A753</f>
        <v>2023-12-29</v>
      </c>
      <c r="B753" s="35">
        <f>'MPT Optimisation'!$B$16*'Returns  Stats'!B753+'MPT Optimisation'!$B$17*'Returns  Stats'!C753+'MPT Optimisation'!$B$18*'Returns  Stats'!D753+'MPT Optimisation'!$B$19*'Returns  Stats'!E753</f>
        <v>-2.6621830040359229E-3</v>
      </c>
    </row>
    <row r="754" spans="1:2" ht="15" customHeight="1" x14ac:dyDescent="0.2">
      <c r="A754" s="32" t="str">
        <f>'Returns  Stats'!A754</f>
        <v>2024-01-02</v>
      </c>
      <c r="B754" s="35">
        <f>'MPT Optimisation'!$B$16*'Returns  Stats'!B754+'MPT Optimisation'!$B$17*'Returns  Stats'!C754+'MPT Optimisation'!$B$18*'Returns  Stats'!D754+'MPT Optimisation'!$B$19*'Returns  Stats'!E754</f>
        <v>-7.1726754074021119E-3</v>
      </c>
    </row>
    <row r="755" spans="1:2" ht="15" customHeight="1" x14ac:dyDescent="0.2">
      <c r="A755" s="32" t="str">
        <f>'Returns  Stats'!A755</f>
        <v>2024-01-03</v>
      </c>
      <c r="B755" s="35">
        <f>'MPT Optimisation'!$B$16*'Returns  Stats'!B755+'MPT Optimisation'!$B$17*'Returns  Stats'!C755+'MPT Optimisation'!$B$18*'Returns  Stats'!D755+'MPT Optimisation'!$B$19*'Returns  Stats'!E755</f>
        <v>-9.1792900981635447E-3</v>
      </c>
    </row>
    <row r="756" spans="1:2" ht="15" customHeight="1" x14ac:dyDescent="0.2">
      <c r="A756" s="32" t="str">
        <f>'Returns  Stats'!A756</f>
        <v>2024-01-04</v>
      </c>
      <c r="B756" s="35">
        <f>'MPT Optimisation'!$B$16*'Returns  Stats'!B756+'MPT Optimisation'!$B$17*'Returns  Stats'!C756+'MPT Optimisation'!$B$18*'Returns  Stats'!D756+'MPT Optimisation'!$B$19*'Returns  Stats'!E756</f>
        <v>-1.1472403532041099E-3</v>
      </c>
    </row>
    <row r="757" spans="1:2" ht="15" customHeight="1" x14ac:dyDescent="0.2">
      <c r="A757" s="32" t="str">
        <f>'Returns  Stats'!A757</f>
        <v>2024-01-05</v>
      </c>
      <c r="B757" s="35">
        <f>'MPT Optimisation'!$B$16*'Returns  Stats'!B757+'MPT Optimisation'!$B$17*'Returns  Stats'!C757+'MPT Optimisation'!$B$18*'Returns  Stats'!D757+'MPT Optimisation'!$B$19*'Returns  Stats'!E757</f>
        <v>8.6103372461525092E-4</v>
      </c>
    </row>
    <row r="758" spans="1:2" ht="15" customHeight="1" x14ac:dyDescent="0.2">
      <c r="A758" s="32" t="str">
        <f>'Returns  Stats'!A758</f>
        <v>2024-01-08</v>
      </c>
      <c r="B758" s="35">
        <f>'MPT Optimisation'!$B$16*'Returns  Stats'!B758+'MPT Optimisation'!$B$17*'Returns  Stats'!C758+'MPT Optimisation'!$B$18*'Returns  Stats'!D758+'MPT Optimisation'!$B$19*'Returns  Stats'!E758</f>
        <v>1.2670312211462897E-2</v>
      </c>
    </row>
    <row r="759" spans="1:2" ht="15" customHeight="1" x14ac:dyDescent="0.2">
      <c r="A759" s="32" t="str">
        <f>'Returns  Stats'!A759</f>
        <v>2024-01-09</v>
      </c>
      <c r="B759" s="35">
        <f>'MPT Optimisation'!$B$16*'Returns  Stats'!B759+'MPT Optimisation'!$B$17*'Returns  Stats'!C759+'MPT Optimisation'!$B$18*'Returns  Stats'!D759+'MPT Optimisation'!$B$19*'Returns  Stats'!E759</f>
        <v>-4.143902589549958E-3</v>
      </c>
    </row>
    <row r="760" spans="1:2" ht="15" customHeight="1" x14ac:dyDescent="0.2">
      <c r="A760" s="32" t="str">
        <f>'Returns  Stats'!A760</f>
        <v>2024-01-10</v>
      </c>
      <c r="B760" s="35">
        <f>'MPT Optimisation'!$B$16*'Returns  Stats'!B760+'MPT Optimisation'!$B$17*'Returns  Stats'!C760+'MPT Optimisation'!$B$18*'Returns  Stats'!D760+'MPT Optimisation'!$B$19*'Returns  Stats'!E760</f>
        <v>5.0007589581828769E-3</v>
      </c>
    </row>
    <row r="761" spans="1:2" ht="15" customHeight="1" x14ac:dyDescent="0.2">
      <c r="A761" s="32" t="str">
        <f>'Returns  Stats'!A761</f>
        <v>2024-01-11</v>
      </c>
      <c r="B761" s="35">
        <f>'MPT Optimisation'!$B$16*'Returns  Stats'!B761+'MPT Optimisation'!$B$17*'Returns  Stats'!C761+'MPT Optimisation'!$B$18*'Returns  Stats'!D761+'MPT Optimisation'!$B$19*'Returns  Stats'!E761</f>
        <v>-6.2362995988929349E-4</v>
      </c>
    </row>
    <row r="762" spans="1:2" ht="15" customHeight="1" x14ac:dyDescent="0.2">
      <c r="A762" s="32" t="str">
        <f>'Returns  Stats'!A762</f>
        <v>2024-01-12</v>
      </c>
      <c r="B762" s="35">
        <f>'MPT Optimisation'!$B$16*'Returns  Stats'!B762+'MPT Optimisation'!$B$17*'Returns  Stats'!C762+'MPT Optimisation'!$B$18*'Returns  Stats'!D762+'MPT Optimisation'!$B$19*'Returns  Stats'!E762</f>
        <v>1.73652072286532E-3</v>
      </c>
    </row>
    <row r="763" spans="1:2" ht="15" customHeight="1" x14ac:dyDescent="0.2">
      <c r="A763" s="32" t="str">
        <f>'Returns  Stats'!A763</f>
        <v>2024-01-16</v>
      </c>
      <c r="B763" s="35">
        <f>'MPT Optimisation'!$B$16*'Returns  Stats'!B763+'MPT Optimisation'!$B$17*'Returns  Stats'!C763+'MPT Optimisation'!$B$18*'Returns  Stats'!D763+'MPT Optimisation'!$B$19*'Returns  Stats'!E763</f>
        <v>-8.5596634149756722E-3</v>
      </c>
    </row>
    <row r="764" spans="1:2" ht="15" customHeight="1" x14ac:dyDescent="0.2">
      <c r="A764" s="32" t="str">
        <f>'Returns  Stats'!A764</f>
        <v>2024-01-17</v>
      </c>
      <c r="B764" s="35">
        <f>'MPT Optimisation'!$B$16*'Returns  Stats'!B764+'MPT Optimisation'!$B$17*'Returns  Stats'!C764+'MPT Optimisation'!$B$18*'Returns  Stats'!D764+'MPT Optimisation'!$B$19*'Returns  Stats'!E764</f>
        <v>-7.5065202044836349E-3</v>
      </c>
    </row>
    <row r="765" spans="1:2" ht="15" customHeight="1" x14ac:dyDescent="0.2">
      <c r="A765" s="32" t="str">
        <f>'Returns  Stats'!A765</f>
        <v>2024-01-18</v>
      </c>
      <c r="B765" s="35">
        <f>'MPT Optimisation'!$B$16*'Returns  Stats'!B765+'MPT Optimisation'!$B$17*'Returns  Stats'!C765+'MPT Optimisation'!$B$18*'Returns  Stats'!D765+'MPT Optimisation'!$B$19*'Returns  Stats'!E765</f>
        <v>7.6446624734923191E-3</v>
      </c>
    </row>
    <row r="766" spans="1:2" ht="15" customHeight="1" x14ac:dyDescent="0.2">
      <c r="A766" s="32" t="str">
        <f>'Returns  Stats'!A766</f>
        <v>2024-01-19</v>
      </c>
      <c r="B766" s="35">
        <f>'MPT Optimisation'!$B$16*'Returns  Stats'!B766+'MPT Optimisation'!$B$17*'Returns  Stats'!C766+'MPT Optimisation'!$B$18*'Returns  Stats'!D766+'MPT Optimisation'!$B$19*'Returns  Stats'!E766</f>
        <v>8.6016025894280687E-3</v>
      </c>
    </row>
    <row r="767" spans="1:2" ht="15" customHeight="1" x14ac:dyDescent="0.2">
      <c r="A767" s="32" t="str">
        <f>'Returns  Stats'!A767</f>
        <v>2024-01-22</v>
      </c>
      <c r="B767" s="35">
        <f>'MPT Optimisation'!$B$16*'Returns  Stats'!B767+'MPT Optimisation'!$B$17*'Returns  Stats'!C767+'MPT Optimisation'!$B$18*'Returns  Stats'!D767+'MPT Optimisation'!$B$19*'Returns  Stats'!E767</f>
        <v>3.9288551697677088E-3</v>
      </c>
    </row>
    <row r="768" spans="1:2" ht="15" customHeight="1" x14ac:dyDescent="0.2">
      <c r="A768" s="32" t="str">
        <f>'Returns  Stats'!A768</f>
        <v>2024-01-23</v>
      </c>
      <c r="B768" s="35">
        <f>'MPT Optimisation'!$B$16*'Returns  Stats'!B768+'MPT Optimisation'!$B$17*'Returns  Stats'!C768+'MPT Optimisation'!$B$18*'Returns  Stats'!D768+'MPT Optimisation'!$B$19*'Returns  Stats'!E768</f>
        <v>-2.178669642938503E-4</v>
      </c>
    </row>
    <row r="769" spans="1:2" ht="15" customHeight="1" x14ac:dyDescent="0.2">
      <c r="A769" s="32" t="str">
        <f>'Returns  Stats'!A769</f>
        <v>2024-01-24</v>
      </c>
      <c r="B769" s="35">
        <f>'MPT Optimisation'!$B$16*'Returns  Stats'!B769+'MPT Optimisation'!$B$17*'Returns  Stats'!C769+'MPT Optimisation'!$B$18*'Returns  Stats'!D769+'MPT Optimisation'!$B$19*'Returns  Stats'!E769</f>
        <v>1.3450541100589412E-3</v>
      </c>
    </row>
    <row r="770" spans="1:2" ht="15" customHeight="1" x14ac:dyDescent="0.2">
      <c r="A770" s="32" t="str">
        <f>'Returns  Stats'!A770</f>
        <v>2024-01-25</v>
      </c>
      <c r="B770" s="35">
        <f>'MPT Optimisation'!$B$16*'Returns  Stats'!B770+'MPT Optimisation'!$B$17*'Returns  Stats'!C770+'MPT Optimisation'!$B$18*'Returns  Stats'!D770+'MPT Optimisation'!$B$19*'Returns  Stats'!E770</f>
        <v>5.049088637392285E-3</v>
      </c>
    </row>
    <row r="771" spans="1:2" ht="15" customHeight="1" x14ac:dyDescent="0.2">
      <c r="A771" s="32" t="str">
        <f>'Returns  Stats'!A771</f>
        <v>2024-01-26</v>
      </c>
      <c r="B771" s="35">
        <f>'MPT Optimisation'!$B$16*'Returns  Stats'!B771+'MPT Optimisation'!$B$17*'Returns  Stats'!C771+'MPT Optimisation'!$B$18*'Returns  Stats'!D771+'MPT Optimisation'!$B$19*'Returns  Stats'!E771</f>
        <v>6.3284311555892312E-4</v>
      </c>
    </row>
    <row r="772" spans="1:2" ht="15" customHeight="1" x14ac:dyDescent="0.2">
      <c r="A772" s="32" t="str">
        <f>'Returns  Stats'!A772</f>
        <v>2024-01-29</v>
      </c>
      <c r="B772" s="35">
        <f>'MPT Optimisation'!$B$16*'Returns  Stats'!B772+'MPT Optimisation'!$B$17*'Returns  Stats'!C772+'MPT Optimisation'!$B$18*'Returns  Stats'!D772+'MPT Optimisation'!$B$19*'Returns  Stats'!E772</f>
        <v>7.7390785089685001E-3</v>
      </c>
    </row>
    <row r="773" spans="1:2" ht="15" customHeight="1" x14ac:dyDescent="0.2">
      <c r="A773" s="32" t="str">
        <f>'Returns  Stats'!A773</f>
        <v>2024-01-30</v>
      </c>
      <c r="B773" s="35">
        <f>'MPT Optimisation'!$B$16*'Returns  Stats'!B773+'MPT Optimisation'!$B$17*'Returns  Stats'!C773+'MPT Optimisation'!$B$18*'Returns  Stats'!D773+'MPT Optimisation'!$B$19*'Returns  Stats'!E773</f>
        <v>-1.6036514168890792E-3</v>
      </c>
    </row>
    <row r="774" spans="1:2" ht="15" customHeight="1" x14ac:dyDescent="0.2">
      <c r="A774" s="32" t="str">
        <f>'Returns  Stats'!A774</f>
        <v>2024-01-31</v>
      </c>
      <c r="B774" s="35">
        <f>'MPT Optimisation'!$B$16*'Returns  Stats'!B774+'MPT Optimisation'!$B$17*'Returns  Stats'!C774+'MPT Optimisation'!$B$18*'Returns  Stats'!D774+'MPT Optimisation'!$B$19*'Returns  Stats'!E774</f>
        <v>-1.1869655955007075E-2</v>
      </c>
    </row>
    <row r="775" spans="1:2" ht="15" customHeight="1" x14ac:dyDescent="0.2">
      <c r="A775" s="32" t="str">
        <f>'Returns  Stats'!A775</f>
        <v>2024-02-01</v>
      </c>
      <c r="B775" s="35">
        <f>'MPT Optimisation'!$B$16*'Returns  Stats'!B775+'MPT Optimisation'!$B$17*'Returns  Stats'!C775+'MPT Optimisation'!$B$18*'Returns  Stats'!D775+'MPT Optimisation'!$B$19*'Returns  Stats'!E775</f>
        <v>1.2229847581317909E-2</v>
      </c>
    </row>
    <row r="776" spans="1:2" ht="15" customHeight="1" x14ac:dyDescent="0.2">
      <c r="A776" s="32" t="str">
        <f>'Returns  Stats'!A776</f>
        <v>2024-02-02</v>
      </c>
      <c r="B776" s="35">
        <f>'MPT Optimisation'!$B$16*'Returns  Stats'!B776+'MPT Optimisation'!$B$17*'Returns  Stats'!C776+'MPT Optimisation'!$B$18*'Returns  Stats'!D776+'MPT Optimisation'!$B$19*'Returns  Stats'!E776</f>
        <v>1.6789251625743574E-3</v>
      </c>
    </row>
    <row r="777" spans="1:2" ht="15" customHeight="1" x14ac:dyDescent="0.2">
      <c r="A777" s="32" t="str">
        <f>'Returns  Stats'!A777</f>
        <v>2024-02-05</v>
      </c>
      <c r="B777" s="35">
        <f>'MPT Optimisation'!$B$16*'Returns  Stats'!B777+'MPT Optimisation'!$B$17*'Returns  Stats'!C777+'MPT Optimisation'!$B$18*'Returns  Stats'!D777+'MPT Optimisation'!$B$19*'Returns  Stats'!E777</f>
        <v>-5.8959477039413006E-3</v>
      </c>
    </row>
    <row r="778" spans="1:2" ht="15" customHeight="1" x14ac:dyDescent="0.2">
      <c r="A778" s="32" t="str">
        <f>'Returns  Stats'!A778</f>
        <v>2024-02-06</v>
      </c>
      <c r="B778" s="35">
        <f>'MPT Optimisation'!$B$16*'Returns  Stats'!B778+'MPT Optimisation'!$B$17*'Returns  Stats'!C778+'MPT Optimisation'!$B$18*'Returns  Stats'!D778+'MPT Optimisation'!$B$19*'Returns  Stats'!E778</f>
        <v>4.8201841362794486E-3</v>
      </c>
    </row>
    <row r="779" spans="1:2" ht="15" customHeight="1" x14ac:dyDescent="0.2">
      <c r="A779" s="32" t="str">
        <f>'Returns  Stats'!A779</f>
        <v>2024-02-07</v>
      </c>
      <c r="B779" s="35">
        <f>'MPT Optimisation'!$B$16*'Returns  Stats'!B779+'MPT Optimisation'!$B$17*'Returns  Stats'!C779+'MPT Optimisation'!$B$18*'Returns  Stats'!D779+'MPT Optimisation'!$B$19*'Returns  Stats'!E779</f>
        <v>4.3962444748872898E-3</v>
      </c>
    </row>
    <row r="780" spans="1:2" ht="15" customHeight="1" x14ac:dyDescent="0.2">
      <c r="A780" s="32" t="str">
        <f>'Returns  Stats'!A780</f>
        <v>2024-02-08</v>
      </c>
      <c r="B780" s="35">
        <f>'MPT Optimisation'!$B$16*'Returns  Stats'!B780+'MPT Optimisation'!$B$17*'Returns  Stats'!C780+'MPT Optimisation'!$B$18*'Returns  Stats'!D780+'MPT Optimisation'!$B$19*'Returns  Stats'!E780</f>
        <v>1.2179585242896528E-3</v>
      </c>
    </row>
    <row r="781" spans="1:2" ht="15" customHeight="1" x14ac:dyDescent="0.2">
      <c r="A781" s="32" t="str">
        <f>'Returns  Stats'!A781</f>
        <v>2024-02-09</v>
      </c>
      <c r="B781" s="35">
        <f>'MPT Optimisation'!$B$16*'Returns  Stats'!B781+'MPT Optimisation'!$B$17*'Returns  Stats'!C781+'MPT Optimisation'!$B$18*'Returns  Stats'!D781+'MPT Optimisation'!$B$19*'Returns  Stats'!E781</f>
        <v>4.7635122590699687E-3</v>
      </c>
    </row>
    <row r="782" spans="1:2" ht="15" customHeight="1" x14ac:dyDescent="0.2">
      <c r="A782" s="32" t="str">
        <f>'Returns  Stats'!A782</f>
        <v>2024-02-12</v>
      </c>
      <c r="B782" s="35">
        <f>'MPT Optimisation'!$B$16*'Returns  Stats'!B782+'MPT Optimisation'!$B$17*'Returns  Stats'!C782+'MPT Optimisation'!$B$18*'Returns  Stats'!D782+'MPT Optimisation'!$B$19*'Returns  Stats'!E782</f>
        <v>1.1185605643640019E-3</v>
      </c>
    </row>
    <row r="783" spans="1:2" ht="15" customHeight="1" x14ac:dyDescent="0.2">
      <c r="A783" s="32" t="str">
        <f>'Returns  Stats'!A783</f>
        <v>2024-02-13</v>
      </c>
      <c r="B783" s="35">
        <f>'MPT Optimisation'!$B$16*'Returns  Stats'!B783+'MPT Optimisation'!$B$17*'Returns  Stats'!C783+'MPT Optimisation'!$B$18*'Returns  Stats'!D783+'MPT Optimisation'!$B$19*'Returns  Stats'!E783</f>
        <v>-1.5714217614595564E-2</v>
      </c>
    </row>
    <row r="784" spans="1:2" ht="15" customHeight="1" x14ac:dyDescent="0.2">
      <c r="A784" s="32" t="str">
        <f>'Returns  Stats'!A784</f>
        <v>2024-02-14</v>
      </c>
      <c r="B784" s="35">
        <f>'MPT Optimisation'!$B$16*'Returns  Stats'!B784+'MPT Optimisation'!$B$17*'Returns  Stats'!C784+'MPT Optimisation'!$B$18*'Returns  Stats'!D784+'MPT Optimisation'!$B$19*'Returns  Stats'!E784</f>
        <v>1.0600744249690241E-2</v>
      </c>
    </row>
    <row r="785" spans="1:2" ht="15" customHeight="1" x14ac:dyDescent="0.2">
      <c r="A785" s="32" t="str">
        <f>'Returns  Stats'!A785</f>
        <v>2024-02-15</v>
      </c>
      <c r="B785" s="35">
        <f>'MPT Optimisation'!$B$16*'Returns  Stats'!B785+'MPT Optimisation'!$B$17*'Returns  Stats'!C785+'MPT Optimisation'!$B$18*'Returns  Stats'!D785+'MPT Optimisation'!$B$19*'Returns  Stats'!E785</f>
        <v>9.3016692758673639E-3</v>
      </c>
    </row>
    <row r="786" spans="1:2" ht="15" customHeight="1" x14ac:dyDescent="0.2">
      <c r="A786" s="32" t="str">
        <f>'Returns  Stats'!A786</f>
        <v>2024-02-16</v>
      </c>
      <c r="B786" s="35">
        <f>'MPT Optimisation'!$B$16*'Returns  Stats'!B786+'MPT Optimisation'!$B$17*'Returns  Stats'!C786+'MPT Optimisation'!$B$18*'Returns  Stats'!D786+'MPT Optimisation'!$B$19*'Returns  Stats'!E786</f>
        <v>-3.3481196105986932E-3</v>
      </c>
    </row>
    <row r="787" spans="1:2" ht="15" customHeight="1" x14ac:dyDescent="0.2">
      <c r="A787" s="32" t="str">
        <f>'Returns  Stats'!A787</f>
        <v>2024-02-20</v>
      </c>
      <c r="B787" s="35">
        <f>'MPT Optimisation'!$B$16*'Returns  Stats'!B787+'MPT Optimisation'!$B$17*'Returns  Stats'!C787+'MPT Optimisation'!$B$18*'Returns  Stats'!D787+'MPT Optimisation'!$B$19*'Returns  Stats'!E787</f>
        <v>-2.5871968485748631E-3</v>
      </c>
    </row>
    <row r="788" spans="1:2" ht="15" customHeight="1" x14ac:dyDescent="0.2">
      <c r="A788" s="32" t="str">
        <f>'Returns  Stats'!A788</f>
        <v>2024-02-21</v>
      </c>
      <c r="B788" s="35">
        <f>'MPT Optimisation'!$B$16*'Returns  Stats'!B788+'MPT Optimisation'!$B$17*'Returns  Stats'!C788+'MPT Optimisation'!$B$18*'Returns  Stats'!D788+'MPT Optimisation'!$B$19*'Returns  Stats'!E788</f>
        <v>4.8697646364360698E-4</v>
      </c>
    </row>
    <row r="789" spans="1:2" ht="15" customHeight="1" x14ac:dyDescent="0.2">
      <c r="A789" s="32" t="str">
        <f>'Returns  Stats'!A789</f>
        <v>2024-02-22</v>
      </c>
      <c r="B789" s="35">
        <f>'MPT Optimisation'!$B$16*'Returns  Stats'!B789+'MPT Optimisation'!$B$17*'Returns  Stats'!C789+'MPT Optimisation'!$B$18*'Returns  Stats'!D789+'MPT Optimisation'!$B$19*'Returns  Stats'!E789</f>
        <v>1.5367688151417478E-2</v>
      </c>
    </row>
    <row r="790" spans="1:2" ht="15" customHeight="1" x14ac:dyDescent="0.2">
      <c r="A790" s="32" t="str">
        <f>'Returns  Stats'!A790</f>
        <v>2024-02-23</v>
      </c>
      <c r="B790" s="35">
        <f>'MPT Optimisation'!$B$16*'Returns  Stats'!B790+'MPT Optimisation'!$B$17*'Returns  Stats'!C790+'MPT Optimisation'!$B$18*'Returns  Stats'!D790+'MPT Optimisation'!$B$19*'Returns  Stats'!E790</f>
        <v>9.550360465266027E-4</v>
      </c>
    </row>
    <row r="791" spans="1:2" ht="15" customHeight="1" x14ac:dyDescent="0.2">
      <c r="A791" s="32" t="str">
        <f>'Returns  Stats'!A791</f>
        <v>2024-02-26</v>
      </c>
      <c r="B791" s="35">
        <f>'MPT Optimisation'!$B$16*'Returns  Stats'!B791+'MPT Optimisation'!$B$17*'Returns  Stats'!C791+'MPT Optimisation'!$B$18*'Returns  Stats'!D791+'MPT Optimisation'!$B$19*'Returns  Stats'!E791</f>
        <v>-2.8919827957375748E-3</v>
      </c>
    </row>
    <row r="792" spans="1:2" ht="15" customHeight="1" x14ac:dyDescent="0.2">
      <c r="A792" s="32" t="str">
        <f>'Returns  Stats'!A792</f>
        <v>2024-02-27</v>
      </c>
      <c r="B792" s="35">
        <f>'MPT Optimisation'!$B$16*'Returns  Stats'!B792+'MPT Optimisation'!$B$17*'Returns  Stats'!C792+'MPT Optimisation'!$B$18*'Returns  Stats'!D792+'MPT Optimisation'!$B$19*'Returns  Stats'!E792</f>
        <v>2.4794997795300976E-3</v>
      </c>
    </row>
    <row r="793" spans="1:2" ht="15" customHeight="1" x14ac:dyDescent="0.2">
      <c r="A793" s="32" t="str">
        <f>'Returns  Stats'!A793</f>
        <v>2024-02-28</v>
      </c>
      <c r="B793" s="35">
        <f>'MPT Optimisation'!$B$16*'Returns  Stats'!B793+'MPT Optimisation'!$B$17*'Returns  Stats'!C793+'MPT Optimisation'!$B$18*'Returns  Stats'!D793+'MPT Optimisation'!$B$19*'Returns  Stats'!E793</f>
        <v>-2.1381483234323762E-3</v>
      </c>
    </row>
    <row r="794" spans="1:2" ht="15" customHeight="1" x14ac:dyDescent="0.2">
      <c r="A794" s="32" t="str">
        <f>'Returns  Stats'!A794</f>
        <v>2024-02-29</v>
      </c>
      <c r="B794" s="35">
        <f>'MPT Optimisation'!$B$16*'Returns  Stats'!B794+'MPT Optimisation'!$B$17*'Returns  Stats'!C794+'MPT Optimisation'!$B$18*'Returns  Stats'!D794+'MPT Optimisation'!$B$19*'Returns  Stats'!E794</f>
        <v>3.8140685367357816E-3</v>
      </c>
    </row>
    <row r="795" spans="1:2" ht="15" customHeight="1" x14ac:dyDescent="0.2">
      <c r="A795" s="32" t="str">
        <f>'Returns  Stats'!A795</f>
        <v>2024-03-01</v>
      </c>
      <c r="B795" s="35">
        <f>'MPT Optimisation'!$B$16*'Returns  Stats'!B795+'MPT Optimisation'!$B$17*'Returns  Stats'!C795+'MPT Optimisation'!$B$18*'Returns  Stats'!D795+'MPT Optimisation'!$B$19*'Returns  Stats'!E795</f>
        <v>9.259980412388135E-3</v>
      </c>
    </row>
    <row r="796" spans="1:2" ht="15" customHeight="1" x14ac:dyDescent="0.2">
      <c r="A796" s="32" t="str">
        <f>'Returns  Stats'!A796</f>
        <v>2024-03-04</v>
      </c>
      <c r="B796" s="35">
        <f>'MPT Optimisation'!$B$16*'Returns  Stats'!B796+'MPT Optimisation'!$B$17*'Returns  Stats'!C796+'MPT Optimisation'!$B$18*'Returns  Stats'!D796+'MPT Optimisation'!$B$19*'Returns  Stats'!E796</f>
        <v>-1.0129409988187011E-3</v>
      </c>
    </row>
    <row r="797" spans="1:2" ht="15" customHeight="1" x14ac:dyDescent="0.2">
      <c r="A797" s="32" t="str">
        <f>'Returns  Stats'!A797</f>
        <v>2024-03-05</v>
      </c>
      <c r="B797" s="35">
        <f>'MPT Optimisation'!$B$16*'Returns  Stats'!B797+'MPT Optimisation'!$B$17*'Returns  Stats'!C797+'MPT Optimisation'!$B$18*'Returns  Stats'!D797+'MPT Optimisation'!$B$19*'Returns  Stats'!E797</f>
        <v>-7.2356619400601617E-3</v>
      </c>
    </row>
    <row r="798" spans="1:2" ht="15" customHeight="1" x14ac:dyDescent="0.2">
      <c r="A798" s="32" t="str">
        <f>'Returns  Stats'!A798</f>
        <v>2024-03-06</v>
      </c>
      <c r="B798" s="35">
        <f>'MPT Optimisation'!$B$16*'Returns  Stats'!B798+'MPT Optimisation'!$B$17*'Returns  Stats'!C798+'MPT Optimisation'!$B$18*'Returns  Stats'!D798+'MPT Optimisation'!$B$19*'Returns  Stats'!E798</f>
        <v>7.427993352242401E-3</v>
      </c>
    </row>
    <row r="799" spans="1:2" ht="15" customHeight="1" x14ac:dyDescent="0.2">
      <c r="A799" s="32" t="str">
        <f>'Returns  Stats'!A799</f>
        <v>2024-03-07</v>
      </c>
      <c r="B799" s="35">
        <f>'MPT Optimisation'!$B$16*'Returns  Stats'!B799+'MPT Optimisation'!$B$17*'Returns  Stats'!C799+'MPT Optimisation'!$B$18*'Returns  Stats'!D799+'MPT Optimisation'!$B$19*'Returns  Stats'!E799</f>
        <v>9.4937258970861568E-3</v>
      </c>
    </row>
    <row r="800" spans="1:2" ht="15" customHeight="1" x14ac:dyDescent="0.2">
      <c r="A800" s="32" t="str">
        <f>'Returns  Stats'!A800</f>
        <v>2024-03-08</v>
      </c>
      <c r="B800" s="35">
        <f>'MPT Optimisation'!$B$16*'Returns  Stats'!B800+'MPT Optimisation'!$B$17*'Returns  Stats'!C800+'MPT Optimisation'!$B$18*'Returns  Stats'!D800+'MPT Optimisation'!$B$19*'Returns  Stats'!E800</f>
        <v>-3.8286710213782382E-3</v>
      </c>
    </row>
    <row r="801" spans="1:2" ht="15" customHeight="1" x14ac:dyDescent="0.2">
      <c r="A801" s="32" t="str">
        <f>'Returns  Stats'!A801</f>
        <v>2024-03-11</v>
      </c>
      <c r="B801" s="35">
        <f>'MPT Optimisation'!$B$16*'Returns  Stats'!B801+'MPT Optimisation'!$B$17*'Returns  Stats'!C801+'MPT Optimisation'!$B$18*'Returns  Stats'!D801+'MPT Optimisation'!$B$19*'Returns  Stats'!E801</f>
        <v>-2.9656569475095262E-3</v>
      </c>
    </row>
    <row r="802" spans="1:2" ht="15" customHeight="1" x14ac:dyDescent="0.2">
      <c r="A802" s="32" t="str">
        <f>'Returns  Stats'!A802</f>
        <v>2024-03-12</v>
      </c>
      <c r="B802" s="35">
        <f>'MPT Optimisation'!$B$16*'Returns  Stats'!B802+'MPT Optimisation'!$B$17*'Returns  Stats'!C802+'MPT Optimisation'!$B$18*'Returns  Stats'!D802+'MPT Optimisation'!$B$19*'Returns  Stats'!E802</f>
        <v>8.0909096258886988E-3</v>
      </c>
    </row>
    <row r="803" spans="1:2" ht="15" customHeight="1" x14ac:dyDescent="0.2">
      <c r="A803" s="32" t="str">
        <f>'Returns  Stats'!A803</f>
        <v>2024-03-13</v>
      </c>
      <c r="B803" s="35">
        <f>'MPT Optimisation'!$B$16*'Returns  Stats'!B803+'MPT Optimisation'!$B$17*'Returns  Stats'!C803+'MPT Optimisation'!$B$18*'Returns  Stats'!D803+'MPT Optimisation'!$B$19*'Returns  Stats'!E803</f>
        <v>-1.0551341695810902E-3</v>
      </c>
    </row>
    <row r="804" spans="1:2" ht="15" customHeight="1" x14ac:dyDescent="0.2">
      <c r="A804" s="32" t="str">
        <f>'Returns  Stats'!A804</f>
        <v>2024-03-14</v>
      </c>
      <c r="B804" s="35">
        <f>'MPT Optimisation'!$B$16*'Returns  Stats'!B804+'MPT Optimisation'!$B$17*'Returns  Stats'!C804+'MPT Optimisation'!$B$18*'Returns  Stats'!D804+'MPT Optimisation'!$B$19*'Returns  Stats'!E804</f>
        <v>-5.5757859081000784E-3</v>
      </c>
    </row>
    <row r="805" spans="1:2" ht="15" customHeight="1" x14ac:dyDescent="0.2">
      <c r="A805" s="32" t="str">
        <f>'Returns  Stats'!A805</f>
        <v>2024-03-15</v>
      </c>
      <c r="B805" s="35">
        <f>'MPT Optimisation'!$B$16*'Returns  Stats'!B805+'MPT Optimisation'!$B$17*'Returns  Stats'!C805+'MPT Optimisation'!$B$18*'Returns  Stats'!D805+'MPT Optimisation'!$B$19*'Returns  Stats'!E805</f>
        <v>-3.5521802630836649E-3</v>
      </c>
    </row>
    <row r="806" spans="1:2" ht="15" customHeight="1" x14ac:dyDescent="0.2">
      <c r="A806" s="32" t="str">
        <f>'Returns  Stats'!A806</f>
        <v>2024-03-18</v>
      </c>
      <c r="B806" s="35">
        <f>'MPT Optimisation'!$B$16*'Returns  Stats'!B806+'MPT Optimisation'!$B$17*'Returns  Stats'!C806+'MPT Optimisation'!$B$18*'Returns  Stats'!D806+'MPT Optimisation'!$B$19*'Returns  Stats'!E806</f>
        <v>2.9466769113765446E-3</v>
      </c>
    </row>
    <row r="807" spans="1:2" ht="15" customHeight="1" x14ac:dyDescent="0.2">
      <c r="A807" s="32" t="str">
        <f>'Returns  Stats'!A807</f>
        <v>2024-03-19</v>
      </c>
      <c r="B807" s="35">
        <f>'MPT Optimisation'!$B$16*'Returns  Stats'!B807+'MPT Optimisation'!$B$17*'Returns  Stats'!C807+'MPT Optimisation'!$B$18*'Returns  Stats'!D807+'MPT Optimisation'!$B$19*'Returns  Stats'!E807</f>
        <v>4.0974135693117421E-3</v>
      </c>
    </row>
    <row r="808" spans="1:2" ht="15" customHeight="1" x14ac:dyDescent="0.2">
      <c r="A808" s="32" t="str">
        <f>'Returns  Stats'!A808</f>
        <v>2024-03-20</v>
      </c>
      <c r="B808" s="35">
        <f>'MPT Optimisation'!$B$16*'Returns  Stats'!B808+'MPT Optimisation'!$B$17*'Returns  Stats'!C808+'MPT Optimisation'!$B$18*'Returns  Stats'!D808+'MPT Optimisation'!$B$19*'Returns  Stats'!E808</f>
        <v>9.7035224310393787E-3</v>
      </c>
    </row>
    <row r="809" spans="1:2" ht="15" customHeight="1" x14ac:dyDescent="0.2">
      <c r="A809" s="32" t="str">
        <f>'Returns  Stats'!A809</f>
        <v>2024-03-21</v>
      </c>
      <c r="B809" s="35">
        <f>'MPT Optimisation'!$B$16*'Returns  Stats'!B809+'MPT Optimisation'!$B$17*'Returns  Stats'!C809+'MPT Optimisation'!$B$18*'Returns  Stats'!D809+'MPT Optimisation'!$B$19*'Returns  Stats'!E809</f>
        <v>2.7252170679172402E-3</v>
      </c>
    </row>
    <row r="810" spans="1:2" ht="15" customHeight="1" x14ac:dyDescent="0.2">
      <c r="A810" s="32" t="str">
        <f>'Returns  Stats'!A810</f>
        <v>2024-03-22</v>
      </c>
      <c r="B810" s="35">
        <f>'MPT Optimisation'!$B$16*'Returns  Stats'!B810+'MPT Optimisation'!$B$17*'Returns  Stats'!C810+'MPT Optimisation'!$B$18*'Returns  Stats'!D810+'MPT Optimisation'!$B$19*'Returns  Stats'!E810</f>
        <v>-2.796689456373202E-3</v>
      </c>
    </row>
    <row r="811" spans="1:2" ht="15" customHeight="1" x14ac:dyDescent="0.2">
      <c r="A811" s="32" t="str">
        <f>'Returns  Stats'!A811</f>
        <v>2024-03-25</v>
      </c>
      <c r="B811" s="35">
        <f>'MPT Optimisation'!$B$16*'Returns  Stats'!B811+'MPT Optimisation'!$B$17*'Returns  Stats'!C811+'MPT Optimisation'!$B$18*'Returns  Stats'!D811+'MPT Optimisation'!$B$19*'Returns  Stats'!E811</f>
        <v>-2.3859872912762262E-3</v>
      </c>
    </row>
    <row r="812" spans="1:2" ht="15" customHeight="1" x14ac:dyDescent="0.2">
      <c r="A812" s="32" t="str">
        <f>'Returns  Stats'!A812</f>
        <v>2024-03-26</v>
      </c>
      <c r="B812" s="35">
        <f>'MPT Optimisation'!$B$16*'Returns  Stats'!B812+'MPT Optimisation'!$B$17*'Returns  Stats'!C812+'MPT Optimisation'!$B$18*'Returns  Stats'!D812+'MPT Optimisation'!$B$19*'Returns  Stats'!E812</f>
        <v>-8.8156906768651635E-4</v>
      </c>
    </row>
    <row r="813" spans="1:2" ht="15" customHeight="1" x14ac:dyDescent="0.2">
      <c r="A813" s="32" t="str">
        <f>'Returns  Stats'!A813</f>
        <v>2024-03-27</v>
      </c>
      <c r="B813" s="35">
        <f>'MPT Optimisation'!$B$16*'Returns  Stats'!B813+'MPT Optimisation'!$B$17*'Returns  Stats'!C813+'MPT Optimisation'!$B$18*'Returns  Stats'!D813+'MPT Optimisation'!$B$19*'Returns  Stats'!E813</f>
        <v>8.5541491067387624E-3</v>
      </c>
    </row>
    <row r="814" spans="1:2" ht="15" customHeight="1" x14ac:dyDescent="0.2">
      <c r="A814" s="32" t="str">
        <f>'Returns  Stats'!A814</f>
        <v>2024-03-28</v>
      </c>
      <c r="B814" s="35">
        <f>'MPT Optimisation'!$B$16*'Returns  Stats'!B814+'MPT Optimisation'!$B$17*'Returns  Stats'!C814+'MPT Optimisation'!$B$18*'Returns  Stats'!D814+'MPT Optimisation'!$B$19*'Returns  Stats'!E814</f>
        <v>1.2019720627493057E-5</v>
      </c>
    </row>
    <row r="815" spans="1:2" ht="15" customHeight="1" x14ac:dyDescent="0.2">
      <c r="A815" s="32" t="str">
        <f>'Returns  Stats'!A815</f>
        <v>2024-04-01</v>
      </c>
      <c r="B815" s="35">
        <f>'MPT Optimisation'!$B$16*'Returns  Stats'!B815+'MPT Optimisation'!$B$17*'Returns  Stats'!C815+'MPT Optimisation'!$B$18*'Returns  Stats'!D815+'MPT Optimisation'!$B$19*'Returns  Stats'!E815</f>
        <v>-2.9407508001212004E-3</v>
      </c>
    </row>
    <row r="816" spans="1:2" ht="15" customHeight="1" x14ac:dyDescent="0.2">
      <c r="A816" s="32" t="str">
        <f>'Returns  Stats'!A816</f>
        <v>2024-04-02</v>
      </c>
      <c r="B816" s="35">
        <f>'MPT Optimisation'!$B$16*'Returns  Stats'!B816+'MPT Optimisation'!$B$17*'Returns  Stats'!C816+'MPT Optimisation'!$B$18*'Returns  Stats'!D816+'MPT Optimisation'!$B$19*'Returns  Stats'!E816</f>
        <v>-8.3229553010007885E-3</v>
      </c>
    </row>
    <row r="817" spans="1:2" ht="15" customHeight="1" x14ac:dyDescent="0.2">
      <c r="A817" s="32" t="str">
        <f>'Returns  Stats'!A817</f>
        <v>2024-04-03</v>
      </c>
      <c r="B817" s="35">
        <f>'MPT Optimisation'!$B$16*'Returns  Stats'!B817+'MPT Optimisation'!$B$17*'Returns  Stats'!C817+'MPT Optimisation'!$B$18*'Returns  Stats'!D817+'MPT Optimisation'!$B$19*'Returns  Stats'!E817</f>
        <v>2.6891520850621407E-3</v>
      </c>
    </row>
    <row r="818" spans="1:2" ht="15" customHeight="1" x14ac:dyDescent="0.2">
      <c r="A818" s="32" t="str">
        <f>'Returns  Stats'!A818</f>
        <v>2024-04-04</v>
      </c>
      <c r="B818" s="35">
        <f>'MPT Optimisation'!$B$16*'Returns  Stats'!B818+'MPT Optimisation'!$B$17*'Returns  Stats'!C818+'MPT Optimisation'!$B$18*'Returns  Stats'!D818+'MPT Optimisation'!$B$19*'Returns  Stats'!E818</f>
        <v>-9.9662488062533128E-3</v>
      </c>
    </row>
    <row r="819" spans="1:2" ht="15" customHeight="1" x14ac:dyDescent="0.2">
      <c r="A819" s="32" t="str">
        <f>'Returns  Stats'!A819</f>
        <v>2024-04-05</v>
      </c>
      <c r="B819" s="35">
        <f>'MPT Optimisation'!$B$16*'Returns  Stats'!B819+'MPT Optimisation'!$B$17*'Returns  Stats'!C819+'MPT Optimisation'!$B$18*'Returns  Stats'!D819+'MPT Optimisation'!$B$19*'Returns  Stats'!E819</f>
        <v>7.0193811974545986E-3</v>
      </c>
    </row>
    <row r="820" spans="1:2" ht="15" customHeight="1" x14ac:dyDescent="0.2">
      <c r="A820" s="32" t="str">
        <f>'Returns  Stats'!A820</f>
        <v>2024-04-08</v>
      </c>
      <c r="B820" s="35">
        <f>'MPT Optimisation'!$B$16*'Returns  Stats'!B820+'MPT Optimisation'!$B$17*'Returns  Stats'!C820+'MPT Optimisation'!$B$18*'Returns  Stats'!D820+'MPT Optimisation'!$B$19*'Returns  Stats'!E820</f>
        <v>2.6710934507565513E-3</v>
      </c>
    </row>
    <row r="821" spans="1:2" ht="15" customHeight="1" x14ac:dyDescent="0.2">
      <c r="A821" s="32" t="str">
        <f>'Returns  Stats'!A821</f>
        <v>2024-04-09</v>
      </c>
      <c r="B821" s="35">
        <f>'MPT Optimisation'!$B$16*'Returns  Stats'!B821+'MPT Optimisation'!$B$17*'Returns  Stats'!C821+'MPT Optimisation'!$B$18*'Returns  Stats'!D821+'MPT Optimisation'!$B$19*'Returns  Stats'!E821</f>
        <v>1.6611194328129632E-3</v>
      </c>
    </row>
    <row r="822" spans="1:2" ht="15" customHeight="1" x14ac:dyDescent="0.2">
      <c r="A822" s="32" t="str">
        <f>'Returns  Stats'!A822</f>
        <v>2024-04-10</v>
      </c>
      <c r="B822" s="35">
        <f>'MPT Optimisation'!$B$16*'Returns  Stats'!B822+'MPT Optimisation'!$B$17*'Returns  Stats'!C822+'MPT Optimisation'!$B$18*'Returns  Stats'!D822+'MPT Optimisation'!$B$19*'Returns  Stats'!E822</f>
        <v>-1.3340184614576589E-2</v>
      </c>
    </row>
    <row r="823" spans="1:2" ht="15" customHeight="1" x14ac:dyDescent="0.2">
      <c r="A823" s="32" t="str">
        <f>'Returns  Stats'!A823</f>
        <v>2024-04-11</v>
      </c>
      <c r="B823" s="35">
        <f>'MPT Optimisation'!$B$16*'Returns  Stats'!B823+'MPT Optimisation'!$B$17*'Returns  Stats'!C823+'MPT Optimisation'!$B$18*'Returns  Stats'!D823+'MPT Optimisation'!$B$19*'Returns  Stats'!E823</f>
        <v>5.0560380858417414E-3</v>
      </c>
    </row>
    <row r="824" spans="1:2" ht="15" customHeight="1" x14ac:dyDescent="0.2">
      <c r="A824" s="32" t="str">
        <f>'Returns  Stats'!A824</f>
        <v>2024-04-12</v>
      </c>
      <c r="B824" s="35">
        <f>'MPT Optimisation'!$B$16*'Returns  Stats'!B824+'MPT Optimisation'!$B$17*'Returns  Stats'!C824+'MPT Optimisation'!$B$18*'Returns  Stats'!D824+'MPT Optimisation'!$B$19*'Returns  Stats'!E824</f>
        <v>-1.3999844213605695E-2</v>
      </c>
    </row>
    <row r="825" spans="1:2" ht="15" customHeight="1" x14ac:dyDescent="0.2">
      <c r="A825" s="32" t="str">
        <f>'Returns  Stats'!A825</f>
        <v>2024-04-15</v>
      </c>
      <c r="B825" s="35">
        <f>'MPT Optimisation'!$B$16*'Returns  Stats'!B825+'MPT Optimisation'!$B$17*'Returns  Stats'!C825+'MPT Optimisation'!$B$18*'Returns  Stats'!D825+'MPT Optimisation'!$B$19*'Returns  Stats'!E825</f>
        <v>-9.4215126662005894E-3</v>
      </c>
    </row>
    <row r="826" spans="1:2" ht="15" customHeight="1" x14ac:dyDescent="0.2">
      <c r="A826" s="32" t="str">
        <f>'Returns  Stats'!A826</f>
        <v>2024-04-16</v>
      </c>
      <c r="B826" s="35">
        <f>'MPT Optimisation'!$B$16*'Returns  Stats'!B826+'MPT Optimisation'!$B$17*'Returns  Stats'!C826+'MPT Optimisation'!$B$18*'Returns  Stats'!D826+'MPT Optimisation'!$B$19*'Returns  Stats'!E826</f>
        <v>-5.6064825097240194E-3</v>
      </c>
    </row>
    <row r="827" spans="1:2" ht="15" customHeight="1" x14ac:dyDescent="0.2">
      <c r="A827" s="32" t="str">
        <f>'Returns  Stats'!A827</f>
        <v>2024-04-17</v>
      </c>
      <c r="B827" s="35">
        <f>'MPT Optimisation'!$B$16*'Returns  Stats'!B827+'MPT Optimisation'!$B$17*'Returns  Stats'!C827+'MPT Optimisation'!$B$18*'Returns  Stats'!D827+'MPT Optimisation'!$B$19*'Returns  Stats'!E827</f>
        <v>-3.4542385621608384E-3</v>
      </c>
    </row>
    <row r="828" spans="1:2" ht="15" customHeight="1" x14ac:dyDescent="0.2">
      <c r="A828" s="32" t="str">
        <f>'Returns  Stats'!A828</f>
        <v>2024-04-18</v>
      </c>
      <c r="B828" s="35">
        <f>'MPT Optimisation'!$B$16*'Returns  Stats'!B828+'MPT Optimisation'!$B$17*'Returns  Stats'!C828+'MPT Optimisation'!$B$18*'Returns  Stats'!D828+'MPT Optimisation'!$B$19*'Returns  Stats'!E828</f>
        <v>-2.1960899869461425E-3</v>
      </c>
    </row>
    <row r="829" spans="1:2" ht="15" customHeight="1" x14ac:dyDescent="0.2">
      <c r="A829" s="32" t="str">
        <f>'Returns  Stats'!A829</f>
        <v>2024-04-19</v>
      </c>
      <c r="B829" s="35">
        <f>'MPT Optimisation'!$B$16*'Returns  Stats'!B829+'MPT Optimisation'!$B$17*'Returns  Stats'!C829+'MPT Optimisation'!$B$18*'Returns  Stats'!D829+'MPT Optimisation'!$B$19*'Returns  Stats'!E829</f>
        <v>-4.2968788657080873E-3</v>
      </c>
    </row>
    <row r="830" spans="1:2" ht="15" customHeight="1" x14ac:dyDescent="0.2">
      <c r="A830" s="32" t="str">
        <f>'Returns  Stats'!A830</f>
        <v>2024-04-22</v>
      </c>
      <c r="B830" s="35">
        <f>'MPT Optimisation'!$B$16*'Returns  Stats'!B830+'MPT Optimisation'!$B$17*'Returns  Stats'!C830+'MPT Optimisation'!$B$18*'Returns  Stats'!D830+'MPT Optimisation'!$B$19*'Returns  Stats'!E830</f>
        <v>9.8785824047223688E-3</v>
      </c>
    </row>
    <row r="831" spans="1:2" ht="15" customHeight="1" x14ac:dyDescent="0.2">
      <c r="A831" s="32" t="str">
        <f>'Returns  Stats'!A831</f>
        <v>2024-04-23</v>
      </c>
      <c r="B831" s="35">
        <f>'MPT Optimisation'!$B$16*'Returns  Stats'!B831+'MPT Optimisation'!$B$17*'Returns  Stats'!C831+'MPT Optimisation'!$B$18*'Returns  Stats'!D831+'MPT Optimisation'!$B$19*'Returns  Stats'!E831</f>
        <v>1.0982497627997377E-2</v>
      </c>
    </row>
    <row r="832" spans="1:2" ht="15" customHeight="1" x14ac:dyDescent="0.2">
      <c r="A832" s="32" t="str">
        <f>'Returns  Stats'!A832</f>
        <v>2024-04-24</v>
      </c>
      <c r="B832" s="35">
        <f>'MPT Optimisation'!$B$16*'Returns  Stats'!B832+'MPT Optimisation'!$B$17*'Returns  Stats'!C832+'MPT Optimisation'!$B$18*'Returns  Stats'!D832+'MPT Optimisation'!$B$19*'Returns  Stats'!E832</f>
        <v>-4.7183071971665386E-4</v>
      </c>
    </row>
    <row r="833" spans="1:2" ht="15" customHeight="1" x14ac:dyDescent="0.2">
      <c r="A833" s="32" t="str">
        <f>'Returns  Stats'!A833</f>
        <v>2024-04-25</v>
      </c>
      <c r="B833" s="35">
        <f>'MPT Optimisation'!$B$16*'Returns  Stats'!B833+'MPT Optimisation'!$B$17*'Returns  Stats'!C833+'MPT Optimisation'!$B$18*'Returns  Stats'!D833+'MPT Optimisation'!$B$19*'Returns  Stats'!E833</f>
        <v>-4.6654253830209092E-3</v>
      </c>
    </row>
    <row r="834" spans="1:2" ht="15" customHeight="1" x14ac:dyDescent="0.2">
      <c r="A834" s="32" t="str">
        <f>'Returns  Stats'!A834</f>
        <v>2024-04-26</v>
      </c>
      <c r="B834" s="35">
        <f>'MPT Optimisation'!$B$16*'Returns  Stats'!B834+'MPT Optimisation'!$B$17*'Returns  Stats'!C834+'MPT Optimisation'!$B$18*'Returns  Stats'!D834+'MPT Optimisation'!$B$19*'Returns  Stats'!E834</f>
        <v>8.1202582972518256E-3</v>
      </c>
    </row>
    <row r="835" spans="1:2" ht="15" customHeight="1" x14ac:dyDescent="0.2">
      <c r="A835" s="32" t="str">
        <f>'Returns  Stats'!A835</f>
        <v>2024-04-29</v>
      </c>
      <c r="B835" s="35">
        <f>'MPT Optimisation'!$B$16*'Returns  Stats'!B835+'MPT Optimisation'!$B$17*'Returns  Stats'!C835+'MPT Optimisation'!$B$18*'Returns  Stats'!D835+'MPT Optimisation'!$B$19*'Returns  Stats'!E835</f>
        <v>4.177276256480433E-3</v>
      </c>
    </row>
    <row r="836" spans="1:2" ht="15" customHeight="1" x14ac:dyDescent="0.2">
      <c r="A836" s="32" t="str">
        <f>'Returns  Stats'!A836</f>
        <v>2024-04-30</v>
      </c>
      <c r="B836" s="35">
        <f>'MPT Optimisation'!$B$16*'Returns  Stats'!B836+'MPT Optimisation'!$B$17*'Returns  Stats'!C836+'MPT Optimisation'!$B$18*'Returns  Stats'!D836+'MPT Optimisation'!$B$19*'Returns  Stats'!E836</f>
        <v>-1.471944275294083E-2</v>
      </c>
    </row>
    <row r="837" spans="1:2" ht="15" customHeight="1" x14ac:dyDescent="0.2">
      <c r="A837" s="32" t="str">
        <f>'Returns  Stats'!A837</f>
        <v>2024-05-01</v>
      </c>
      <c r="B837" s="35">
        <f>'MPT Optimisation'!$B$16*'Returns  Stats'!B837+'MPT Optimisation'!$B$17*'Returns  Stats'!C837+'MPT Optimisation'!$B$18*'Returns  Stats'!D837+'MPT Optimisation'!$B$19*'Returns  Stats'!E837</f>
        <v>-1.961045745981604E-3</v>
      </c>
    </row>
    <row r="838" spans="1:2" ht="15" customHeight="1" x14ac:dyDescent="0.2">
      <c r="A838" s="32" t="str">
        <f>'Returns  Stats'!A838</f>
        <v>2024-05-02</v>
      </c>
      <c r="B838" s="35">
        <f>'MPT Optimisation'!$B$16*'Returns  Stats'!B838+'MPT Optimisation'!$B$17*'Returns  Stats'!C838+'MPT Optimisation'!$B$18*'Returns  Stats'!D838+'MPT Optimisation'!$B$19*'Returns  Stats'!E838</f>
        <v>1.1193537321935641E-2</v>
      </c>
    </row>
    <row r="839" spans="1:2" ht="15" customHeight="1" x14ac:dyDescent="0.2">
      <c r="A839" s="32" t="str">
        <f>'Returns  Stats'!A839</f>
        <v>2024-05-03</v>
      </c>
      <c r="B839" s="35">
        <f>'MPT Optimisation'!$B$16*'Returns  Stats'!B839+'MPT Optimisation'!$B$17*'Returns  Stats'!C839+'MPT Optimisation'!$B$18*'Returns  Stats'!D839+'MPT Optimisation'!$B$19*'Returns  Stats'!E839</f>
        <v>1.0696974205147491E-2</v>
      </c>
    </row>
    <row r="840" spans="1:2" ht="15" customHeight="1" x14ac:dyDescent="0.2">
      <c r="A840" s="32" t="str">
        <f>'Returns  Stats'!A840</f>
        <v>2024-05-06</v>
      </c>
      <c r="B840" s="35">
        <f>'MPT Optimisation'!$B$16*'Returns  Stats'!B840+'MPT Optimisation'!$B$17*'Returns  Stats'!C840+'MPT Optimisation'!$B$18*'Returns  Stats'!D840+'MPT Optimisation'!$B$19*'Returns  Stats'!E840</f>
        <v>8.5692510316448083E-3</v>
      </c>
    </row>
    <row r="841" spans="1:2" ht="15" customHeight="1" x14ac:dyDescent="0.2">
      <c r="A841" s="32" t="str">
        <f>'Returns  Stats'!A841</f>
        <v>2024-05-07</v>
      </c>
      <c r="B841" s="35">
        <f>'MPT Optimisation'!$B$16*'Returns  Stats'!B841+'MPT Optimisation'!$B$17*'Returns  Stats'!C841+'MPT Optimisation'!$B$18*'Returns  Stats'!D841+'MPT Optimisation'!$B$19*'Returns  Stats'!E841</f>
        <v>1.9085311084607538E-3</v>
      </c>
    </row>
    <row r="842" spans="1:2" ht="15" customHeight="1" x14ac:dyDescent="0.2">
      <c r="A842" s="32" t="str">
        <f>'Returns  Stats'!A842</f>
        <v>2024-05-08</v>
      </c>
      <c r="B842" s="35">
        <f>'MPT Optimisation'!$B$16*'Returns  Stats'!B842+'MPT Optimisation'!$B$17*'Returns  Stats'!C842+'MPT Optimisation'!$B$18*'Returns  Stats'!D842+'MPT Optimisation'!$B$19*'Returns  Stats'!E842</f>
        <v>-1.2837735346534539E-3</v>
      </c>
    </row>
    <row r="843" spans="1:2" ht="15" customHeight="1" x14ac:dyDescent="0.2">
      <c r="A843" s="32" t="str">
        <f>'Returns  Stats'!A843</f>
        <v>2024-05-09</v>
      </c>
      <c r="B843" s="35">
        <f>'MPT Optimisation'!$B$16*'Returns  Stats'!B843+'MPT Optimisation'!$B$17*'Returns  Stats'!C843+'MPT Optimisation'!$B$18*'Returns  Stats'!D843+'MPT Optimisation'!$B$19*'Returns  Stats'!E843</f>
        <v>6.9531918615745036E-3</v>
      </c>
    </row>
    <row r="844" spans="1:2" ht="15" customHeight="1" x14ac:dyDescent="0.2">
      <c r="A844" s="32" t="str">
        <f>'Returns  Stats'!A844</f>
        <v>2024-05-10</v>
      </c>
      <c r="B844" s="35">
        <f>'MPT Optimisation'!$B$16*'Returns  Stats'!B844+'MPT Optimisation'!$B$17*'Returns  Stats'!C844+'MPT Optimisation'!$B$18*'Returns  Stats'!D844+'MPT Optimisation'!$B$19*'Returns  Stats'!E844</f>
        <v>8.775515482489281E-4</v>
      </c>
    </row>
    <row r="845" spans="1:2" ht="15" customHeight="1" x14ac:dyDescent="0.2">
      <c r="A845" s="32" t="str">
        <f>'Returns  Stats'!A845</f>
        <v>2024-05-13</v>
      </c>
      <c r="B845" s="35">
        <f>'MPT Optimisation'!$B$16*'Returns  Stats'!B845+'MPT Optimisation'!$B$17*'Returns  Stats'!C845+'MPT Optimisation'!$B$18*'Returns  Stats'!D845+'MPT Optimisation'!$B$19*'Returns  Stats'!E845</f>
        <v>5.1443380978578586E-4</v>
      </c>
    </row>
    <row r="846" spans="1:2" ht="15" customHeight="1" x14ac:dyDescent="0.2">
      <c r="A846" s="32" t="str">
        <f>'Returns  Stats'!A846</f>
        <v>2024-05-14</v>
      </c>
      <c r="B846" s="35">
        <f>'MPT Optimisation'!$B$16*'Returns  Stats'!B846+'MPT Optimisation'!$B$17*'Returns  Stats'!C846+'MPT Optimisation'!$B$18*'Returns  Stats'!D846+'MPT Optimisation'!$B$19*'Returns  Stats'!E846</f>
        <v>5.6884300234183892E-3</v>
      </c>
    </row>
    <row r="847" spans="1:2" ht="15" customHeight="1" x14ac:dyDescent="0.2">
      <c r="A847" s="32" t="str">
        <f>'Returns  Stats'!A847</f>
        <v>2024-05-15</v>
      </c>
      <c r="B847" s="35">
        <f>'MPT Optimisation'!$B$16*'Returns  Stats'!B847+'MPT Optimisation'!$B$17*'Returns  Stats'!C847+'MPT Optimisation'!$B$18*'Returns  Stats'!D847+'MPT Optimisation'!$B$19*'Returns  Stats'!E847</f>
        <v>1.1588298641207261E-2</v>
      </c>
    </row>
    <row r="848" spans="1:2" ht="15" customHeight="1" x14ac:dyDescent="0.2">
      <c r="A848" s="32" t="str">
        <f>'Returns  Stats'!A848</f>
        <v>2024-05-16</v>
      </c>
      <c r="B848" s="35">
        <f>'MPT Optimisation'!$B$16*'Returns  Stats'!B848+'MPT Optimisation'!$B$17*'Returns  Stats'!C848+'MPT Optimisation'!$B$18*'Returns  Stats'!D848+'MPT Optimisation'!$B$19*'Returns  Stats'!E848</f>
        <v>-3.3277095252502277E-3</v>
      </c>
    </row>
    <row r="849" spans="1:2" ht="15" customHeight="1" x14ac:dyDescent="0.2">
      <c r="A849" s="32" t="str">
        <f>'Returns  Stats'!A849</f>
        <v>2024-05-17</v>
      </c>
      <c r="B849" s="35">
        <f>'MPT Optimisation'!$B$16*'Returns  Stats'!B849+'MPT Optimisation'!$B$17*'Returns  Stats'!C849+'MPT Optimisation'!$B$18*'Returns  Stats'!D849+'MPT Optimisation'!$B$19*'Returns  Stats'!E849</f>
        <v>1.7145213884832864E-3</v>
      </c>
    </row>
    <row r="850" spans="1:2" ht="15" customHeight="1" x14ac:dyDescent="0.2">
      <c r="A850" s="32" t="str">
        <f>'Returns  Stats'!A850</f>
        <v>2024-05-20</v>
      </c>
      <c r="B850" s="35">
        <f>'MPT Optimisation'!$B$16*'Returns  Stats'!B850+'MPT Optimisation'!$B$17*'Returns  Stats'!C850+'MPT Optimisation'!$B$18*'Returns  Stats'!D850+'MPT Optimisation'!$B$19*'Returns  Stats'!E850</f>
        <v>4.9707466667118225E-4</v>
      </c>
    </row>
    <row r="851" spans="1:2" ht="15" customHeight="1" x14ac:dyDescent="0.2">
      <c r="A851" s="32" t="str">
        <f>'Returns  Stats'!A851</f>
        <v>2024-05-21</v>
      </c>
      <c r="B851" s="35">
        <f>'MPT Optimisation'!$B$16*'Returns  Stats'!B851+'MPT Optimisation'!$B$17*'Returns  Stats'!C851+'MPT Optimisation'!$B$18*'Returns  Stats'!D851+'MPT Optimisation'!$B$19*'Returns  Stats'!E851</f>
        <v>8.3184488872692906E-4</v>
      </c>
    </row>
    <row r="852" spans="1:2" ht="15" customHeight="1" x14ac:dyDescent="0.2">
      <c r="A852" s="32" t="str">
        <f>'Returns  Stats'!A852</f>
        <v>2024-05-22</v>
      </c>
      <c r="B852" s="35">
        <f>'MPT Optimisation'!$B$16*'Returns  Stats'!B852+'MPT Optimisation'!$B$17*'Returns  Stats'!C852+'MPT Optimisation'!$B$18*'Returns  Stats'!D852+'MPT Optimisation'!$B$19*'Returns  Stats'!E852</f>
        <v>-5.3738479708960998E-3</v>
      </c>
    </row>
    <row r="853" spans="1:2" ht="15" customHeight="1" x14ac:dyDescent="0.2">
      <c r="A853" s="32" t="str">
        <f>'Returns  Stats'!A853</f>
        <v>2024-05-23</v>
      </c>
      <c r="B853" s="35">
        <f>'MPT Optimisation'!$B$16*'Returns  Stats'!B853+'MPT Optimisation'!$B$17*'Returns  Stats'!C853+'MPT Optimisation'!$B$18*'Returns  Stats'!D853+'MPT Optimisation'!$B$19*'Returns  Stats'!E853</f>
        <v>-7.8408454877723181E-3</v>
      </c>
    </row>
    <row r="854" spans="1:2" ht="15" customHeight="1" x14ac:dyDescent="0.2">
      <c r="A854" s="32" t="str">
        <f>'Returns  Stats'!A854</f>
        <v>2024-05-24</v>
      </c>
      <c r="B854" s="35">
        <f>'MPT Optimisation'!$B$16*'Returns  Stats'!B854+'MPT Optimisation'!$B$17*'Returns  Stats'!C854+'MPT Optimisation'!$B$18*'Returns  Stats'!D854+'MPT Optimisation'!$B$19*'Returns  Stats'!E854</f>
        <v>6.8952500964309816E-3</v>
      </c>
    </row>
    <row r="855" spans="1:2" ht="15" customHeight="1" x14ac:dyDescent="0.2">
      <c r="A855" s="32" t="str">
        <f>'Returns  Stats'!A855</f>
        <v>2024-05-28</v>
      </c>
      <c r="B855" s="35">
        <f>'MPT Optimisation'!$B$16*'Returns  Stats'!B855+'MPT Optimisation'!$B$17*'Returns  Stats'!C855+'MPT Optimisation'!$B$18*'Returns  Stats'!D855+'MPT Optimisation'!$B$19*'Returns  Stats'!E855</f>
        <v>-6.7384737568439992E-4</v>
      </c>
    </row>
    <row r="856" spans="1:2" ht="15" customHeight="1" x14ac:dyDescent="0.2">
      <c r="A856" s="32" t="str">
        <f>'Returns  Stats'!A856</f>
        <v>2024-05-29</v>
      </c>
      <c r="B856" s="35">
        <f>'MPT Optimisation'!$B$16*'Returns  Stats'!B856+'MPT Optimisation'!$B$17*'Returns  Stats'!C856+'MPT Optimisation'!$B$18*'Returns  Stats'!D856+'MPT Optimisation'!$B$19*'Returns  Stats'!E856</f>
        <v>-1.0343863567696421E-2</v>
      </c>
    </row>
    <row r="857" spans="1:2" ht="15" customHeight="1" x14ac:dyDescent="0.2">
      <c r="A857" s="32" t="str">
        <f>'Returns  Stats'!A857</f>
        <v>2024-05-30</v>
      </c>
      <c r="B857" s="35">
        <f>'MPT Optimisation'!$B$16*'Returns  Stats'!B857+'MPT Optimisation'!$B$17*'Returns  Stats'!C857+'MPT Optimisation'!$B$18*'Returns  Stats'!D857+'MPT Optimisation'!$B$19*'Returns  Stats'!E857</f>
        <v>5.5442153183988814E-4</v>
      </c>
    </row>
    <row r="858" spans="1:2" ht="15" customHeight="1" x14ac:dyDescent="0.2">
      <c r="A858" s="32" t="str">
        <f>'Returns  Stats'!A858</f>
        <v>2024-05-31</v>
      </c>
      <c r="B858" s="35">
        <f>'MPT Optimisation'!$B$16*'Returns  Stats'!B858+'MPT Optimisation'!$B$17*'Returns  Stats'!C858+'MPT Optimisation'!$B$18*'Returns  Stats'!D858+'MPT Optimisation'!$B$19*'Returns  Stats'!E858</f>
        <v>8.5898509444251262E-3</v>
      </c>
    </row>
    <row r="859" spans="1:2" ht="15" customHeight="1" x14ac:dyDescent="0.2">
      <c r="A859" s="32" t="str">
        <f>'Returns  Stats'!A859</f>
        <v>2024-06-03</v>
      </c>
      <c r="B859" s="35">
        <f>'MPT Optimisation'!$B$16*'Returns  Stats'!B859+'MPT Optimisation'!$B$17*'Returns  Stats'!C859+'MPT Optimisation'!$B$18*'Returns  Stats'!D859+'MPT Optimisation'!$B$19*'Returns  Stats'!E859</f>
        <v>1.2225862885937076E-3</v>
      </c>
    </row>
    <row r="860" spans="1:2" ht="15" customHeight="1" x14ac:dyDescent="0.2">
      <c r="A860" s="32" t="str">
        <f>'Returns  Stats'!A860</f>
        <v>2024-06-04</v>
      </c>
      <c r="B860" s="35">
        <f>'MPT Optimisation'!$B$16*'Returns  Stats'!B860+'MPT Optimisation'!$B$17*'Returns  Stats'!C860+'MPT Optimisation'!$B$18*'Returns  Stats'!D860+'MPT Optimisation'!$B$19*'Returns  Stats'!E860</f>
        <v>1.2855938291378438E-4</v>
      </c>
    </row>
    <row r="861" spans="1:2" ht="15" customHeight="1" x14ac:dyDescent="0.2">
      <c r="A861" s="32" t="str">
        <f>'Returns  Stats'!A861</f>
        <v>2024-06-05</v>
      </c>
      <c r="B861" s="35">
        <f>'MPT Optimisation'!$B$16*'Returns  Stats'!B861+'MPT Optimisation'!$B$17*'Returns  Stats'!C861+'MPT Optimisation'!$B$18*'Returns  Stats'!D861+'MPT Optimisation'!$B$19*'Returns  Stats'!E861</f>
        <v>9.545357901158711E-3</v>
      </c>
    </row>
    <row r="862" spans="1:2" ht="15" customHeight="1" x14ac:dyDescent="0.2">
      <c r="A862" s="32" t="str">
        <f>'Returns  Stats'!A862</f>
        <v>2024-06-06</v>
      </c>
      <c r="B862" s="35">
        <f>'MPT Optimisation'!$B$16*'Returns  Stats'!B862+'MPT Optimisation'!$B$17*'Returns  Stats'!C862+'MPT Optimisation'!$B$18*'Returns  Stats'!D862+'MPT Optimisation'!$B$19*'Returns  Stats'!E862</f>
        <v>6.1370823208488628E-4</v>
      </c>
    </row>
    <row r="863" spans="1:2" ht="15" customHeight="1" x14ac:dyDescent="0.2">
      <c r="A863" s="32" t="str">
        <f>'Returns  Stats'!A863</f>
        <v>2024-06-07</v>
      </c>
      <c r="B863" s="35">
        <f>'MPT Optimisation'!$B$16*'Returns  Stats'!B863+'MPT Optimisation'!$B$17*'Returns  Stats'!C863+'MPT Optimisation'!$B$18*'Returns  Stats'!D863+'MPT Optimisation'!$B$19*'Returns  Stats'!E863</f>
        <v>-5.3011743285941602E-3</v>
      </c>
    </row>
    <row r="864" spans="1:2" ht="15" customHeight="1" x14ac:dyDescent="0.2">
      <c r="A864" s="32" t="str">
        <f>'Returns  Stats'!A864</f>
        <v>2024-06-10</v>
      </c>
      <c r="B864" s="35">
        <f>'MPT Optimisation'!$B$16*'Returns  Stats'!B864+'MPT Optimisation'!$B$17*'Returns  Stats'!C864+'MPT Optimisation'!$B$18*'Returns  Stats'!D864+'MPT Optimisation'!$B$19*'Returns  Stats'!E864</f>
        <v>1.9137435319737661E-3</v>
      </c>
    </row>
    <row r="865" spans="1:2" ht="15" customHeight="1" x14ac:dyDescent="0.2">
      <c r="A865" s="32" t="str">
        <f>'Returns  Stats'!A865</f>
        <v>2024-06-11</v>
      </c>
      <c r="B865" s="35">
        <f>'MPT Optimisation'!$B$16*'Returns  Stats'!B865+'MPT Optimisation'!$B$17*'Returns  Stats'!C865+'MPT Optimisation'!$B$18*'Returns  Stats'!D865+'MPT Optimisation'!$B$19*'Returns  Stats'!E865</f>
        <v>-2.3949557081878073E-3</v>
      </c>
    </row>
    <row r="866" spans="1:2" ht="15" customHeight="1" x14ac:dyDescent="0.2">
      <c r="A866" s="32" t="str">
        <f>'Returns  Stats'!A866</f>
        <v>2024-06-12</v>
      </c>
      <c r="B866" s="35">
        <f>'MPT Optimisation'!$B$16*'Returns  Stats'!B866+'MPT Optimisation'!$B$17*'Returns  Stats'!C866+'MPT Optimisation'!$B$18*'Returns  Stats'!D866+'MPT Optimisation'!$B$19*'Returns  Stats'!E866</f>
        <v>9.8721750457201763E-3</v>
      </c>
    </row>
    <row r="867" spans="1:2" ht="15" customHeight="1" x14ac:dyDescent="0.2">
      <c r="A867" s="32" t="str">
        <f>'Returns  Stats'!A867</f>
        <v>2024-06-13</v>
      </c>
      <c r="B867" s="35">
        <f>'MPT Optimisation'!$B$16*'Returns  Stats'!B867+'MPT Optimisation'!$B$17*'Returns  Stats'!C867+'MPT Optimisation'!$B$18*'Returns  Stats'!D867+'MPT Optimisation'!$B$19*'Returns  Stats'!E867</f>
        <v>-3.558706313470961E-3</v>
      </c>
    </row>
    <row r="868" spans="1:2" ht="15" customHeight="1" x14ac:dyDescent="0.2">
      <c r="A868" s="32" t="str">
        <f>'Returns  Stats'!A868</f>
        <v>2024-06-14</v>
      </c>
      <c r="B868" s="35">
        <f>'MPT Optimisation'!$B$16*'Returns  Stats'!B868+'MPT Optimisation'!$B$17*'Returns  Stats'!C868+'MPT Optimisation'!$B$18*'Returns  Stats'!D868+'MPT Optimisation'!$B$19*'Returns  Stats'!E868</f>
        <v>-3.726745934865416E-3</v>
      </c>
    </row>
    <row r="869" spans="1:2" ht="15" customHeight="1" x14ac:dyDescent="0.2">
      <c r="A869" s="32" t="str">
        <f>'Returns  Stats'!A869</f>
        <v>2024-06-17</v>
      </c>
      <c r="B869" s="35">
        <f>'MPT Optimisation'!$B$16*'Returns  Stats'!B869+'MPT Optimisation'!$B$17*'Returns  Stats'!C869+'MPT Optimisation'!$B$18*'Returns  Stats'!D869+'MPT Optimisation'!$B$19*'Returns  Stats'!E869</f>
        <v>5.3868304848264199E-3</v>
      </c>
    </row>
    <row r="870" spans="1:2" ht="15" customHeight="1" x14ac:dyDescent="0.2">
      <c r="A870" s="32" t="str">
        <f>'Returns  Stats'!A870</f>
        <v>2024-06-18</v>
      </c>
      <c r="B870" s="35">
        <f>'MPT Optimisation'!$B$16*'Returns  Stats'!B870+'MPT Optimisation'!$B$17*'Returns  Stats'!C870+'MPT Optimisation'!$B$18*'Returns  Stats'!D870+'MPT Optimisation'!$B$19*'Returns  Stats'!E870</f>
        <v>3.0850356456052831E-3</v>
      </c>
    </row>
    <row r="871" spans="1:2" ht="15" customHeight="1" x14ac:dyDescent="0.2">
      <c r="A871" s="32" t="str">
        <f>'Returns  Stats'!A871</f>
        <v>2024-06-20</v>
      </c>
      <c r="B871" s="35">
        <f>'MPT Optimisation'!$B$16*'Returns  Stats'!B871+'MPT Optimisation'!$B$17*'Returns  Stats'!C871+'MPT Optimisation'!$B$18*'Returns  Stats'!D871+'MPT Optimisation'!$B$19*'Returns  Stats'!E871</f>
        <v>-1.5528921431882169E-3</v>
      </c>
    </row>
    <row r="872" spans="1:2" ht="15" customHeight="1" x14ac:dyDescent="0.2">
      <c r="A872" s="32" t="str">
        <f>'Returns  Stats'!A872</f>
        <v>2024-06-21</v>
      </c>
      <c r="B872" s="35">
        <f>'MPT Optimisation'!$B$16*'Returns  Stats'!B872+'MPT Optimisation'!$B$17*'Returns  Stats'!C872+'MPT Optimisation'!$B$18*'Returns  Stats'!D872+'MPT Optimisation'!$B$19*'Returns  Stats'!E872</f>
        <v>-2.8868913501267635E-3</v>
      </c>
    </row>
    <row r="873" spans="1:2" ht="15" customHeight="1" x14ac:dyDescent="0.2">
      <c r="A873" s="32" t="str">
        <f>'Returns  Stats'!A873</f>
        <v>2024-06-24</v>
      </c>
      <c r="B873" s="35">
        <f>'MPT Optimisation'!$B$16*'Returns  Stats'!B873+'MPT Optimisation'!$B$17*'Returns  Stats'!C873+'MPT Optimisation'!$B$18*'Returns  Stats'!D873+'MPT Optimisation'!$B$19*'Returns  Stats'!E873</f>
        <v>1.8078017434454254E-3</v>
      </c>
    </row>
    <row r="874" spans="1:2" ht="15" customHeight="1" x14ac:dyDescent="0.2">
      <c r="A874" s="32" t="str">
        <f>'Returns  Stats'!A874</f>
        <v>2024-06-25</v>
      </c>
      <c r="B874" s="35">
        <f>'MPT Optimisation'!$B$16*'Returns  Stats'!B874+'MPT Optimisation'!$B$17*'Returns  Stats'!C874+'MPT Optimisation'!$B$18*'Returns  Stats'!D874+'MPT Optimisation'!$B$19*'Returns  Stats'!E874</f>
        <v>2.0769023105591364E-3</v>
      </c>
    </row>
    <row r="875" spans="1:2" ht="15" customHeight="1" x14ac:dyDescent="0.2">
      <c r="A875" s="32" t="str">
        <f>'Returns  Stats'!A875</f>
        <v>2024-06-26</v>
      </c>
      <c r="B875" s="35">
        <f>'MPT Optimisation'!$B$16*'Returns  Stats'!B875+'MPT Optimisation'!$B$17*'Returns  Stats'!C875+'MPT Optimisation'!$B$18*'Returns  Stats'!D875+'MPT Optimisation'!$B$19*'Returns  Stats'!E875</f>
        <v>-2.6119495548750926E-3</v>
      </c>
    </row>
    <row r="876" spans="1:2" ht="15" customHeight="1" x14ac:dyDescent="0.2">
      <c r="A876" s="32" t="str">
        <f>'Returns  Stats'!A876</f>
        <v>2024-06-27</v>
      </c>
      <c r="B876" s="35">
        <f>'MPT Optimisation'!$B$16*'Returns  Stats'!B876+'MPT Optimisation'!$B$17*'Returns  Stats'!C876+'MPT Optimisation'!$B$18*'Returns  Stats'!D876+'MPT Optimisation'!$B$19*'Returns  Stats'!E876</f>
        <v>2.249810103183847E-3</v>
      </c>
    </row>
    <row r="877" spans="1:2" ht="15" customHeight="1" x14ac:dyDescent="0.2">
      <c r="A877" s="32" t="str">
        <f>'Returns  Stats'!A877</f>
        <v>2024-06-28</v>
      </c>
      <c r="B877" s="35">
        <f>'MPT Optimisation'!$B$16*'Returns  Stats'!B877+'MPT Optimisation'!$B$17*'Returns  Stats'!C877+'MPT Optimisation'!$B$18*'Returns  Stats'!D877+'MPT Optimisation'!$B$19*'Returns  Stats'!E877</f>
        <v>-1.5539799372605134E-3</v>
      </c>
    </row>
    <row r="878" spans="1:2" ht="15" customHeight="1" x14ac:dyDescent="0.2">
      <c r="A878" s="32" t="str">
        <f>'Returns  Stats'!A878</f>
        <v>2024-07-01</v>
      </c>
      <c r="B878" s="35">
        <f>'MPT Optimisation'!$B$16*'Returns  Stats'!B878+'MPT Optimisation'!$B$17*'Returns  Stats'!C878+'MPT Optimisation'!$B$18*'Returns  Stats'!D878+'MPT Optimisation'!$B$19*'Returns  Stats'!E878</f>
        <v>1.0075609394293195E-3</v>
      </c>
    </row>
    <row r="879" spans="1:2" ht="15" customHeight="1" x14ac:dyDescent="0.2">
      <c r="A879" s="32" t="str">
        <f>'Returns  Stats'!A879</f>
        <v>2024-07-02</v>
      </c>
      <c r="B879" s="35">
        <f>'MPT Optimisation'!$B$16*'Returns  Stats'!B879+'MPT Optimisation'!$B$17*'Returns  Stats'!C879+'MPT Optimisation'!$B$18*'Returns  Stats'!D879+'MPT Optimisation'!$B$19*'Returns  Stats'!E879</f>
        <v>4.5972550948950915E-3</v>
      </c>
    </row>
    <row r="880" spans="1:2" ht="15" customHeight="1" x14ac:dyDescent="0.2">
      <c r="A880" s="32" t="str">
        <f>'Returns  Stats'!A880</f>
        <v>2024-07-03</v>
      </c>
      <c r="B880" s="35">
        <f>'MPT Optimisation'!$B$16*'Returns  Stats'!B880+'MPT Optimisation'!$B$17*'Returns  Stats'!C880+'MPT Optimisation'!$B$18*'Returns  Stats'!D880+'MPT Optimisation'!$B$19*'Returns  Stats'!E880</f>
        <v>6.1239881838444912E-3</v>
      </c>
    </row>
    <row r="881" spans="1:2" ht="15" customHeight="1" x14ac:dyDescent="0.2">
      <c r="A881" s="32" t="str">
        <f>'Returns  Stats'!A881</f>
        <v>2024-07-05</v>
      </c>
      <c r="B881" s="35">
        <f>'MPT Optimisation'!$B$16*'Returns  Stats'!B881+'MPT Optimisation'!$B$17*'Returns  Stats'!C881+'MPT Optimisation'!$B$18*'Returns  Stats'!D881+'MPT Optimisation'!$B$19*'Returns  Stats'!E881</f>
        <v>5.5141661996953696E-3</v>
      </c>
    </row>
    <row r="882" spans="1:2" ht="15" customHeight="1" x14ac:dyDescent="0.2">
      <c r="A882" s="32" t="str">
        <f>'Returns  Stats'!A882</f>
        <v>2024-07-08</v>
      </c>
      <c r="B882" s="35">
        <f>'MPT Optimisation'!$B$16*'Returns  Stats'!B882+'MPT Optimisation'!$B$17*'Returns  Stats'!C882+'MPT Optimisation'!$B$18*'Returns  Stats'!D882+'MPT Optimisation'!$B$19*'Returns  Stats'!E882</f>
        <v>-5.0552998821788979E-4</v>
      </c>
    </row>
    <row r="883" spans="1:2" ht="15" customHeight="1" x14ac:dyDescent="0.2">
      <c r="A883" s="32" t="str">
        <f>'Returns  Stats'!A883</f>
        <v>2024-07-09</v>
      </c>
      <c r="B883" s="35">
        <f>'MPT Optimisation'!$B$16*'Returns  Stats'!B883+'MPT Optimisation'!$B$17*'Returns  Stats'!C883+'MPT Optimisation'!$B$18*'Returns  Stats'!D883+'MPT Optimisation'!$B$19*'Returns  Stats'!E883</f>
        <v>-1.4168613289545547E-3</v>
      </c>
    </row>
    <row r="884" spans="1:2" ht="15" customHeight="1" x14ac:dyDescent="0.2">
      <c r="A884" s="32" t="str">
        <f>'Returns  Stats'!A884</f>
        <v>2024-07-10</v>
      </c>
      <c r="B884" s="35">
        <f>'MPT Optimisation'!$B$16*'Returns  Stats'!B884+'MPT Optimisation'!$B$17*'Returns  Stats'!C884+'MPT Optimisation'!$B$18*'Returns  Stats'!D884+'MPT Optimisation'!$B$19*'Returns  Stats'!E884</f>
        <v>1.0469210146528417E-2</v>
      </c>
    </row>
    <row r="885" spans="1:2" ht="15" customHeight="1" x14ac:dyDescent="0.2">
      <c r="A885" s="32" t="str">
        <f>'Returns  Stats'!A885</f>
        <v>2024-07-11</v>
      </c>
      <c r="B885" s="35">
        <f>'MPT Optimisation'!$B$16*'Returns  Stats'!B885+'MPT Optimisation'!$B$17*'Returns  Stats'!C885+'MPT Optimisation'!$B$18*'Returns  Stats'!D885+'MPT Optimisation'!$B$19*'Returns  Stats'!E885</f>
        <v>-1.3569212656352466E-4</v>
      </c>
    </row>
    <row r="886" spans="1:2" ht="15" customHeight="1" x14ac:dyDescent="0.2">
      <c r="A886" s="32" t="str">
        <f>'Returns  Stats'!A886</f>
        <v>2024-07-12</v>
      </c>
      <c r="B886" s="35">
        <f>'MPT Optimisation'!$B$16*'Returns  Stats'!B886+'MPT Optimisation'!$B$17*'Returns  Stats'!C886+'MPT Optimisation'!$B$18*'Returns  Stats'!D886+'MPT Optimisation'!$B$19*'Returns  Stats'!E886</f>
        <v>7.6800496537316795E-3</v>
      </c>
    </row>
    <row r="887" spans="1:2" ht="15" customHeight="1" x14ac:dyDescent="0.2">
      <c r="A887" s="32" t="str">
        <f>'Returns  Stats'!A887</f>
        <v>2024-07-15</v>
      </c>
      <c r="B887" s="35">
        <f>'MPT Optimisation'!$B$16*'Returns  Stats'!B887+'MPT Optimisation'!$B$17*'Returns  Stats'!C887+'MPT Optimisation'!$B$18*'Returns  Stats'!D887+'MPT Optimisation'!$B$19*'Returns  Stats'!E887</f>
        <v>8.5284850650524662E-5</v>
      </c>
    </row>
    <row r="888" spans="1:2" ht="15" customHeight="1" x14ac:dyDescent="0.2">
      <c r="A888" s="32" t="str">
        <f>'Returns  Stats'!A888</f>
        <v>2024-07-16</v>
      </c>
      <c r="B888" s="35">
        <f>'MPT Optimisation'!$B$16*'Returns  Stats'!B888+'MPT Optimisation'!$B$17*'Returns  Stats'!C888+'MPT Optimisation'!$B$18*'Returns  Stats'!D888+'MPT Optimisation'!$B$19*'Returns  Stats'!E888</f>
        <v>7.2060818958846412E-3</v>
      </c>
    </row>
    <row r="889" spans="1:2" ht="15" customHeight="1" x14ac:dyDescent="0.2">
      <c r="A889" s="32" t="str">
        <f>'Returns  Stats'!A889</f>
        <v>2024-07-17</v>
      </c>
      <c r="B889" s="35">
        <f>'MPT Optimisation'!$B$16*'Returns  Stats'!B889+'MPT Optimisation'!$B$17*'Returns  Stats'!C889+'MPT Optimisation'!$B$18*'Returns  Stats'!D889+'MPT Optimisation'!$B$19*'Returns  Stats'!E889</f>
        <v>-9.6799485677654517E-3</v>
      </c>
    </row>
    <row r="890" spans="1:2" ht="15" customHeight="1" x14ac:dyDescent="0.2">
      <c r="A890" s="32" t="str">
        <f>'Returns  Stats'!A890</f>
        <v>2024-07-18</v>
      </c>
      <c r="B890" s="35">
        <f>'MPT Optimisation'!$B$16*'Returns  Stats'!B890+'MPT Optimisation'!$B$17*'Returns  Stats'!C890+'MPT Optimisation'!$B$18*'Returns  Stats'!D890+'MPT Optimisation'!$B$19*'Returns  Stats'!E890</f>
        <v>-8.7801491638466664E-3</v>
      </c>
    </row>
    <row r="891" spans="1:2" ht="15" customHeight="1" x14ac:dyDescent="0.2">
      <c r="A891" s="32" t="str">
        <f>'Returns  Stats'!A891</f>
        <v>2024-07-19</v>
      </c>
      <c r="B891" s="35">
        <f>'MPT Optimisation'!$B$16*'Returns  Stats'!B891+'MPT Optimisation'!$B$17*'Returns  Stats'!C891+'MPT Optimisation'!$B$18*'Returns  Stats'!D891+'MPT Optimisation'!$B$19*'Returns  Stats'!E891</f>
        <v>-5.7683319252906529E-3</v>
      </c>
    </row>
    <row r="892" spans="1:2" ht="15" customHeight="1" x14ac:dyDescent="0.2">
      <c r="A892" s="32" t="str">
        <f>'Returns  Stats'!A892</f>
        <v>2024-07-22</v>
      </c>
      <c r="B892" s="35">
        <f>'MPT Optimisation'!$B$16*'Returns  Stats'!B892+'MPT Optimisation'!$B$17*'Returns  Stats'!C892+'MPT Optimisation'!$B$18*'Returns  Stats'!D892+'MPT Optimisation'!$B$19*'Returns  Stats'!E892</f>
        <v>9.9307811407823958E-3</v>
      </c>
    </row>
    <row r="893" spans="1:2" ht="15" customHeight="1" x14ac:dyDescent="0.2">
      <c r="A893" s="32" t="str">
        <f>'Returns  Stats'!A893</f>
        <v>2024-07-23</v>
      </c>
      <c r="B893" s="35">
        <f>'MPT Optimisation'!$B$16*'Returns  Stats'!B893+'MPT Optimisation'!$B$17*'Returns  Stats'!C893+'MPT Optimisation'!$B$18*'Returns  Stats'!D893+'MPT Optimisation'!$B$19*'Returns  Stats'!E893</f>
        <v>-2.162127417552645E-3</v>
      </c>
    </row>
    <row r="894" spans="1:2" ht="15" customHeight="1" x14ac:dyDescent="0.2">
      <c r="A894" s="32" t="str">
        <f>'Returns  Stats'!A894</f>
        <v>2024-07-24</v>
      </c>
      <c r="B894" s="35">
        <f>'MPT Optimisation'!$B$16*'Returns  Stats'!B894+'MPT Optimisation'!$B$17*'Returns  Stats'!C894+'MPT Optimisation'!$B$18*'Returns  Stats'!D894+'MPT Optimisation'!$B$19*'Returns  Stats'!E894</f>
        <v>-1.8185053514202368E-2</v>
      </c>
    </row>
    <row r="895" spans="1:2" ht="15" customHeight="1" x14ac:dyDescent="0.2">
      <c r="A895" s="32" t="str">
        <f>'Returns  Stats'!A895</f>
        <v>2024-07-25</v>
      </c>
      <c r="B895" s="35">
        <f>'MPT Optimisation'!$B$16*'Returns  Stats'!B895+'MPT Optimisation'!$B$17*'Returns  Stats'!C895+'MPT Optimisation'!$B$18*'Returns  Stats'!D895+'MPT Optimisation'!$B$19*'Returns  Stats'!E895</f>
        <v>-4.2367840624180537E-3</v>
      </c>
    </row>
    <row r="896" spans="1:2" ht="15" customHeight="1" x14ac:dyDescent="0.2">
      <c r="A896" s="32" t="str">
        <f>'Returns  Stats'!A896</f>
        <v>2024-07-26</v>
      </c>
      <c r="B896" s="35">
        <f>'MPT Optimisation'!$B$16*'Returns  Stats'!B896+'MPT Optimisation'!$B$17*'Returns  Stats'!C896+'MPT Optimisation'!$B$18*'Returns  Stats'!D896+'MPT Optimisation'!$B$19*'Returns  Stats'!E896</f>
        <v>1.2061315579201337E-2</v>
      </c>
    </row>
    <row r="897" spans="1:2" ht="15" customHeight="1" x14ac:dyDescent="0.2">
      <c r="A897" s="32" t="str">
        <f>'Returns  Stats'!A897</f>
        <v>2024-07-29</v>
      </c>
      <c r="B897" s="35">
        <f>'MPT Optimisation'!$B$16*'Returns  Stats'!B897+'MPT Optimisation'!$B$17*'Returns  Stats'!C897+'MPT Optimisation'!$B$18*'Returns  Stats'!D897+'MPT Optimisation'!$B$19*'Returns  Stats'!E897</f>
        <v>-9.3953358082162776E-4</v>
      </c>
    </row>
    <row r="898" spans="1:2" ht="15" customHeight="1" x14ac:dyDescent="0.2">
      <c r="A898" s="32" t="str">
        <f>'Returns  Stats'!A898</f>
        <v>2024-07-30</v>
      </c>
      <c r="B898" s="35">
        <f>'MPT Optimisation'!$B$16*'Returns  Stats'!B898+'MPT Optimisation'!$B$17*'Returns  Stats'!C898+'MPT Optimisation'!$B$18*'Returns  Stats'!D898+'MPT Optimisation'!$B$19*'Returns  Stats'!E898</f>
        <v>-1.3691365369494443E-3</v>
      </c>
    </row>
    <row r="899" spans="1:2" ht="15" customHeight="1" x14ac:dyDescent="0.2">
      <c r="A899" s="32" t="str">
        <f>'Returns  Stats'!A899</f>
        <v>2024-07-31</v>
      </c>
      <c r="B899" s="35">
        <f>'MPT Optimisation'!$B$16*'Returns  Stats'!B899+'MPT Optimisation'!$B$17*'Returns  Stats'!C899+'MPT Optimisation'!$B$18*'Returns  Stats'!D899+'MPT Optimisation'!$B$19*'Returns  Stats'!E899</f>
        <v>1.3223660623545923E-2</v>
      </c>
    </row>
    <row r="900" spans="1:2" ht="15" customHeight="1" x14ac:dyDescent="0.2">
      <c r="A900" s="32" t="str">
        <f>'Returns  Stats'!A900</f>
        <v>2024-08-01</v>
      </c>
      <c r="B900" s="35">
        <f>'MPT Optimisation'!$B$16*'Returns  Stats'!B900+'MPT Optimisation'!$B$17*'Returns  Stats'!C900+'MPT Optimisation'!$B$18*'Returns  Stats'!D900+'MPT Optimisation'!$B$19*'Returns  Stats'!E900</f>
        <v>-1.6638389019512402E-2</v>
      </c>
    </row>
    <row r="901" spans="1:2" ht="15" customHeight="1" x14ac:dyDescent="0.2">
      <c r="A901" s="32" t="str">
        <f>'Returns  Stats'!A901</f>
        <v>2024-08-02</v>
      </c>
      <c r="B901" s="35">
        <f>'MPT Optimisation'!$B$16*'Returns  Stats'!B901+'MPT Optimisation'!$B$17*'Returns  Stats'!C901+'MPT Optimisation'!$B$18*'Returns  Stats'!D901+'MPT Optimisation'!$B$19*'Returns  Stats'!E901</f>
        <v>-1.6260854232216317E-2</v>
      </c>
    </row>
    <row r="902" spans="1:2" ht="15" customHeight="1" x14ac:dyDescent="0.2">
      <c r="A902" s="32" t="str">
        <f>'Returns  Stats'!A902</f>
        <v>2024-08-05</v>
      </c>
      <c r="B902" s="35">
        <f>'MPT Optimisation'!$B$16*'Returns  Stats'!B902+'MPT Optimisation'!$B$17*'Returns  Stats'!C902+'MPT Optimisation'!$B$18*'Returns  Stats'!D902+'MPT Optimisation'!$B$19*'Returns  Stats'!E902</f>
        <v>-2.5634024706166159E-2</v>
      </c>
    </row>
    <row r="903" spans="1:2" ht="15" customHeight="1" x14ac:dyDescent="0.2">
      <c r="A903" s="32" t="str">
        <f>'Returns  Stats'!A903</f>
        <v>2024-08-06</v>
      </c>
      <c r="B903" s="35">
        <f>'MPT Optimisation'!$B$16*'Returns  Stats'!B903+'MPT Optimisation'!$B$17*'Returns  Stats'!C903+'MPT Optimisation'!$B$18*'Returns  Stats'!D903+'MPT Optimisation'!$B$19*'Returns  Stats'!E903</f>
        <v>7.2952477391026553E-3</v>
      </c>
    </row>
    <row r="904" spans="1:2" ht="15" customHeight="1" x14ac:dyDescent="0.2">
      <c r="A904" s="32" t="str">
        <f>'Returns  Stats'!A904</f>
        <v>2024-08-07</v>
      </c>
      <c r="B904" s="35">
        <f>'MPT Optimisation'!$B$16*'Returns  Stats'!B904+'MPT Optimisation'!$B$17*'Returns  Stats'!C904+'MPT Optimisation'!$B$18*'Returns  Stats'!D904+'MPT Optimisation'!$B$19*'Returns  Stats'!E904</f>
        <v>-3.6474559026680345E-3</v>
      </c>
    </row>
    <row r="905" spans="1:2" ht="15" customHeight="1" x14ac:dyDescent="0.2">
      <c r="A905" s="32" t="str">
        <f>'Returns  Stats'!A905</f>
        <v>2024-08-08</v>
      </c>
      <c r="B905" s="35">
        <f>'MPT Optimisation'!$B$16*'Returns  Stats'!B905+'MPT Optimisation'!$B$17*'Returns  Stats'!C905+'MPT Optimisation'!$B$18*'Returns  Stats'!D905+'MPT Optimisation'!$B$19*'Returns  Stats'!E905</f>
        <v>1.949030781271029E-2</v>
      </c>
    </row>
    <row r="906" spans="1:2" ht="15" customHeight="1" x14ac:dyDescent="0.2">
      <c r="A906" s="32" t="str">
        <f>'Returns  Stats'!A906</f>
        <v>2024-08-09</v>
      </c>
      <c r="B906" s="35">
        <f>'MPT Optimisation'!$B$16*'Returns  Stats'!B906+'MPT Optimisation'!$B$17*'Returns  Stats'!C906+'MPT Optimisation'!$B$18*'Returns  Stats'!D906+'MPT Optimisation'!$B$19*'Returns  Stats'!E906</f>
        <v>4.1655229860584671E-3</v>
      </c>
    </row>
    <row r="907" spans="1:2" ht="15" customHeight="1" x14ac:dyDescent="0.2">
      <c r="A907" s="32" t="str">
        <f>'Returns  Stats'!A907</f>
        <v>2024-08-12</v>
      </c>
      <c r="B907" s="35">
        <f>'MPT Optimisation'!$B$16*'Returns  Stats'!B907+'MPT Optimisation'!$B$17*'Returns  Stats'!C907+'MPT Optimisation'!$B$18*'Returns  Stats'!D907+'MPT Optimisation'!$B$19*'Returns  Stats'!E907</f>
        <v>-9.4171663307595081E-4</v>
      </c>
    </row>
    <row r="908" spans="1:2" ht="15" customHeight="1" x14ac:dyDescent="0.2">
      <c r="A908" s="32" t="str">
        <f>'Returns  Stats'!A908</f>
        <v>2024-08-13</v>
      </c>
      <c r="B908" s="35">
        <f>'MPT Optimisation'!$B$16*'Returns  Stats'!B908+'MPT Optimisation'!$B$17*'Returns  Stats'!C908+'MPT Optimisation'!$B$18*'Returns  Stats'!D908+'MPT Optimisation'!$B$19*'Returns  Stats'!E908</f>
        <v>1.5777495650983919E-2</v>
      </c>
    </row>
    <row r="909" spans="1:2" ht="15" customHeight="1" x14ac:dyDescent="0.2">
      <c r="A909" s="32" t="str">
        <f>'Returns  Stats'!A909</f>
        <v>2024-08-14</v>
      </c>
      <c r="B909" s="35">
        <f>'MPT Optimisation'!$B$16*'Returns  Stats'!B909+'MPT Optimisation'!$B$17*'Returns  Stats'!C909+'MPT Optimisation'!$B$18*'Returns  Stats'!D909+'MPT Optimisation'!$B$19*'Returns  Stats'!E909</f>
        <v>3.0348897524758891E-3</v>
      </c>
    </row>
    <row r="910" spans="1:2" ht="15" customHeight="1" x14ac:dyDescent="0.2">
      <c r="A910" s="32" t="str">
        <f>'Returns  Stats'!A910</f>
        <v>2024-08-15</v>
      </c>
      <c r="B910" s="35">
        <f>'MPT Optimisation'!$B$16*'Returns  Stats'!B910+'MPT Optimisation'!$B$17*'Returns  Stats'!C910+'MPT Optimisation'!$B$18*'Returns  Stats'!D910+'MPT Optimisation'!$B$19*'Returns  Stats'!E910</f>
        <v>1.3793784064069352E-2</v>
      </c>
    </row>
    <row r="911" spans="1:2" ht="15" customHeight="1" x14ac:dyDescent="0.2">
      <c r="A911" s="32" t="str">
        <f>'Returns  Stats'!A911</f>
        <v>2024-08-16</v>
      </c>
      <c r="B911" s="35">
        <f>'MPT Optimisation'!$B$16*'Returns  Stats'!B911+'MPT Optimisation'!$B$17*'Returns  Stats'!C911+'MPT Optimisation'!$B$18*'Returns  Stats'!D911+'MPT Optimisation'!$B$19*'Returns  Stats'!E911</f>
        <v>3.1762145111620286E-3</v>
      </c>
    </row>
    <row r="912" spans="1:2" ht="15" customHeight="1" x14ac:dyDescent="0.2">
      <c r="A912" s="32" t="str">
        <f>'Returns  Stats'!A912</f>
        <v>2024-08-19</v>
      </c>
      <c r="B912" s="35">
        <f>'MPT Optimisation'!$B$16*'Returns  Stats'!B912+'MPT Optimisation'!$B$17*'Returns  Stats'!C912+'MPT Optimisation'!$B$18*'Returns  Stats'!D912+'MPT Optimisation'!$B$19*'Returns  Stats'!E912</f>
        <v>9.7976021675742243E-3</v>
      </c>
    </row>
    <row r="913" spans="1:2" ht="15" customHeight="1" x14ac:dyDescent="0.2">
      <c r="A913" s="32" t="str">
        <f>'Returns  Stats'!A913</f>
        <v>2024-08-20</v>
      </c>
      <c r="B913" s="35">
        <f>'MPT Optimisation'!$B$16*'Returns  Stats'!B913+'MPT Optimisation'!$B$17*'Returns  Stats'!C913+'MPT Optimisation'!$B$18*'Returns  Stats'!D913+'MPT Optimisation'!$B$19*'Returns  Stats'!E913</f>
        <v>-2.2903118574822412E-3</v>
      </c>
    </row>
    <row r="914" spans="1:2" ht="15" customHeight="1" x14ac:dyDescent="0.2">
      <c r="A914" s="32" t="str">
        <f>'Returns  Stats'!A914</f>
        <v>2024-08-21</v>
      </c>
      <c r="B914" s="35">
        <f>'MPT Optimisation'!$B$16*'Returns  Stats'!B914+'MPT Optimisation'!$B$17*'Returns  Stats'!C914+'MPT Optimisation'!$B$18*'Returns  Stats'!D914+'MPT Optimisation'!$B$19*'Returns  Stats'!E914</f>
        <v>6.1466236855751812E-3</v>
      </c>
    </row>
    <row r="915" spans="1:2" ht="15" customHeight="1" x14ac:dyDescent="0.2">
      <c r="A915" s="32" t="str">
        <f>'Returns  Stats'!A915</f>
        <v>2024-08-22</v>
      </c>
      <c r="B915" s="35">
        <f>'MPT Optimisation'!$B$16*'Returns  Stats'!B915+'MPT Optimisation'!$B$17*'Returns  Stats'!C915+'MPT Optimisation'!$B$18*'Returns  Stats'!D915+'MPT Optimisation'!$B$19*'Returns  Stats'!E915</f>
        <v>-6.8961206410848522E-3</v>
      </c>
    </row>
    <row r="916" spans="1:2" ht="15" customHeight="1" x14ac:dyDescent="0.2">
      <c r="A916" s="32" t="str">
        <f>'Returns  Stats'!A916</f>
        <v>2024-08-23</v>
      </c>
      <c r="B916" s="35">
        <f>'MPT Optimisation'!$B$16*'Returns  Stats'!B916+'MPT Optimisation'!$B$17*'Returns  Stats'!C916+'MPT Optimisation'!$B$18*'Returns  Stats'!D916+'MPT Optimisation'!$B$19*'Returns  Stats'!E916</f>
        <v>1.4420421959173611E-2</v>
      </c>
    </row>
    <row r="917" spans="1:2" ht="15" customHeight="1" x14ac:dyDescent="0.2">
      <c r="A917" s="32" t="str">
        <f>'Returns  Stats'!A917</f>
        <v>2024-08-26</v>
      </c>
      <c r="B917" s="35">
        <f>'MPT Optimisation'!$B$16*'Returns  Stats'!B917+'MPT Optimisation'!$B$17*'Returns  Stats'!C917+'MPT Optimisation'!$B$18*'Returns  Stats'!D917+'MPT Optimisation'!$B$19*'Returns  Stats'!E917</f>
        <v>-2.9189155721217161E-3</v>
      </c>
    </row>
    <row r="918" spans="1:2" ht="15" customHeight="1" x14ac:dyDescent="0.2">
      <c r="A918" s="32" t="str">
        <f>'Returns  Stats'!A918</f>
        <v>2024-08-27</v>
      </c>
      <c r="B918" s="35">
        <f>'MPT Optimisation'!$B$16*'Returns  Stats'!B918+'MPT Optimisation'!$B$17*'Returns  Stats'!C918+'MPT Optimisation'!$B$18*'Returns  Stats'!D918+'MPT Optimisation'!$B$19*'Returns  Stats'!E918</f>
        <v>2.0131230673216204E-3</v>
      </c>
    </row>
    <row r="919" spans="1:2" ht="15" customHeight="1" x14ac:dyDescent="0.2">
      <c r="A919" s="32" t="str">
        <f>'Returns  Stats'!A919</f>
        <v>2024-08-28</v>
      </c>
      <c r="B919" s="35">
        <f>'MPT Optimisation'!$B$16*'Returns  Stats'!B919+'MPT Optimisation'!$B$17*'Returns  Stats'!C919+'MPT Optimisation'!$B$18*'Returns  Stats'!D919+'MPT Optimisation'!$B$19*'Returns  Stats'!E919</f>
        <v>-4.948747777381861E-3</v>
      </c>
    </row>
    <row r="920" spans="1:2" ht="15" customHeight="1" x14ac:dyDescent="0.2">
      <c r="A920" s="32" t="str">
        <f>'Returns  Stats'!A920</f>
        <v>2024-08-29</v>
      </c>
      <c r="B920" s="35">
        <f>'MPT Optimisation'!$B$16*'Returns  Stats'!B920+'MPT Optimisation'!$B$17*'Returns  Stats'!C920+'MPT Optimisation'!$B$18*'Returns  Stats'!D920+'MPT Optimisation'!$B$19*'Returns  Stats'!E920</f>
        <v>1.4967601046154244E-3</v>
      </c>
    </row>
    <row r="921" spans="1:2" ht="15" customHeight="1" x14ac:dyDescent="0.2">
      <c r="A921" s="32" t="str">
        <f>'Returns  Stats'!A921</f>
        <v>2024-08-30</v>
      </c>
      <c r="B921" s="35">
        <f>'MPT Optimisation'!$B$16*'Returns  Stats'!B921+'MPT Optimisation'!$B$17*'Returns  Stats'!C921+'MPT Optimisation'!$B$18*'Returns  Stats'!D921+'MPT Optimisation'!$B$19*'Returns  Stats'!E921</f>
        <v>6.6227072035230867E-3</v>
      </c>
    </row>
    <row r="922" spans="1:2" ht="15" customHeight="1" x14ac:dyDescent="0.2">
      <c r="A922" s="32" t="str">
        <f>'Returns  Stats'!A922</f>
        <v>2024-09-03</v>
      </c>
      <c r="B922" s="35">
        <f>'MPT Optimisation'!$B$16*'Returns  Stats'!B922+'MPT Optimisation'!$B$17*'Returns  Stats'!C922+'MPT Optimisation'!$B$18*'Returns  Stats'!D922+'MPT Optimisation'!$B$19*'Returns  Stats'!E922</f>
        <v>-1.7461624258540143E-2</v>
      </c>
    </row>
    <row r="923" spans="1:2" ht="15" customHeight="1" x14ac:dyDescent="0.2">
      <c r="A923" s="32" t="str">
        <f>'Returns  Stats'!A923</f>
        <v>2024-09-04</v>
      </c>
      <c r="B923" s="35">
        <f>'MPT Optimisation'!$B$16*'Returns  Stats'!B923+'MPT Optimisation'!$B$17*'Returns  Stats'!C923+'MPT Optimisation'!$B$18*'Returns  Stats'!D923+'MPT Optimisation'!$B$19*'Returns  Stats'!E923</f>
        <v>-2.3048654369973495E-3</v>
      </c>
    </row>
    <row r="924" spans="1:2" ht="15" customHeight="1" x14ac:dyDescent="0.2">
      <c r="A924" s="32" t="str">
        <f>'Returns  Stats'!A924</f>
        <v>2024-09-05</v>
      </c>
      <c r="B924" s="35">
        <f>'MPT Optimisation'!$B$16*'Returns  Stats'!B924+'MPT Optimisation'!$B$17*'Returns  Stats'!C924+'MPT Optimisation'!$B$18*'Returns  Stats'!D924+'MPT Optimisation'!$B$19*'Returns  Stats'!E924</f>
        <v>-1.814211567936369E-3</v>
      </c>
    </row>
    <row r="925" spans="1:2" ht="15" customHeight="1" x14ac:dyDescent="0.2">
      <c r="A925" s="32" t="str">
        <f>'Returns  Stats'!A925</f>
        <v>2024-09-06</v>
      </c>
      <c r="B925" s="35">
        <f>'MPT Optimisation'!$B$16*'Returns  Stats'!B925+'MPT Optimisation'!$B$17*'Returns  Stats'!C925+'MPT Optimisation'!$B$18*'Returns  Stats'!D925+'MPT Optimisation'!$B$19*'Returns  Stats'!E925</f>
        <v>-1.5592049241015812E-2</v>
      </c>
    </row>
    <row r="926" spans="1:2" ht="15" customHeight="1" x14ac:dyDescent="0.2">
      <c r="A926" s="32" t="str">
        <f>'Returns  Stats'!A926</f>
        <v>2024-09-09</v>
      </c>
      <c r="B926" s="35">
        <f>'MPT Optimisation'!$B$16*'Returns  Stats'!B926+'MPT Optimisation'!$B$17*'Returns  Stats'!C926+'MPT Optimisation'!$B$18*'Returns  Stats'!D926+'MPT Optimisation'!$B$19*'Returns  Stats'!E926</f>
        <v>1.0057831768348978E-2</v>
      </c>
    </row>
    <row r="927" spans="1:2" ht="15" customHeight="1" x14ac:dyDescent="0.2">
      <c r="A927" s="32" t="str">
        <f>'Returns  Stats'!A927</f>
        <v>2024-09-10</v>
      </c>
      <c r="B927" s="35">
        <f>'MPT Optimisation'!$B$16*'Returns  Stats'!B927+'MPT Optimisation'!$B$17*'Returns  Stats'!C927+'MPT Optimisation'!$B$18*'Returns  Stats'!D927+'MPT Optimisation'!$B$19*'Returns  Stats'!E927</f>
        <v>1.727393197983407E-3</v>
      </c>
    </row>
    <row r="928" spans="1:2" ht="15" customHeight="1" x14ac:dyDescent="0.2">
      <c r="A928" s="32" t="str">
        <f>'Returns  Stats'!A928</f>
        <v>2024-09-11</v>
      </c>
      <c r="B928" s="35">
        <f>'MPT Optimisation'!$B$16*'Returns  Stats'!B928+'MPT Optimisation'!$B$17*'Returns  Stats'!C928+'MPT Optimisation'!$B$18*'Returns  Stats'!D928+'MPT Optimisation'!$B$19*'Returns  Stats'!E928</f>
        <v>7.6533810562139266E-3</v>
      </c>
    </row>
    <row r="929" spans="1:2" ht="15" customHeight="1" x14ac:dyDescent="0.2">
      <c r="A929" s="32" t="str">
        <f>'Returns  Stats'!A929</f>
        <v>2024-09-12</v>
      </c>
      <c r="B929" s="35">
        <f>'MPT Optimisation'!$B$16*'Returns  Stats'!B929+'MPT Optimisation'!$B$17*'Returns  Stats'!C929+'MPT Optimisation'!$B$18*'Returns  Stats'!D929+'MPT Optimisation'!$B$19*'Returns  Stats'!E929</f>
        <v>7.6092246271643677E-3</v>
      </c>
    </row>
    <row r="930" spans="1:2" ht="15" customHeight="1" x14ac:dyDescent="0.2">
      <c r="A930" s="32" t="str">
        <f>'Returns  Stats'!A930</f>
        <v>2024-09-13</v>
      </c>
      <c r="B930" s="35">
        <f>'MPT Optimisation'!$B$16*'Returns  Stats'!B930+'MPT Optimisation'!$B$17*'Returns  Stats'!C930+'MPT Optimisation'!$B$18*'Returns  Stats'!D930+'MPT Optimisation'!$B$19*'Returns  Stats'!E930</f>
        <v>5.5112725802996193E-3</v>
      </c>
    </row>
    <row r="931" spans="1:2" ht="15" customHeight="1" x14ac:dyDescent="0.2">
      <c r="A931" s="32" t="str">
        <f>'Returns  Stats'!A931</f>
        <v>2024-09-16</v>
      </c>
      <c r="B931" s="35">
        <f>'MPT Optimisation'!$B$16*'Returns  Stats'!B931+'MPT Optimisation'!$B$17*'Returns  Stats'!C931+'MPT Optimisation'!$B$18*'Returns  Stats'!D931+'MPT Optimisation'!$B$19*'Returns  Stats'!E931</f>
        <v>3.9041288956923716E-3</v>
      </c>
    </row>
    <row r="932" spans="1:2" ht="15" customHeight="1" x14ac:dyDescent="0.2">
      <c r="A932" s="32" t="str">
        <f>'Returns  Stats'!A932</f>
        <v>2024-09-17</v>
      </c>
      <c r="B932" s="35">
        <f>'MPT Optimisation'!$B$16*'Returns  Stats'!B932+'MPT Optimisation'!$B$17*'Returns  Stats'!C932+'MPT Optimisation'!$B$18*'Returns  Stats'!D932+'MPT Optimisation'!$B$19*'Returns  Stats'!E932</f>
        <v>-1.4718698636852544E-3</v>
      </c>
    </row>
    <row r="933" spans="1:2" ht="15" customHeight="1" x14ac:dyDescent="0.2">
      <c r="A933" s="32" t="str">
        <f>'Returns  Stats'!A933</f>
        <v>2024-09-18</v>
      </c>
      <c r="B933" s="35">
        <f>'MPT Optimisation'!$B$16*'Returns  Stats'!B933+'MPT Optimisation'!$B$17*'Returns  Stats'!C933+'MPT Optimisation'!$B$18*'Returns  Stats'!D933+'MPT Optimisation'!$B$19*'Returns  Stats'!E933</f>
        <v>-2.682983041057907E-3</v>
      </c>
    </row>
    <row r="934" spans="1:2" ht="15" customHeight="1" x14ac:dyDescent="0.2">
      <c r="A934" s="32" t="str">
        <f>'Returns  Stats'!A934</f>
        <v>2024-09-19</v>
      </c>
      <c r="B934" s="35">
        <f>'MPT Optimisation'!$B$16*'Returns  Stats'!B934+'MPT Optimisation'!$B$17*'Returns  Stats'!C934+'MPT Optimisation'!$B$18*'Returns  Stats'!D934+'MPT Optimisation'!$B$19*'Returns  Stats'!E934</f>
        <v>1.6111404742099256E-2</v>
      </c>
    </row>
    <row r="935" spans="1:2" ht="15" customHeight="1" x14ac:dyDescent="0.2">
      <c r="A935" s="32" t="str">
        <f>'Returns  Stats'!A935</f>
        <v>2024-09-20</v>
      </c>
      <c r="B935" s="35">
        <f>'MPT Optimisation'!$B$16*'Returns  Stats'!B935+'MPT Optimisation'!$B$17*'Returns  Stats'!C935+'MPT Optimisation'!$B$18*'Returns  Stats'!D935+'MPT Optimisation'!$B$19*'Returns  Stats'!E935</f>
        <v>-4.4591108019174097E-3</v>
      </c>
    </row>
    <row r="936" spans="1:2" ht="15" customHeight="1" x14ac:dyDescent="0.2">
      <c r="A936" s="32" t="str">
        <f>'Returns  Stats'!A936</f>
        <v>2024-09-23</v>
      </c>
      <c r="B936" s="35">
        <f>'MPT Optimisation'!$B$16*'Returns  Stats'!B936+'MPT Optimisation'!$B$17*'Returns  Stats'!C936+'MPT Optimisation'!$B$18*'Returns  Stats'!D936+'MPT Optimisation'!$B$19*'Returns  Stats'!E936</f>
        <v>3.0991568681148825E-3</v>
      </c>
    </row>
    <row r="937" spans="1:2" ht="15" customHeight="1" x14ac:dyDescent="0.2">
      <c r="A937" s="32" t="str">
        <f>'Returns  Stats'!A937</f>
        <v>2024-09-24</v>
      </c>
      <c r="B937" s="35">
        <f>'MPT Optimisation'!$B$16*'Returns  Stats'!B937+'MPT Optimisation'!$B$17*'Returns  Stats'!C937+'MPT Optimisation'!$B$18*'Returns  Stats'!D937+'MPT Optimisation'!$B$19*'Returns  Stats'!E937</f>
        <v>3.4298549143118142E-3</v>
      </c>
    </row>
    <row r="938" spans="1:2" ht="15" customHeight="1" x14ac:dyDescent="0.2">
      <c r="A938" s="32" t="str">
        <f>'Returns  Stats'!A938</f>
        <v>2024-09-25</v>
      </c>
      <c r="B938" s="35">
        <f>'MPT Optimisation'!$B$16*'Returns  Stats'!B938+'MPT Optimisation'!$B$17*'Returns  Stats'!C938+'MPT Optimisation'!$B$18*'Returns  Stats'!D938+'MPT Optimisation'!$B$19*'Returns  Stats'!E938</f>
        <v>-4.1236230325554235E-3</v>
      </c>
    </row>
    <row r="939" spans="1:2" ht="15" customHeight="1" x14ac:dyDescent="0.2">
      <c r="A939" s="32" t="str">
        <f>'Returns  Stats'!A939</f>
        <v>2024-09-26</v>
      </c>
      <c r="B939" s="35">
        <f>'MPT Optimisation'!$B$16*'Returns  Stats'!B939+'MPT Optimisation'!$B$17*'Returns  Stats'!C939+'MPT Optimisation'!$B$18*'Returns  Stats'!D939+'MPT Optimisation'!$B$19*'Returns  Stats'!E939</f>
        <v>8.8478059008492652E-3</v>
      </c>
    </row>
    <row r="940" spans="1:2" ht="15" customHeight="1" x14ac:dyDescent="0.2">
      <c r="A940" s="32" t="str">
        <f>'Returns  Stats'!A940</f>
        <v>2024-09-27</v>
      </c>
      <c r="B940" s="35">
        <f>'MPT Optimisation'!$B$16*'Returns  Stats'!B940+'MPT Optimisation'!$B$17*'Returns  Stats'!C940+'MPT Optimisation'!$B$18*'Returns  Stats'!D940+'MPT Optimisation'!$B$19*'Returns  Stats'!E940</f>
        <v>-2.1981613929064722E-3</v>
      </c>
    </row>
    <row r="941" spans="1:2" ht="15" customHeight="1" x14ac:dyDescent="0.2">
      <c r="A941" s="32" t="str">
        <f>'Returns  Stats'!A941</f>
        <v>2024-09-30</v>
      </c>
      <c r="B941" s="35">
        <f>'MPT Optimisation'!$B$16*'Returns  Stats'!B941+'MPT Optimisation'!$B$17*'Returns  Stats'!C941+'MPT Optimisation'!$B$18*'Returns  Stats'!D941+'MPT Optimisation'!$B$19*'Returns  Stats'!E941</f>
        <v>1.604527825320745E-3</v>
      </c>
    </row>
    <row r="942" spans="1:2" ht="15" customHeight="1" x14ac:dyDescent="0.2">
      <c r="A942" s="32" t="str">
        <f>'Returns  Stats'!A942</f>
        <v>2024-10-01</v>
      </c>
      <c r="B942" s="35">
        <f>'MPT Optimisation'!$B$16*'Returns  Stats'!B942+'MPT Optimisation'!$B$17*'Returns  Stats'!C942+'MPT Optimisation'!$B$18*'Returns  Stats'!D942+'MPT Optimisation'!$B$19*'Returns  Stats'!E942</f>
        <v>-7.8821292966055438E-3</v>
      </c>
    </row>
    <row r="943" spans="1:2" ht="15" customHeight="1" x14ac:dyDescent="0.2">
      <c r="A943" s="32" t="str">
        <f>'Returns  Stats'!A943</f>
        <v>2024-10-02</v>
      </c>
      <c r="B943" s="35">
        <f>'MPT Optimisation'!$B$16*'Returns  Stats'!B943+'MPT Optimisation'!$B$17*'Returns  Stats'!C943+'MPT Optimisation'!$B$18*'Returns  Stats'!D943+'MPT Optimisation'!$B$19*'Returns  Stats'!E943</f>
        <v>-7.6550537108649452E-4</v>
      </c>
    </row>
    <row r="944" spans="1:2" ht="15" customHeight="1" x14ac:dyDescent="0.2">
      <c r="A944" s="32" t="str">
        <f>'Returns  Stats'!A944</f>
        <v>2024-10-03</v>
      </c>
      <c r="B944" s="35">
        <f>'MPT Optimisation'!$B$16*'Returns  Stats'!B944+'MPT Optimisation'!$B$17*'Returns  Stats'!C944+'MPT Optimisation'!$B$18*'Returns  Stats'!D944+'MPT Optimisation'!$B$19*'Returns  Stats'!E944</f>
        <v>-4.730400107234611E-3</v>
      </c>
    </row>
    <row r="945" spans="1:2" ht="15" customHeight="1" x14ac:dyDescent="0.2">
      <c r="A945" s="32" t="str">
        <f>'Returns  Stats'!A945</f>
        <v>2024-10-04</v>
      </c>
      <c r="B945" s="35">
        <f>'MPT Optimisation'!$B$16*'Returns  Stats'!B945+'MPT Optimisation'!$B$17*'Returns  Stats'!C945+'MPT Optimisation'!$B$18*'Returns  Stats'!D945+'MPT Optimisation'!$B$19*'Returns  Stats'!E945</f>
        <v>6.9972835836016427E-3</v>
      </c>
    </row>
    <row r="946" spans="1:2" ht="15" customHeight="1" x14ac:dyDescent="0.2">
      <c r="A946" s="32" t="str">
        <f>'Returns  Stats'!A946</f>
        <v>2024-10-07</v>
      </c>
      <c r="B946" s="35">
        <f>'MPT Optimisation'!$B$16*'Returns  Stats'!B946+'MPT Optimisation'!$B$17*'Returns  Stats'!C946+'MPT Optimisation'!$B$18*'Returns  Stats'!D946+'MPT Optimisation'!$B$19*'Returns  Stats'!E946</f>
        <v>-7.7582202356968107E-3</v>
      </c>
    </row>
    <row r="947" spans="1:2" ht="15" customHeight="1" x14ac:dyDescent="0.2">
      <c r="A947" s="32" t="str">
        <f>'Returns  Stats'!A947</f>
        <v>2024-10-08</v>
      </c>
      <c r="B947" s="35">
        <f>'MPT Optimisation'!$B$16*'Returns  Stats'!B947+'MPT Optimisation'!$B$17*'Returns  Stats'!C947+'MPT Optimisation'!$B$18*'Returns  Stats'!D947+'MPT Optimisation'!$B$19*'Returns  Stats'!E947</f>
        <v>4.7650989851268808E-3</v>
      </c>
    </row>
    <row r="948" spans="1:2" ht="15" customHeight="1" x14ac:dyDescent="0.2">
      <c r="A948" s="32" t="str">
        <f>'Returns  Stats'!A948</f>
        <v>2024-10-09</v>
      </c>
      <c r="B948" s="35">
        <f>'MPT Optimisation'!$B$16*'Returns  Stats'!B948+'MPT Optimisation'!$B$17*'Returns  Stats'!C948+'MPT Optimisation'!$B$18*'Returns  Stats'!D948+'MPT Optimisation'!$B$19*'Returns  Stats'!E948</f>
        <v>4.1794544692237146E-3</v>
      </c>
    </row>
    <row r="949" spans="1:2" ht="15" customHeight="1" x14ac:dyDescent="0.2">
      <c r="A949" s="32" t="str">
        <f>'Returns  Stats'!A949</f>
        <v>2024-10-10</v>
      </c>
      <c r="B949" s="35">
        <f>'MPT Optimisation'!$B$16*'Returns  Stats'!B949+'MPT Optimisation'!$B$17*'Returns  Stats'!C949+'MPT Optimisation'!$B$18*'Returns  Stats'!D949+'MPT Optimisation'!$B$19*'Returns  Stats'!E949</f>
        <v>-2.0845250128404156E-3</v>
      </c>
    </row>
    <row r="950" spans="1:2" ht="15" customHeight="1" x14ac:dyDescent="0.2">
      <c r="A950" s="32" t="str">
        <f>'Returns  Stats'!A950</f>
        <v>2024-10-11</v>
      </c>
      <c r="B950" s="35">
        <f>'MPT Optimisation'!$B$16*'Returns  Stats'!B950+'MPT Optimisation'!$B$17*'Returns  Stats'!C950+'MPT Optimisation'!$B$18*'Returns  Stats'!D950+'MPT Optimisation'!$B$19*'Returns  Stats'!E950</f>
        <v>6.7688309036308177E-3</v>
      </c>
    </row>
    <row r="951" spans="1:2" ht="15" customHeight="1" x14ac:dyDescent="0.2">
      <c r="A951" s="32" t="str">
        <f>'Returns  Stats'!A951</f>
        <v>2024-10-14</v>
      </c>
      <c r="B951" s="35">
        <f>'MPT Optimisation'!$B$16*'Returns  Stats'!B951+'MPT Optimisation'!$B$17*'Returns  Stats'!C951+'MPT Optimisation'!$B$18*'Returns  Stats'!D951+'MPT Optimisation'!$B$19*'Returns  Stats'!E951</f>
        <v>5.8068290936573279E-3</v>
      </c>
    </row>
    <row r="952" spans="1:2" ht="15" customHeight="1" x14ac:dyDescent="0.2">
      <c r="A952" s="32" t="str">
        <f>'Returns  Stats'!A952</f>
        <v>2024-10-15</v>
      </c>
      <c r="B952" s="35">
        <f>'MPT Optimisation'!$B$16*'Returns  Stats'!B952+'MPT Optimisation'!$B$17*'Returns  Stats'!C952+'MPT Optimisation'!$B$18*'Returns  Stats'!D952+'MPT Optimisation'!$B$19*'Returns  Stats'!E952</f>
        <v>-8.2954373406221357E-3</v>
      </c>
    </row>
    <row r="953" spans="1:2" ht="15" customHeight="1" x14ac:dyDescent="0.2">
      <c r="A953" s="32" t="str">
        <f>'Returns  Stats'!A953</f>
        <v>2024-10-16</v>
      </c>
      <c r="B953" s="35">
        <f>'MPT Optimisation'!$B$16*'Returns  Stats'!B953+'MPT Optimisation'!$B$17*'Returns  Stats'!C953+'MPT Optimisation'!$B$18*'Returns  Stats'!D953+'MPT Optimisation'!$B$19*'Returns  Stats'!E953</f>
        <v>4.4495997476099551E-3</v>
      </c>
    </row>
    <row r="954" spans="1:2" ht="15" customHeight="1" x14ac:dyDescent="0.2">
      <c r="A954" s="32" t="str">
        <f>'Returns  Stats'!A954</f>
        <v>2024-10-17</v>
      </c>
      <c r="B954" s="35">
        <f>'MPT Optimisation'!$B$16*'Returns  Stats'!B954+'MPT Optimisation'!$B$17*'Returns  Stats'!C954+'MPT Optimisation'!$B$18*'Returns  Stats'!D954+'MPT Optimisation'!$B$19*'Returns  Stats'!E954</f>
        <v>-7.2788355688354624E-4</v>
      </c>
    </row>
    <row r="955" spans="1:2" ht="15" customHeight="1" x14ac:dyDescent="0.2">
      <c r="A955" s="32" t="str">
        <f>'Returns  Stats'!A955</f>
        <v>2024-10-18</v>
      </c>
      <c r="B955" s="35">
        <f>'MPT Optimisation'!$B$16*'Returns  Stats'!B955+'MPT Optimisation'!$B$17*'Returns  Stats'!C955+'MPT Optimisation'!$B$18*'Returns  Stats'!D955+'MPT Optimisation'!$B$19*'Returns  Stats'!E955</f>
        <v>4.7905526877247469E-3</v>
      </c>
    </row>
    <row r="956" spans="1:2" ht="15" customHeight="1" x14ac:dyDescent="0.2">
      <c r="A956" s="32" t="str">
        <f>'Returns  Stats'!A956</f>
        <v>2024-10-21</v>
      </c>
      <c r="B956" s="35">
        <f>'MPT Optimisation'!$B$16*'Returns  Stats'!B956+'MPT Optimisation'!$B$17*'Returns  Stats'!C956+'MPT Optimisation'!$B$18*'Returns  Stats'!D956+'MPT Optimisation'!$B$19*'Returns  Stats'!E956</f>
        <v>-6.7674288503186634E-3</v>
      </c>
    </row>
    <row r="957" spans="1:2" ht="15" customHeight="1" x14ac:dyDescent="0.2">
      <c r="A957" s="32" t="str">
        <f>'Returns  Stats'!A957</f>
        <v>2024-10-22</v>
      </c>
      <c r="B957" s="35">
        <f>'MPT Optimisation'!$B$16*'Returns  Stats'!B957+'MPT Optimisation'!$B$17*'Returns  Stats'!C957+'MPT Optimisation'!$B$18*'Returns  Stats'!D957+'MPT Optimisation'!$B$19*'Returns  Stats'!E957</f>
        <v>-2.3085859983307147E-3</v>
      </c>
    </row>
    <row r="958" spans="1:2" ht="15" customHeight="1" x14ac:dyDescent="0.2">
      <c r="A958" s="32" t="str">
        <f>'Returns  Stats'!A958</f>
        <v>2024-10-23</v>
      </c>
      <c r="B958" s="35">
        <f>'MPT Optimisation'!$B$16*'Returns  Stats'!B958+'MPT Optimisation'!$B$17*'Returns  Stats'!C958+'MPT Optimisation'!$B$18*'Returns  Stats'!D958+'MPT Optimisation'!$B$19*'Returns  Stats'!E958</f>
        <v>-8.2023860665442535E-3</v>
      </c>
    </row>
    <row r="959" spans="1:2" ht="15" customHeight="1" x14ac:dyDescent="0.2">
      <c r="A959" s="32" t="str">
        <f>'Returns  Stats'!A959</f>
        <v>2024-10-24</v>
      </c>
      <c r="B959" s="35">
        <f>'MPT Optimisation'!$B$16*'Returns  Stats'!B959+'MPT Optimisation'!$B$17*'Returns  Stats'!C959+'MPT Optimisation'!$B$18*'Returns  Stats'!D959+'MPT Optimisation'!$B$19*'Returns  Stats'!E959</f>
        <v>3.4988579407941975E-3</v>
      </c>
    </row>
    <row r="960" spans="1:2" ht="15" customHeight="1" x14ac:dyDescent="0.2">
      <c r="A960" s="32" t="str">
        <f>'Returns  Stats'!A960</f>
        <v>2024-10-25</v>
      </c>
      <c r="B960" s="35">
        <f>'MPT Optimisation'!$B$16*'Returns  Stats'!B960+'MPT Optimisation'!$B$17*'Returns  Stats'!C960+'MPT Optimisation'!$B$18*'Returns  Stats'!D960+'MPT Optimisation'!$B$19*'Returns  Stats'!E960</f>
        <v>-2.1494897395913318E-3</v>
      </c>
    </row>
    <row r="961" spans="1:2" ht="15" customHeight="1" x14ac:dyDescent="0.2">
      <c r="A961" s="32" t="str">
        <f>'Returns  Stats'!A961</f>
        <v>2024-10-28</v>
      </c>
      <c r="B961" s="35">
        <f>'MPT Optimisation'!$B$16*'Returns  Stats'!B961+'MPT Optimisation'!$B$17*'Returns  Stats'!C961+'MPT Optimisation'!$B$18*'Returns  Stats'!D961+'MPT Optimisation'!$B$19*'Returns  Stats'!E961</f>
        <v>4.916607199156613E-3</v>
      </c>
    </row>
    <row r="962" spans="1:2" ht="15" customHeight="1" x14ac:dyDescent="0.2">
      <c r="A962" s="32" t="str">
        <f>'Returns  Stats'!A962</f>
        <v>2024-10-29</v>
      </c>
      <c r="B962" s="35">
        <f>'MPT Optimisation'!$B$16*'Returns  Stats'!B962+'MPT Optimisation'!$B$17*'Returns  Stats'!C962+'MPT Optimisation'!$B$18*'Returns  Stats'!D962+'MPT Optimisation'!$B$19*'Returns  Stats'!E962</f>
        <v>-5.885113631230787E-4</v>
      </c>
    </row>
    <row r="963" spans="1:2" ht="15" customHeight="1" x14ac:dyDescent="0.2">
      <c r="A963" s="32" t="str">
        <f>'Returns  Stats'!A963</f>
        <v>2024-10-30</v>
      </c>
      <c r="B963" s="35">
        <f>'MPT Optimisation'!$B$16*'Returns  Stats'!B963+'MPT Optimisation'!$B$17*'Returns  Stats'!C963+'MPT Optimisation'!$B$18*'Returns  Stats'!D963+'MPT Optimisation'!$B$19*'Returns  Stats'!E963</f>
        <v>-3.2588934427068392E-3</v>
      </c>
    </row>
    <row r="964" spans="1:2" ht="15" customHeight="1" x14ac:dyDescent="0.2">
      <c r="A964" s="32" t="str">
        <f>'Returns  Stats'!A964</f>
        <v>2024-10-31</v>
      </c>
      <c r="B964" s="35">
        <f>'MPT Optimisation'!$B$16*'Returns  Stats'!B964+'MPT Optimisation'!$B$17*'Returns  Stats'!C964+'MPT Optimisation'!$B$18*'Returns  Stats'!D964+'MPT Optimisation'!$B$19*'Returns  Stats'!E964</f>
        <v>-1.3888358073791468E-2</v>
      </c>
    </row>
    <row r="965" spans="1:2" ht="15" customHeight="1" x14ac:dyDescent="0.2">
      <c r="A965" s="32" t="str">
        <f>'Returns  Stats'!A965</f>
        <v>2024-11-01</v>
      </c>
      <c r="B965" s="35">
        <f>'MPT Optimisation'!$B$16*'Returns  Stats'!B965+'MPT Optimisation'!$B$17*'Returns  Stats'!C965+'MPT Optimisation'!$B$18*'Returns  Stats'!D965+'MPT Optimisation'!$B$19*'Returns  Stats'!E965</f>
        <v>2.4168436584863788E-3</v>
      </c>
    </row>
    <row r="966" spans="1:2" ht="15" customHeight="1" x14ac:dyDescent="0.2">
      <c r="A966" s="32" t="str">
        <f>'Returns  Stats'!A966</f>
        <v>2024-11-04</v>
      </c>
      <c r="B966" s="35">
        <f>'MPT Optimisation'!$B$16*'Returns  Stats'!B966+'MPT Optimisation'!$B$17*'Returns  Stats'!C966+'MPT Optimisation'!$B$18*'Returns  Stats'!D966+'MPT Optimisation'!$B$19*'Returns  Stats'!E966</f>
        <v>-9.9883332914585485E-5</v>
      </c>
    </row>
    <row r="967" spans="1:2" ht="15" customHeight="1" x14ac:dyDescent="0.2">
      <c r="A967" s="32" t="str">
        <f>'Returns  Stats'!A967</f>
        <v>2024-11-05</v>
      </c>
      <c r="B967" s="35">
        <f>'MPT Optimisation'!$B$16*'Returns  Stats'!B967+'MPT Optimisation'!$B$17*'Returns  Stats'!C967+'MPT Optimisation'!$B$18*'Returns  Stats'!D967+'MPT Optimisation'!$B$19*'Returns  Stats'!E967</f>
        <v>1.1389009957284257E-2</v>
      </c>
    </row>
    <row r="968" spans="1:2" ht="15" customHeight="1" x14ac:dyDescent="0.2">
      <c r="A968" s="32" t="str">
        <f>'Returns  Stats'!A968</f>
        <v>2024-11-06</v>
      </c>
      <c r="B968" s="35">
        <f>'MPT Optimisation'!$B$16*'Returns  Stats'!B968+'MPT Optimisation'!$B$17*'Returns  Stats'!C968+'MPT Optimisation'!$B$18*'Returns  Stats'!D968+'MPT Optimisation'!$B$19*'Returns  Stats'!E968</f>
        <v>1.0989266036423128E-2</v>
      </c>
    </row>
    <row r="969" spans="1:2" ht="15" customHeight="1" x14ac:dyDescent="0.2">
      <c r="A969" s="32" t="str">
        <f>'Returns  Stats'!A969</f>
        <v>2024-11-07</v>
      </c>
      <c r="B969" s="35">
        <f>'MPT Optimisation'!$B$16*'Returns  Stats'!B969+'MPT Optimisation'!$B$17*'Returns  Stats'!C969+'MPT Optimisation'!$B$18*'Returns  Stats'!D969+'MPT Optimisation'!$B$19*'Returns  Stats'!E969</f>
        <v>9.7258131442918942E-3</v>
      </c>
    </row>
    <row r="970" spans="1:2" ht="15" customHeight="1" x14ac:dyDescent="0.2">
      <c r="A970" s="32" t="str">
        <f>'Returns  Stats'!A970</f>
        <v>2024-11-08</v>
      </c>
      <c r="B970" s="35">
        <f>'MPT Optimisation'!$B$16*'Returns  Stats'!B970+'MPT Optimisation'!$B$17*'Returns  Stats'!C970+'MPT Optimisation'!$B$18*'Returns  Stats'!D970+'MPT Optimisation'!$B$19*'Returns  Stats'!E970</f>
        <v>-5.1204195756990865E-4</v>
      </c>
    </row>
    <row r="971" spans="1:2" ht="15" customHeight="1" x14ac:dyDescent="0.2">
      <c r="A971" s="32" t="str">
        <f>'Returns  Stats'!A971</f>
        <v>2024-11-11</v>
      </c>
      <c r="B971" s="35">
        <f>'MPT Optimisation'!$B$16*'Returns  Stats'!B971+'MPT Optimisation'!$B$17*'Returns  Stats'!C971+'MPT Optimisation'!$B$18*'Returns  Stats'!D971+'MPT Optimisation'!$B$19*'Returns  Stats'!E971</f>
        <v>1.3921675468772485E-3</v>
      </c>
    </row>
    <row r="972" spans="1:2" ht="15" customHeight="1" x14ac:dyDescent="0.2">
      <c r="A972" s="32" t="str">
        <f>'Returns  Stats'!A972</f>
        <v>2024-11-12</v>
      </c>
      <c r="B972" s="35">
        <f>'MPT Optimisation'!$B$16*'Returns  Stats'!B972+'MPT Optimisation'!$B$17*'Returns  Stats'!C972+'MPT Optimisation'!$B$18*'Returns  Stats'!D972+'MPT Optimisation'!$B$19*'Returns  Stats'!E972</f>
        <v>-8.9107406768759341E-3</v>
      </c>
    </row>
    <row r="973" spans="1:2" ht="15" customHeight="1" x14ac:dyDescent="0.2">
      <c r="A973" s="32" t="str">
        <f>'Returns  Stats'!A973</f>
        <v>2024-11-13</v>
      </c>
      <c r="B973" s="35">
        <f>'MPT Optimisation'!$B$16*'Returns  Stats'!B973+'MPT Optimisation'!$B$17*'Returns  Stats'!C973+'MPT Optimisation'!$B$18*'Returns  Stats'!D973+'MPT Optimisation'!$B$19*'Returns  Stats'!E973</f>
        <v>-1.7931777362097719E-3</v>
      </c>
    </row>
    <row r="974" spans="1:2" ht="15" customHeight="1" x14ac:dyDescent="0.2">
      <c r="A974" s="32" t="str">
        <f>'Returns  Stats'!A974</f>
        <v>2024-11-14</v>
      </c>
      <c r="B974" s="35">
        <f>'MPT Optimisation'!$B$16*'Returns  Stats'!B974+'MPT Optimisation'!$B$17*'Returns  Stats'!C974+'MPT Optimisation'!$B$18*'Returns  Stats'!D974+'MPT Optimisation'!$B$19*'Returns  Stats'!E974</f>
        <v>-4.2840331326509662E-3</v>
      </c>
    </row>
    <row r="975" spans="1:2" ht="15" customHeight="1" x14ac:dyDescent="0.2">
      <c r="A975" s="32" t="str">
        <f>'Returns  Stats'!A975</f>
        <v>2024-11-15</v>
      </c>
      <c r="B975" s="35">
        <f>'MPT Optimisation'!$B$16*'Returns  Stats'!B975+'MPT Optimisation'!$B$17*'Returns  Stats'!C975+'MPT Optimisation'!$B$18*'Returns  Stats'!D975+'MPT Optimisation'!$B$19*'Returns  Stats'!E975</f>
        <v>-8.6645576926986153E-3</v>
      </c>
    </row>
    <row r="976" spans="1:2" ht="15" customHeight="1" x14ac:dyDescent="0.2">
      <c r="A976" s="32" t="str">
        <f>'Returns  Stats'!A976</f>
        <v>2024-11-18</v>
      </c>
      <c r="B976" s="35">
        <f>'MPT Optimisation'!$B$16*'Returns  Stats'!B976+'MPT Optimisation'!$B$17*'Returns  Stats'!C976+'MPT Optimisation'!$B$18*'Returns  Stats'!D976+'MPT Optimisation'!$B$19*'Returns  Stats'!E976</f>
        <v>4.4809358887862305E-3</v>
      </c>
    </row>
    <row r="977" spans="1:2" ht="15" customHeight="1" x14ac:dyDescent="0.2">
      <c r="A977" s="32" t="str">
        <f>'Returns  Stats'!A977</f>
        <v>2024-11-19</v>
      </c>
      <c r="B977" s="35">
        <f>'MPT Optimisation'!$B$16*'Returns  Stats'!B977+'MPT Optimisation'!$B$17*'Returns  Stats'!C977+'MPT Optimisation'!$B$18*'Returns  Stats'!D977+'MPT Optimisation'!$B$19*'Returns  Stats'!E977</f>
        <v>2.686417017555964E-3</v>
      </c>
    </row>
    <row r="978" spans="1:2" ht="15" customHeight="1" x14ac:dyDescent="0.2">
      <c r="A978" s="32" t="str">
        <f>'Returns  Stats'!A978</f>
        <v>2024-11-20</v>
      </c>
      <c r="B978" s="35">
        <f>'MPT Optimisation'!$B$16*'Returns  Stats'!B978+'MPT Optimisation'!$B$17*'Returns  Stats'!C978+'MPT Optimisation'!$B$18*'Returns  Stats'!D978+'MPT Optimisation'!$B$19*'Returns  Stats'!E978</f>
        <v>-5.7937638841862869E-4</v>
      </c>
    </row>
    <row r="979" spans="1:2" ht="15" customHeight="1" x14ac:dyDescent="0.2">
      <c r="A979" s="32" t="str">
        <f>'Returns  Stats'!A979</f>
        <v>2024-11-21</v>
      </c>
      <c r="B979" s="35">
        <f>'MPT Optimisation'!$B$16*'Returns  Stats'!B979+'MPT Optimisation'!$B$17*'Returns  Stats'!C979+'MPT Optimisation'!$B$18*'Returns  Stats'!D979+'MPT Optimisation'!$B$19*'Returns  Stats'!E979</f>
        <v>4.6191736240348714E-3</v>
      </c>
    </row>
    <row r="980" spans="1:2" ht="15" customHeight="1" x14ac:dyDescent="0.2">
      <c r="A980" s="32" t="str">
        <f>'Returns  Stats'!A980</f>
        <v>2024-11-22</v>
      </c>
      <c r="B980" s="35">
        <f>'MPT Optimisation'!$B$16*'Returns  Stats'!B980+'MPT Optimisation'!$B$17*'Returns  Stats'!C980+'MPT Optimisation'!$B$18*'Returns  Stats'!D980+'MPT Optimisation'!$B$19*'Returns  Stats'!E980</f>
        <v>4.5466781446559584E-3</v>
      </c>
    </row>
    <row r="981" spans="1:2" ht="15" customHeight="1" x14ac:dyDescent="0.2">
      <c r="A981" s="32" t="str">
        <f>'Returns  Stats'!A981</f>
        <v>2024-11-25</v>
      </c>
      <c r="B981" s="35">
        <f>'MPT Optimisation'!$B$16*'Returns  Stats'!B981+'MPT Optimisation'!$B$17*'Returns  Stats'!C981+'MPT Optimisation'!$B$18*'Returns  Stats'!D981+'MPT Optimisation'!$B$19*'Returns  Stats'!E981</f>
        <v>5.627326688355261E-3</v>
      </c>
    </row>
    <row r="982" spans="1:2" ht="15" customHeight="1" x14ac:dyDescent="0.2">
      <c r="A982" s="32" t="str">
        <f>'Returns  Stats'!A982</f>
        <v>2024-11-26</v>
      </c>
      <c r="B982" s="35">
        <f>'MPT Optimisation'!$B$16*'Returns  Stats'!B982+'MPT Optimisation'!$B$17*'Returns  Stats'!C982+'MPT Optimisation'!$B$18*'Returns  Stats'!D982+'MPT Optimisation'!$B$19*'Returns  Stats'!E982</f>
        <v>5.8693949922552493E-4</v>
      </c>
    </row>
    <row r="983" spans="1:2" ht="15" customHeight="1" x14ac:dyDescent="0.2">
      <c r="A983" s="32" t="str">
        <f>'Returns  Stats'!A983</f>
        <v>2024-11-27</v>
      </c>
      <c r="B983" s="35">
        <f>'MPT Optimisation'!$B$16*'Returns  Stats'!B983+'MPT Optimisation'!$B$17*'Returns  Stats'!C983+'MPT Optimisation'!$B$18*'Returns  Stats'!D983+'MPT Optimisation'!$B$19*'Returns  Stats'!E983</f>
        <v>3.788607715866423E-4</v>
      </c>
    </row>
    <row r="984" spans="1:2" ht="15" customHeight="1" x14ac:dyDescent="0.2">
      <c r="A984" s="32" t="str">
        <f>'Returns  Stats'!A984</f>
        <v>2024-11-29</v>
      </c>
      <c r="B984" s="35">
        <f>'MPT Optimisation'!$B$16*'Returns  Stats'!B984+'MPT Optimisation'!$B$17*'Returns  Stats'!C984+'MPT Optimisation'!$B$18*'Returns  Stats'!D984+'MPT Optimisation'!$B$19*'Returns  Stats'!E984</f>
        <v>7.3178078972750086E-3</v>
      </c>
    </row>
    <row r="985" spans="1:2" ht="15" customHeight="1" x14ac:dyDescent="0.2">
      <c r="A985" s="32" t="str">
        <f>'Returns  Stats'!A985</f>
        <v>2024-12-02</v>
      </c>
      <c r="B985" s="35">
        <f>'MPT Optimisation'!$B$16*'Returns  Stats'!B985+'MPT Optimisation'!$B$17*'Returns  Stats'!C985+'MPT Optimisation'!$B$18*'Returns  Stats'!D985+'MPT Optimisation'!$B$19*'Returns  Stats'!E985</f>
        <v>1.253997233604226E-3</v>
      </c>
    </row>
    <row r="986" spans="1:2" ht="15" customHeight="1" x14ac:dyDescent="0.2">
      <c r="A986" s="32" t="str">
        <f>'Returns  Stats'!A986</f>
        <v>2024-12-03</v>
      </c>
      <c r="B986" s="35">
        <f>'MPT Optimisation'!$B$16*'Returns  Stats'!B986+'MPT Optimisation'!$B$17*'Returns  Stats'!C986+'MPT Optimisation'!$B$18*'Returns  Stats'!D986+'MPT Optimisation'!$B$19*'Returns  Stats'!E986</f>
        <v>1.3554603463113045E-3</v>
      </c>
    </row>
    <row r="987" spans="1:2" ht="15" customHeight="1" x14ac:dyDescent="0.2">
      <c r="A987" s="32" t="str">
        <f>'Returns  Stats'!A987</f>
        <v>2024-12-04</v>
      </c>
      <c r="B987" s="35">
        <f>'MPT Optimisation'!$B$16*'Returns  Stats'!B987+'MPT Optimisation'!$B$17*'Returns  Stats'!C987+'MPT Optimisation'!$B$18*'Returns  Stats'!D987+'MPT Optimisation'!$B$19*'Returns  Stats'!E987</f>
        <v>4.2872007596243432E-3</v>
      </c>
    </row>
    <row r="988" spans="1:2" ht="15" customHeight="1" x14ac:dyDescent="0.2">
      <c r="A988" s="32" t="str">
        <f>'Returns  Stats'!A988</f>
        <v>2024-12-05</v>
      </c>
      <c r="B988" s="35">
        <f>'MPT Optimisation'!$B$16*'Returns  Stats'!B988+'MPT Optimisation'!$B$17*'Returns  Stats'!C988+'MPT Optimisation'!$B$18*'Returns  Stats'!D988+'MPT Optimisation'!$B$19*'Returns  Stats'!E988</f>
        <v>-3.0819990855013285E-4</v>
      </c>
    </row>
    <row r="989" spans="1:2" ht="15" customHeight="1" x14ac:dyDescent="0.2">
      <c r="A989" s="32" t="str">
        <f>'Returns  Stats'!A989</f>
        <v>2024-12-06</v>
      </c>
      <c r="B989" s="35">
        <f>'MPT Optimisation'!$B$16*'Returns  Stats'!B989+'MPT Optimisation'!$B$17*'Returns  Stats'!C989+'MPT Optimisation'!$B$18*'Returns  Stats'!D989+'MPT Optimisation'!$B$19*'Returns  Stats'!E989</f>
        <v>1.7019396450236254E-3</v>
      </c>
    </row>
    <row r="990" spans="1:2" ht="15" customHeight="1" x14ac:dyDescent="0.2">
      <c r="A990" s="32" t="str">
        <f>'Returns  Stats'!A990</f>
        <v>2024-12-09</v>
      </c>
      <c r="B990" s="35">
        <f>'MPT Optimisation'!$B$16*'Returns  Stats'!B990+'MPT Optimisation'!$B$17*'Returns  Stats'!C990+'MPT Optimisation'!$B$18*'Returns  Stats'!D990+'MPT Optimisation'!$B$19*'Returns  Stats'!E990</f>
        <v>-4.020914084463945E-3</v>
      </c>
    </row>
    <row r="991" spans="1:2" ht="15" customHeight="1" x14ac:dyDescent="0.2">
      <c r="A991" s="32" t="str">
        <f>'Returns  Stats'!A991</f>
        <v>2024-12-10</v>
      </c>
      <c r="B991" s="35">
        <f>'MPT Optimisation'!$B$16*'Returns  Stats'!B991+'MPT Optimisation'!$B$17*'Returns  Stats'!C991+'MPT Optimisation'!$B$18*'Returns  Stats'!D991+'MPT Optimisation'!$B$19*'Returns  Stats'!E991</f>
        <v>-5.740347146182722E-3</v>
      </c>
    </row>
    <row r="992" spans="1:2" ht="15" customHeight="1" x14ac:dyDescent="0.2">
      <c r="A992" s="32" t="str">
        <f>'Returns  Stats'!A992</f>
        <v>2024-12-11</v>
      </c>
      <c r="B992" s="35">
        <f>'MPT Optimisation'!$B$16*'Returns  Stats'!B992+'MPT Optimisation'!$B$17*'Returns  Stats'!C992+'MPT Optimisation'!$B$18*'Returns  Stats'!D992+'MPT Optimisation'!$B$19*'Returns  Stats'!E992</f>
        <v>6.4883409478360687E-3</v>
      </c>
    </row>
    <row r="993" spans="1:2" ht="15" customHeight="1" x14ac:dyDescent="0.2">
      <c r="A993" s="32" t="str">
        <f>'Returns  Stats'!A993</f>
        <v>2024-12-12</v>
      </c>
      <c r="B993" s="35">
        <f>'MPT Optimisation'!$B$16*'Returns  Stats'!B993+'MPT Optimisation'!$B$17*'Returns  Stats'!C993+'MPT Optimisation'!$B$18*'Returns  Stats'!D993+'MPT Optimisation'!$B$19*'Returns  Stats'!E993</f>
        <v>-6.3330266188961586E-3</v>
      </c>
    </row>
    <row r="994" spans="1:2" ht="15" customHeight="1" x14ac:dyDescent="0.2">
      <c r="A994" s="32" t="str">
        <f>'Returns  Stats'!A994</f>
        <v>2024-12-13</v>
      </c>
      <c r="B994" s="35">
        <f>'MPT Optimisation'!$B$16*'Returns  Stats'!B994+'MPT Optimisation'!$B$17*'Returns  Stats'!C994+'MPT Optimisation'!$B$18*'Returns  Stats'!D994+'MPT Optimisation'!$B$19*'Returns  Stats'!E994</f>
        <v>-1.4658237821647989E-3</v>
      </c>
    </row>
    <row r="995" spans="1:2" ht="15" customHeight="1" x14ac:dyDescent="0.2">
      <c r="A995" s="32" t="str">
        <f>'Returns  Stats'!A995</f>
        <v>2024-12-16</v>
      </c>
      <c r="B995" s="35">
        <f>'MPT Optimisation'!$B$16*'Returns  Stats'!B995+'MPT Optimisation'!$B$17*'Returns  Stats'!C995+'MPT Optimisation'!$B$18*'Returns  Stats'!D995+'MPT Optimisation'!$B$19*'Returns  Stats'!E995</f>
        <v>1.3220055342761771E-3</v>
      </c>
    </row>
    <row r="996" spans="1:2" ht="15" customHeight="1" x14ac:dyDescent="0.2">
      <c r="A996" s="32" t="str">
        <f>'Returns  Stats'!A996</f>
        <v>2024-12-17</v>
      </c>
      <c r="B996" s="35">
        <f>'MPT Optimisation'!$B$16*'Returns  Stats'!B996+'MPT Optimisation'!$B$17*'Returns  Stats'!C996+'MPT Optimisation'!$B$18*'Returns  Stats'!D996+'MPT Optimisation'!$B$19*'Returns  Stats'!E996</f>
        <v>-3.6848843651009705E-3</v>
      </c>
    </row>
    <row r="997" spans="1:2" ht="15" customHeight="1" x14ac:dyDescent="0.2">
      <c r="A997" s="32" t="str">
        <f>'Returns  Stats'!A997</f>
        <v>2024-12-18</v>
      </c>
      <c r="B997" s="35">
        <f>'MPT Optimisation'!$B$16*'Returns  Stats'!B997+'MPT Optimisation'!$B$17*'Returns  Stats'!C997+'MPT Optimisation'!$B$18*'Returns  Stats'!D997+'MPT Optimisation'!$B$19*'Returns  Stats'!E997</f>
        <v>-2.8364397681836472E-2</v>
      </c>
    </row>
    <row r="998" spans="1:2" ht="15" customHeight="1" x14ac:dyDescent="0.2">
      <c r="A998" s="32" t="str">
        <f>'Returns  Stats'!A998</f>
        <v>2024-12-19</v>
      </c>
      <c r="B998" s="35">
        <f>'MPT Optimisation'!$B$16*'Returns  Stats'!B998+'MPT Optimisation'!$B$17*'Returns  Stats'!C998+'MPT Optimisation'!$B$18*'Returns  Stats'!D998+'MPT Optimisation'!$B$19*'Returns  Stats'!E998</f>
        <v>-2.7022742230660588E-3</v>
      </c>
    </row>
    <row r="999" spans="1:2" ht="15" customHeight="1" x14ac:dyDescent="0.2">
      <c r="A999" s="32" t="str">
        <f>'Returns  Stats'!A999</f>
        <v>2024-12-20</v>
      </c>
      <c r="B999" s="35">
        <f>'MPT Optimisation'!$B$16*'Returns  Stats'!B999+'MPT Optimisation'!$B$17*'Returns  Stats'!C999+'MPT Optimisation'!$B$18*'Returns  Stats'!D999+'MPT Optimisation'!$B$19*'Returns  Stats'!E999</f>
        <v>6.9682660022513335E-3</v>
      </c>
    </row>
    <row r="1000" spans="1:2" ht="15" customHeight="1" x14ac:dyDescent="0.2">
      <c r="A1000" s="32" t="str">
        <f>'Returns  Stats'!A1000</f>
        <v>2024-12-23</v>
      </c>
      <c r="B1000" s="35">
        <f>'MPT Optimisation'!$B$16*'Returns  Stats'!B1000+'MPT Optimisation'!$B$17*'Returns  Stats'!C1000+'MPT Optimisation'!$B$18*'Returns  Stats'!D1000+'MPT Optimisation'!$B$19*'Returns  Stats'!E1000</f>
        <v>5.4072324534765685E-3</v>
      </c>
    </row>
    <row r="1001" spans="1:2" ht="15" customHeight="1" x14ac:dyDescent="0.2">
      <c r="A1001" s="32" t="str">
        <f>'Returns  Stats'!A1001</f>
        <v>2024-12-24</v>
      </c>
      <c r="B1001" s="35">
        <f>'MPT Optimisation'!$B$16*'Returns  Stats'!B1001+'MPT Optimisation'!$B$17*'Returns  Stats'!C1001+'MPT Optimisation'!$B$18*'Returns  Stats'!D1001+'MPT Optimisation'!$B$19*'Returns  Stats'!E1001</f>
        <v>7.8280154910585036E-3</v>
      </c>
    </row>
    <row r="1002" spans="1:2" ht="15" customHeight="1" x14ac:dyDescent="0.2">
      <c r="A1002" s="32" t="str">
        <f>'Returns  Stats'!A1002</f>
        <v>2024-12-26</v>
      </c>
      <c r="B1002" s="35">
        <f>'MPT Optimisation'!$B$16*'Returns  Stats'!B1002+'MPT Optimisation'!$B$17*'Returns  Stats'!C1002+'MPT Optimisation'!$B$18*'Returns  Stats'!D1002+'MPT Optimisation'!$B$19*'Returns  Stats'!E1002</f>
        <v>1.9372836968909678E-3</v>
      </c>
    </row>
    <row r="1003" spans="1:2" ht="15" customHeight="1" x14ac:dyDescent="0.2">
      <c r="A1003" s="32" t="str">
        <f>'Returns  Stats'!A1003</f>
        <v>2024-12-27</v>
      </c>
      <c r="B1003" s="35">
        <f>'MPT Optimisation'!$B$16*'Returns  Stats'!B1003+'MPT Optimisation'!$B$17*'Returns  Stats'!C1003+'MPT Optimisation'!$B$18*'Returns  Stats'!D1003+'MPT Optimisation'!$B$19*'Returns  Stats'!E1003</f>
        <v>-7.5368362194136998E-3</v>
      </c>
    </row>
    <row r="1004" spans="1:2" ht="15" customHeight="1" x14ac:dyDescent="0.2">
      <c r="A1004" s="32" t="str">
        <f>'Returns  Stats'!A1004</f>
        <v>2024-12-30</v>
      </c>
      <c r="B1004" s="35">
        <f>'MPT Optimisation'!$B$16*'Returns  Stats'!B1004+'MPT Optimisation'!$B$17*'Returns  Stats'!C1004+'MPT Optimisation'!$B$18*'Returns  Stats'!D1004+'MPT Optimisation'!$B$19*'Returns  Stats'!E1004</f>
        <v>-8.6532008845244934E-3</v>
      </c>
    </row>
    <row r="1005" spans="1:2" ht="15" customHeight="1" x14ac:dyDescent="0.2">
      <c r="A1005" s="32" t="str">
        <f>'Returns  Stats'!A1005</f>
        <v>2024-12-31</v>
      </c>
      <c r="B1005" s="35">
        <f>'MPT Optimisation'!$B$16*'Returns  Stats'!B1005+'MPT Optimisation'!$B$17*'Returns  Stats'!C1005+'MPT Optimisation'!$B$18*'Returns  Stats'!D1005+'MPT Optimisation'!$B$19*'Returns  Stats'!E1005</f>
        <v>-1.7096395422341703E-3</v>
      </c>
    </row>
    <row r="1006" spans="1:2" ht="15" customHeight="1" x14ac:dyDescent="0.2">
      <c r="A1006" s="32" t="str">
        <f>'Returns  Stats'!A1006</f>
        <v>2025-01-02</v>
      </c>
      <c r="B1006" s="35">
        <f>'MPT Optimisation'!$B$16*'Returns  Stats'!B1006+'MPT Optimisation'!$B$17*'Returns  Stats'!C1006+'MPT Optimisation'!$B$18*'Returns  Stats'!D1006+'MPT Optimisation'!$B$19*'Returns  Stats'!E1006</f>
        <v>-2.6085423797099052E-3</v>
      </c>
    </row>
    <row r="1007" spans="1:2" ht="15" customHeight="1" x14ac:dyDescent="0.2">
      <c r="A1007" s="32" t="str">
        <f>'Returns  Stats'!A1007</f>
        <v>2025-01-03</v>
      </c>
      <c r="B1007" s="35">
        <f>'MPT Optimisation'!$B$16*'Returns  Stats'!B1007+'MPT Optimisation'!$B$17*'Returns  Stats'!C1007+'MPT Optimisation'!$B$18*'Returns  Stats'!D1007+'MPT Optimisation'!$B$19*'Returns  Stats'!E1007</f>
        <v>9.8013780972109089E-3</v>
      </c>
    </row>
    <row r="1008" spans="1:2" ht="15" customHeight="1" x14ac:dyDescent="0.2">
      <c r="A1008" s="32" t="str">
        <f>'Returns  Stats'!A1008</f>
        <v>2025-01-06</v>
      </c>
      <c r="B1008" s="35">
        <f>'MPT Optimisation'!$B$16*'Returns  Stats'!B1008+'MPT Optimisation'!$B$17*'Returns  Stats'!C1008+'MPT Optimisation'!$B$18*'Returns  Stats'!D1008+'MPT Optimisation'!$B$19*'Returns  Stats'!E1008</f>
        <v>5.5172848848489388E-3</v>
      </c>
    </row>
    <row r="1009" spans="1:2" ht="15" customHeight="1" x14ac:dyDescent="0.2">
      <c r="A1009" s="32" t="str">
        <f>'Returns  Stats'!A1009</f>
        <v>2025-01-07</v>
      </c>
      <c r="B1009" s="35">
        <f>'MPT Optimisation'!$B$16*'Returns  Stats'!B1009+'MPT Optimisation'!$B$17*'Returns  Stats'!C1009+'MPT Optimisation'!$B$18*'Returns  Stats'!D1009+'MPT Optimisation'!$B$19*'Returns  Stats'!E1009</f>
        <v>-7.5852689122626171E-3</v>
      </c>
    </row>
    <row r="1010" spans="1:2" ht="15" customHeight="1" x14ac:dyDescent="0.2">
      <c r="A1010" s="32" t="str">
        <f>'Returns  Stats'!A1010</f>
        <v>2025-01-08</v>
      </c>
      <c r="B1010" s="35">
        <f>'MPT Optimisation'!$B$16*'Returns  Stats'!B1010+'MPT Optimisation'!$B$17*'Returns  Stats'!C1010+'MPT Optimisation'!$B$18*'Returns  Stats'!D1010+'MPT Optimisation'!$B$19*'Returns  Stats'!E1010</f>
        <v>2.7282686496126195E-4</v>
      </c>
    </row>
    <row r="1011" spans="1:2" ht="15" customHeight="1" x14ac:dyDescent="0.2">
      <c r="A1011" s="32" t="str">
        <f>'Returns  Stats'!A1011</f>
        <v>2025-01-10</v>
      </c>
      <c r="B1011" s="35">
        <f>'MPT Optimisation'!$B$16*'Returns  Stats'!B1011+'MPT Optimisation'!$B$17*'Returns  Stats'!C1011+'MPT Optimisation'!$B$18*'Returns  Stats'!D1011+'MPT Optimisation'!$B$19*'Returns  Stats'!E1011</f>
        <v>-1.507569531717321E-2</v>
      </c>
    </row>
    <row r="1012" spans="1:2" ht="15" customHeight="1" x14ac:dyDescent="0.2">
      <c r="A1012" s="32" t="str">
        <f>'Returns  Stats'!A1012</f>
        <v>2025-01-13</v>
      </c>
      <c r="B1012" s="35">
        <f>'MPT Optimisation'!$B$16*'Returns  Stats'!B1012+'MPT Optimisation'!$B$17*'Returns  Stats'!C1012+'MPT Optimisation'!$B$18*'Returns  Stats'!D1012+'MPT Optimisation'!$B$19*'Returns  Stats'!E1012</f>
        <v>7.0894956904163364E-4</v>
      </c>
    </row>
    <row r="1013" spans="1:2" ht="15" customHeight="1" x14ac:dyDescent="0.2">
      <c r="A1013" s="32" t="str">
        <f>'Returns  Stats'!A1013</f>
        <v>2025-01-14</v>
      </c>
      <c r="B1013" s="35">
        <f>'MPT Optimisation'!$B$16*'Returns  Stats'!B1013+'MPT Optimisation'!$B$17*'Returns  Stats'!C1013+'MPT Optimisation'!$B$18*'Returns  Stats'!D1013+'MPT Optimisation'!$B$19*'Returns  Stats'!E1013</f>
        <v>2.9093910888359333E-3</v>
      </c>
    </row>
    <row r="1014" spans="1:2" ht="15" customHeight="1" x14ac:dyDescent="0.2">
      <c r="A1014" s="32" t="str">
        <f>'Returns  Stats'!A1014</f>
        <v>2025-01-15</v>
      </c>
      <c r="B1014" s="35">
        <f>'MPT Optimisation'!$B$16*'Returns  Stats'!B1014+'MPT Optimisation'!$B$17*'Returns  Stats'!C1014+'MPT Optimisation'!$B$18*'Returns  Stats'!D1014+'MPT Optimisation'!$B$19*'Returns  Stats'!E1014</f>
        <v>1.555736718749311E-2</v>
      </c>
    </row>
    <row r="1015" spans="1:2" ht="15" customHeight="1" x14ac:dyDescent="0.2">
      <c r="A1015" s="32" t="str">
        <f>'Returns  Stats'!A1015</f>
        <v>2025-01-16</v>
      </c>
      <c r="B1015" s="35">
        <f>'MPT Optimisation'!$B$16*'Returns  Stats'!B1015+'MPT Optimisation'!$B$17*'Returns  Stats'!C1015+'MPT Optimisation'!$B$18*'Returns  Stats'!D1015+'MPT Optimisation'!$B$19*'Returns  Stats'!E1015</f>
        <v>2.2324228909174847E-3</v>
      </c>
    </row>
    <row r="1016" spans="1:2" ht="15" customHeight="1" x14ac:dyDescent="0.2">
      <c r="A1016" s="32" t="str">
        <f>'Returns  Stats'!A1016</f>
        <v>2025-01-17</v>
      </c>
      <c r="B1016" s="35">
        <f>'MPT Optimisation'!$B$16*'Returns  Stats'!B1016+'MPT Optimisation'!$B$17*'Returns  Stats'!C1016+'MPT Optimisation'!$B$18*'Returns  Stats'!D1016+'MPT Optimisation'!$B$19*'Returns  Stats'!E1016</f>
        <v>6.7230137277503599E-3</v>
      </c>
    </row>
    <row r="1017" spans="1:2" ht="15" customHeight="1" x14ac:dyDescent="0.2">
      <c r="A1017" s="32" t="str">
        <f>'Returns  Stats'!A1017</f>
        <v>2025-01-21</v>
      </c>
      <c r="B1017" s="35">
        <f>'MPT Optimisation'!$B$16*'Returns  Stats'!B1017+'MPT Optimisation'!$B$17*'Returns  Stats'!C1017+'MPT Optimisation'!$B$18*'Returns  Stats'!D1017+'MPT Optimisation'!$B$19*'Returns  Stats'!E1017</f>
        <v>1.3113751330235346E-2</v>
      </c>
    </row>
    <row r="1018" spans="1:2" ht="15" customHeight="1" x14ac:dyDescent="0.2">
      <c r="A1018" s="32" t="str">
        <f>'Returns  Stats'!A1018</f>
        <v>2025-01-22</v>
      </c>
      <c r="B1018" s="35">
        <f>'MPT Optimisation'!$B$16*'Returns  Stats'!B1018+'MPT Optimisation'!$B$17*'Returns  Stats'!C1018+'MPT Optimisation'!$B$18*'Returns  Stats'!D1018+'MPT Optimisation'!$B$19*'Returns  Stats'!E1018</f>
        <v>1.2502224495509529E-3</v>
      </c>
    </row>
    <row r="1019" spans="1:2" ht="15" customHeight="1" x14ac:dyDescent="0.2">
      <c r="A1019" s="32" t="str">
        <f>'Returns  Stats'!A1019</f>
        <v>2025-01-23</v>
      </c>
      <c r="B1019" s="35">
        <f>'MPT Optimisation'!$B$16*'Returns  Stats'!B1019+'MPT Optimisation'!$B$17*'Returns  Stats'!C1019+'MPT Optimisation'!$B$18*'Returns  Stats'!D1019+'MPT Optimisation'!$B$19*'Returns  Stats'!E1019</f>
        <v>5.8958256253940459E-3</v>
      </c>
    </row>
    <row r="1020" spans="1:2" ht="15" customHeight="1" x14ac:dyDescent="0.2">
      <c r="A1020" s="32" t="str">
        <f>'Returns  Stats'!A1020</f>
        <v>2025-01-24</v>
      </c>
      <c r="B1020" s="35">
        <f>'MPT Optimisation'!$B$16*'Returns  Stats'!B1020+'MPT Optimisation'!$B$17*'Returns  Stats'!C1020+'MPT Optimisation'!$B$18*'Returns  Stats'!D1020+'MPT Optimisation'!$B$19*'Returns  Stats'!E1020</f>
        <v>1.8209790104756213E-4</v>
      </c>
    </row>
    <row r="1021" spans="1:2" ht="15" customHeight="1" x14ac:dyDescent="0.2">
      <c r="A1021" s="32" t="str">
        <f>'Returns  Stats'!A1021</f>
        <v>2025-01-27</v>
      </c>
      <c r="B1021" s="35">
        <f>'MPT Optimisation'!$B$16*'Returns  Stats'!B1021+'MPT Optimisation'!$B$17*'Returns  Stats'!C1021+'MPT Optimisation'!$B$18*'Returns  Stats'!D1021+'MPT Optimisation'!$B$19*'Returns  Stats'!E1021</f>
        <v>-7.4185137903986726E-3</v>
      </c>
    </row>
    <row r="1022" spans="1:2" ht="15" customHeight="1" x14ac:dyDescent="0.2">
      <c r="A1022" s="32" t="str">
        <f>'Returns  Stats'!A1022</f>
        <v>2025-01-28</v>
      </c>
      <c r="B1022" s="35">
        <f>'MPT Optimisation'!$B$16*'Returns  Stats'!B1022+'MPT Optimisation'!$B$17*'Returns  Stats'!C1022+'MPT Optimisation'!$B$18*'Returns  Stats'!D1022+'MPT Optimisation'!$B$19*'Returns  Stats'!E1022</f>
        <v>4.1518745780480823E-3</v>
      </c>
    </row>
    <row r="1023" spans="1:2" ht="15" customHeight="1" x14ac:dyDescent="0.2">
      <c r="A1023" s="32" t="str">
        <f>'Returns  Stats'!A1023</f>
        <v>2025-01-29</v>
      </c>
      <c r="B1023" s="35">
        <f>'MPT Optimisation'!$B$16*'Returns  Stats'!B1023+'MPT Optimisation'!$B$17*'Returns  Stats'!C1023+'MPT Optimisation'!$B$18*'Returns  Stats'!D1023+'MPT Optimisation'!$B$19*'Returns  Stats'!E1023</f>
        <v>-3.2922739857722981E-3</v>
      </c>
    </row>
    <row r="1024" spans="1:2" ht="15" customHeight="1" x14ac:dyDescent="0.2">
      <c r="A1024" s="32" t="str">
        <f>'Returns  Stats'!A1024</f>
        <v>2025-01-30</v>
      </c>
      <c r="B1024" s="35">
        <f>'MPT Optimisation'!$B$16*'Returns  Stats'!B1024+'MPT Optimisation'!$B$17*'Returns  Stats'!C1024+'MPT Optimisation'!$B$18*'Returns  Stats'!D1024+'MPT Optimisation'!$B$19*'Returns  Stats'!E1024</f>
        <v>7.7671965768419497E-3</v>
      </c>
    </row>
    <row r="1025" spans="1:2" ht="15" customHeight="1" x14ac:dyDescent="0.2">
      <c r="A1025" s="32" t="str">
        <f>'Returns  Stats'!A1025</f>
        <v>2025-01-31</v>
      </c>
      <c r="B1025" s="35">
        <f>'MPT Optimisation'!$B$16*'Returns  Stats'!B1025+'MPT Optimisation'!$B$17*'Returns  Stats'!C1025+'MPT Optimisation'!$B$18*'Returns  Stats'!D1025+'MPT Optimisation'!$B$19*'Returns  Stats'!E1025</f>
        <v>-6.3029611301104738E-3</v>
      </c>
    </row>
    <row r="1026" spans="1:2" ht="15" customHeight="1" x14ac:dyDescent="0.2">
      <c r="A1026" s="32" t="str">
        <f>'Returns  Stats'!A1026</f>
        <v>2025-02-03</v>
      </c>
      <c r="B1026" s="35">
        <f>'MPT Optimisation'!$B$16*'Returns  Stats'!B1026+'MPT Optimisation'!$B$17*'Returns  Stats'!C1026+'MPT Optimisation'!$B$18*'Returns  Stats'!D1026+'MPT Optimisation'!$B$19*'Returns  Stats'!E1026</f>
        <v>-7.9588480319309606E-3</v>
      </c>
    </row>
    <row r="1027" spans="1:2" ht="15" customHeight="1" x14ac:dyDescent="0.2">
      <c r="A1027" s="32" t="str">
        <f>'Returns  Stats'!A1027</f>
        <v>2025-02-04</v>
      </c>
      <c r="B1027" s="35">
        <f>'MPT Optimisation'!$B$16*'Returns  Stats'!B1027+'MPT Optimisation'!$B$17*'Returns  Stats'!C1027+'MPT Optimisation'!$B$18*'Returns  Stats'!D1027+'MPT Optimisation'!$B$19*'Returns  Stats'!E1027</f>
        <v>7.9694609318914575E-3</v>
      </c>
    </row>
    <row r="1028" spans="1:2" ht="15" customHeight="1" x14ac:dyDescent="0.2">
      <c r="A1028" s="32" t="str">
        <f>'Returns  Stats'!A1028</f>
        <v>2025-02-05</v>
      </c>
      <c r="B1028" s="35">
        <f>'MPT Optimisation'!$B$16*'Returns  Stats'!B1028+'MPT Optimisation'!$B$17*'Returns  Stats'!C1028+'MPT Optimisation'!$B$18*'Returns  Stats'!D1028+'MPT Optimisation'!$B$19*'Returns  Stats'!E1028</f>
        <v>6.6584464996635503E-3</v>
      </c>
    </row>
    <row r="1029" spans="1:2" ht="15" customHeight="1" x14ac:dyDescent="0.2">
      <c r="A1029" s="32" t="str">
        <f>'Returns  Stats'!A1029</f>
        <v>2025-02-06</v>
      </c>
      <c r="B1029" s="35">
        <f>'MPT Optimisation'!$B$16*'Returns  Stats'!B1029+'MPT Optimisation'!$B$17*'Returns  Stats'!C1029+'MPT Optimisation'!$B$18*'Returns  Stats'!D1029+'MPT Optimisation'!$B$19*'Returns  Stats'!E1029</f>
        <v>2.9797347103047156E-3</v>
      </c>
    </row>
    <row r="1030" spans="1:2" ht="15" customHeight="1" x14ac:dyDescent="0.2">
      <c r="A1030" s="32" t="str">
        <f>'Returns  Stats'!A1030</f>
        <v>2025-02-07</v>
      </c>
      <c r="B1030" s="35">
        <f>'MPT Optimisation'!$B$16*'Returns  Stats'!B1030+'MPT Optimisation'!$B$17*'Returns  Stats'!C1030+'MPT Optimisation'!$B$18*'Returns  Stats'!D1030+'MPT Optimisation'!$B$19*'Returns  Stats'!E1030</f>
        <v>-8.5263581220795231E-3</v>
      </c>
    </row>
    <row r="1031" spans="1:2" ht="15" customHeight="1" x14ac:dyDescent="0.2">
      <c r="A1031" s="32" t="str">
        <f>'Returns  Stats'!A1031</f>
        <v>2025-02-10</v>
      </c>
      <c r="B1031" s="35">
        <f>'MPT Optimisation'!$B$16*'Returns  Stats'!B1031+'MPT Optimisation'!$B$17*'Returns  Stats'!C1031+'MPT Optimisation'!$B$18*'Returns  Stats'!D1031+'MPT Optimisation'!$B$19*'Returns  Stats'!E1031</f>
        <v>5.8741601667773088E-3</v>
      </c>
    </row>
    <row r="1032" spans="1:2" ht="15" customHeight="1" x14ac:dyDescent="0.2">
      <c r="A1032" s="32" t="str">
        <f>'Returns  Stats'!A1032</f>
        <v>2025-02-11</v>
      </c>
      <c r="B1032" s="35">
        <f>'MPT Optimisation'!$B$16*'Returns  Stats'!B1032+'MPT Optimisation'!$B$17*'Returns  Stats'!C1032+'MPT Optimisation'!$B$18*'Returns  Stats'!D1032+'MPT Optimisation'!$B$19*'Returns  Stats'!E1032</f>
        <v>1.2077547606057005E-3</v>
      </c>
    </row>
    <row r="1033" spans="1:2" ht="15" customHeight="1" x14ac:dyDescent="0.2">
      <c r="A1033" s="32" t="str">
        <f>'Returns  Stats'!A1033</f>
        <v>2025-02-12</v>
      </c>
      <c r="B1033" s="35">
        <f>'MPT Optimisation'!$B$16*'Returns  Stats'!B1033+'MPT Optimisation'!$B$17*'Returns  Stats'!C1033+'MPT Optimisation'!$B$18*'Returns  Stats'!D1033+'MPT Optimisation'!$B$19*'Returns  Stats'!E1033</f>
        <v>-1.5882718633298599E-3</v>
      </c>
    </row>
    <row r="1034" spans="1:2" ht="15" customHeight="1" x14ac:dyDescent="0.2">
      <c r="A1034" s="32" t="str">
        <f>'Returns  Stats'!A1034</f>
        <v>2025-02-13</v>
      </c>
      <c r="B1034" s="35">
        <f>'MPT Optimisation'!$B$16*'Returns  Stats'!B1034+'MPT Optimisation'!$B$17*'Returns  Stats'!C1034+'MPT Optimisation'!$B$18*'Returns  Stats'!D1034+'MPT Optimisation'!$B$19*'Returns  Stats'!E1034</f>
        <v>1.0702197642954025E-2</v>
      </c>
    </row>
    <row r="1035" spans="1:2" ht="15" customHeight="1" x14ac:dyDescent="0.2">
      <c r="A1035" s="32" t="str">
        <f>'Returns  Stats'!A1035</f>
        <v>2025-02-14</v>
      </c>
      <c r="B1035" s="35">
        <f>'MPT Optimisation'!$B$16*'Returns  Stats'!B1035+'MPT Optimisation'!$B$17*'Returns  Stats'!C1035+'MPT Optimisation'!$B$18*'Returns  Stats'!D1035+'MPT Optimisation'!$B$19*'Returns  Stats'!E1035</f>
        <v>3.1723099971436294E-4</v>
      </c>
    </row>
    <row r="1036" spans="1:2" ht="15" customHeight="1" x14ac:dyDescent="0.2">
      <c r="A1036" s="32" t="str">
        <f>'Returns  Stats'!A1036</f>
        <v>2025-02-18</v>
      </c>
      <c r="B1036" s="35">
        <f>'MPT Optimisation'!$B$16*'Returns  Stats'!B1036+'MPT Optimisation'!$B$17*'Returns  Stats'!C1036+'MPT Optimisation'!$B$18*'Returns  Stats'!D1036+'MPT Optimisation'!$B$19*'Returns  Stats'!E1036</f>
        <v>3.874190234506436E-3</v>
      </c>
    </row>
    <row r="1037" spans="1:2" ht="15" customHeight="1" x14ac:dyDescent="0.2">
      <c r="A1037" s="32" t="str">
        <f>'Returns  Stats'!A1037</f>
        <v>2025-02-19</v>
      </c>
      <c r="B1037" s="35">
        <f>'MPT Optimisation'!$B$16*'Returns  Stats'!B1037+'MPT Optimisation'!$B$17*'Returns  Stats'!C1037+'MPT Optimisation'!$B$18*'Returns  Stats'!D1037+'MPT Optimisation'!$B$19*'Returns  Stats'!E1037</f>
        <v>-2.1278278743820382E-3</v>
      </c>
    </row>
    <row r="1038" spans="1:2" ht="15" customHeight="1" x14ac:dyDescent="0.2">
      <c r="A1038" s="32" t="str">
        <f>'Returns  Stats'!A1038</f>
        <v>2025-02-20</v>
      </c>
      <c r="B1038" s="35">
        <f>'MPT Optimisation'!$B$16*'Returns  Stats'!B1038+'MPT Optimisation'!$B$17*'Returns  Stats'!C1038+'MPT Optimisation'!$B$18*'Returns  Stats'!D1038+'MPT Optimisation'!$B$19*'Returns  Stats'!E1038</f>
        <v>-1.5148244027789468E-3</v>
      </c>
    </row>
    <row r="1039" spans="1:2" ht="15" customHeight="1" x14ac:dyDescent="0.2">
      <c r="A1039" s="32" t="str">
        <f>'Returns  Stats'!A1039</f>
        <v>2025-02-21</v>
      </c>
      <c r="B1039" s="35">
        <f>'MPT Optimisation'!$B$16*'Returns  Stats'!B1039+'MPT Optimisation'!$B$17*'Returns  Stats'!C1039+'MPT Optimisation'!$B$18*'Returns  Stats'!D1039+'MPT Optimisation'!$B$19*'Returns  Stats'!E1039</f>
        <v>-1.3225985660292743E-2</v>
      </c>
    </row>
    <row r="1040" spans="1:2" ht="15" customHeight="1" x14ac:dyDescent="0.2">
      <c r="A1040" s="32" t="str">
        <f>'Returns  Stats'!A1040</f>
        <v>2025-02-24</v>
      </c>
      <c r="B1040" s="35">
        <f>'MPT Optimisation'!$B$16*'Returns  Stats'!B1040+'MPT Optimisation'!$B$17*'Returns  Stats'!C1040+'MPT Optimisation'!$B$18*'Returns  Stats'!D1040+'MPT Optimisation'!$B$19*'Returns  Stats'!E1040</f>
        <v>-2.9625239555721604E-3</v>
      </c>
    </row>
    <row r="1041" spans="1:2" ht="15" customHeight="1" x14ac:dyDescent="0.2">
      <c r="A1041" s="32" t="str">
        <f>'Returns  Stats'!A1041</f>
        <v>2025-02-25</v>
      </c>
      <c r="B1041" s="35">
        <f>'MPT Optimisation'!$B$16*'Returns  Stats'!B1041+'MPT Optimisation'!$B$17*'Returns  Stats'!C1041+'MPT Optimisation'!$B$18*'Returns  Stats'!D1041+'MPT Optimisation'!$B$19*'Returns  Stats'!E1041</f>
        <v>6.7360055302039272E-4</v>
      </c>
    </row>
    <row r="1042" spans="1:2" ht="15" customHeight="1" x14ac:dyDescent="0.2">
      <c r="A1042" s="32" t="str">
        <f>'Returns  Stats'!A1042</f>
        <v>2025-02-26</v>
      </c>
      <c r="B1042" s="35">
        <f>'MPT Optimisation'!$B$16*'Returns  Stats'!B1042+'MPT Optimisation'!$B$17*'Returns  Stats'!C1042+'MPT Optimisation'!$B$18*'Returns  Stats'!D1042+'MPT Optimisation'!$B$19*'Returns  Stats'!E1042</f>
        <v>4.7760338125940605E-4</v>
      </c>
    </row>
    <row r="1043" spans="1:2" ht="15" customHeight="1" x14ac:dyDescent="0.2">
      <c r="A1043" s="32" t="str">
        <f>'Returns  Stats'!A1043</f>
        <v>2025-02-27</v>
      </c>
      <c r="B1043" s="35">
        <f>'MPT Optimisation'!$B$16*'Returns  Stats'!B1043+'MPT Optimisation'!$B$17*'Returns  Stats'!C1043+'MPT Optimisation'!$B$18*'Returns  Stats'!D1043+'MPT Optimisation'!$B$19*'Returns  Stats'!E1043</f>
        <v>-1.25599188289784E-2</v>
      </c>
    </row>
    <row r="1044" spans="1:2" ht="15" customHeight="1" x14ac:dyDescent="0.2">
      <c r="A1044" s="32" t="str">
        <f>'Returns  Stats'!A1044</f>
        <v>2025-02-28</v>
      </c>
      <c r="B1044" s="35">
        <f>'MPT Optimisation'!$B$16*'Returns  Stats'!B1044+'MPT Optimisation'!$B$17*'Returns  Stats'!C1044+'MPT Optimisation'!$B$18*'Returns  Stats'!D1044+'MPT Optimisation'!$B$19*'Returns  Stats'!E1044</f>
        <v>1.0527774286458557E-2</v>
      </c>
    </row>
    <row r="1045" spans="1:2" ht="15" customHeight="1" x14ac:dyDescent="0.2">
      <c r="A1045" s="32" t="str">
        <f>'Returns  Stats'!A1045</f>
        <v>2025-03-03</v>
      </c>
      <c r="B1045" s="35">
        <f>'MPT Optimisation'!$B$16*'Returns  Stats'!B1045+'MPT Optimisation'!$B$17*'Returns  Stats'!C1045+'MPT Optimisation'!$B$18*'Returns  Stats'!D1045+'MPT Optimisation'!$B$19*'Returns  Stats'!E1045</f>
        <v>-7.1002815884197538E-3</v>
      </c>
    </row>
    <row r="1046" spans="1:2" ht="15" customHeight="1" x14ac:dyDescent="0.2">
      <c r="A1046" s="32" t="str">
        <f>'Returns  Stats'!A1046</f>
        <v>2025-03-04</v>
      </c>
      <c r="B1046" s="35">
        <f>'MPT Optimisation'!$B$16*'Returns  Stats'!B1046+'MPT Optimisation'!$B$17*'Returns  Stats'!C1046+'MPT Optimisation'!$B$18*'Returns  Stats'!D1046+'MPT Optimisation'!$B$19*'Returns  Stats'!E1046</f>
        <v>-8.2632920706944106E-3</v>
      </c>
    </row>
    <row r="1047" spans="1:2" ht="15" customHeight="1" x14ac:dyDescent="0.2">
      <c r="A1047" s="32" t="str">
        <f>'Returns  Stats'!A1047</f>
        <v>2025-03-05</v>
      </c>
      <c r="B1047" s="35">
        <f>'MPT Optimisation'!$B$16*'Returns  Stats'!B1047+'MPT Optimisation'!$B$17*'Returns  Stats'!C1047+'MPT Optimisation'!$B$18*'Returns  Stats'!D1047+'MPT Optimisation'!$B$19*'Returns  Stats'!E1047</f>
        <v>1.4374045091560532E-2</v>
      </c>
    </row>
    <row r="1048" spans="1:2" ht="15" customHeight="1" x14ac:dyDescent="0.2">
      <c r="A1048" s="32" t="str">
        <f>'Returns  Stats'!A1048</f>
        <v>2025-03-06</v>
      </c>
      <c r="B1048" s="35">
        <f>'MPT Optimisation'!$B$16*'Returns  Stats'!B1048+'MPT Optimisation'!$B$17*'Returns  Stats'!C1048+'MPT Optimisation'!$B$18*'Returns  Stats'!D1048+'MPT Optimisation'!$B$19*'Returns  Stats'!E1048</f>
        <v>-1.5575428010388652E-2</v>
      </c>
    </row>
    <row r="1049" spans="1:2" ht="15" customHeight="1" x14ac:dyDescent="0.2">
      <c r="A1049" s="32" t="str">
        <f>'Returns  Stats'!A1049</f>
        <v>2025-03-07</v>
      </c>
      <c r="B1049" s="35">
        <f>'MPT Optimisation'!$B$16*'Returns  Stats'!B1049+'MPT Optimisation'!$B$17*'Returns  Stats'!C1049+'MPT Optimisation'!$B$18*'Returns  Stats'!D1049+'MPT Optimisation'!$B$19*'Returns  Stats'!E1049</f>
        <v>6.1915614023272175E-3</v>
      </c>
    </row>
    <row r="1050" spans="1:2" ht="15" customHeight="1" x14ac:dyDescent="0.2">
      <c r="A1050" s="32" t="str">
        <f>'Returns  Stats'!A1050</f>
        <v>2025-03-10</v>
      </c>
      <c r="B1050" s="35">
        <f>'MPT Optimisation'!$B$16*'Returns  Stats'!B1050+'MPT Optimisation'!$B$17*'Returns  Stats'!C1050+'MPT Optimisation'!$B$18*'Returns  Stats'!D1050+'MPT Optimisation'!$B$19*'Returns  Stats'!E1050</f>
        <v>-2.3661405525466476E-2</v>
      </c>
    </row>
    <row r="1051" spans="1:2" ht="15" customHeight="1" x14ac:dyDescent="0.2">
      <c r="A1051" s="32" t="str">
        <f>'Returns  Stats'!A1051</f>
        <v>2025-03-11</v>
      </c>
      <c r="B1051" s="35">
        <f>'MPT Optimisation'!$B$16*'Returns  Stats'!B1051+'MPT Optimisation'!$B$17*'Returns  Stats'!C1051+'MPT Optimisation'!$B$18*'Returns  Stats'!D1051+'MPT Optimisation'!$B$19*'Returns  Stats'!E1051</f>
        <v>-5.9819012055725368E-3</v>
      </c>
    </row>
    <row r="1052" spans="1:2" ht="15" customHeight="1" x14ac:dyDescent="0.2">
      <c r="A1052" s="32" t="str">
        <f>'Returns  Stats'!A1052</f>
        <v>2025-03-12</v>
      </c>
      <c r="B1052" s="35">
        <f>'MPT Optimisation'!$B$16*'Returns  Stats'!B1052+'MPT Optimisation'!$B$17*'Returns  Stats'!C1052+'MPT Optimisation'!$B$18*'Returns  Stats'!D1052+'MPT Optimisation'!$B$19*'Returns  Stats'!E1052</f>
        <v>4.8117877915176905E-3</v>
      </c>
    </row>
    <row r="1053" spans="1:2" ht="15" customHeight="1" x14ac:dyDescent="0.2">
      <c r="A1053" s="32" t="str">
        <f>'Returns  Stats'!A1053</f>
        <v>2025-03-13</v>
      </c>
      <c r="B1053" s="35">
        <f>'MPT Optimisation'!$B$16*'Returns  Stats'!B1053+'MPT Optimisation'!$B$17*'Returns  Stats'!C1053+'MPT Optimisation'!$B$18*'Returns  Stats'!D1053+'MPT Optimisation'!$B$19*'Returns  Stats'!E1053</f>
        <v>-1.1248717288436592E-2</v>
      </c>
    </row>
    <row r="1054" spans="1:2" ht="15" customHeight="1" x14ac:dyDescent="0.2">
      <c r="A1054" s="32" t="str">
        <f>'Returns  Stats'!A1054</f>
        <v>2025-03-14</v>
      </c>
      <c r="B1054" s="35">
        <f>'MPT Optimisation'!$B$16*'Returns  Stats'!B1054+'MPT Optimisation'!$B$17*'Returns  Stats'!C1054+'MPT Optimisation'!$B$18*'Returns  Stats'!D1054+'MPT Optimisation'!$B$19*'Returns  Stats'!E1054</f>
        <v>1.9265497893624289E-2</v>
      </c>
    </row>
    <row r="1055" spans="1:2" ht="15" customHeight="1" x14ac:dyDescent="0.2">
      <c r="A1055" s="32" t="str">
        <f>'Returns  Stats'!A1055</f>
        <v>2025-03-17</v>
      </c>
      <c r="B1055" s="35">
        <f>'MPT Optimisation'!$B$16*'Returns  Stats'!B1055+'MPT Optimisation'!$B$17*'Returns  Stats'!C1055+'MPT Optimisation'!$B$18*'Returns  Stats'!D1055+'MPT Optimisation'!$B$19*'Returns  Stats'!E1055</f>
        <v>9.2493804927981874E-3</v>
      </c>
    </row>
    <row r="1056" spans="1:2" ht="15" customHeight="1" x14ac:dyDescent="0.2">
      <c r="A1056" s="32" t="str">
        <f>'Returns  Stats'!A1056</f>
        <v>2025-03-18</v>
      </c>
      <c r="B1056" s="35">
        <f>'MPT Optimisation'!$B$16*'Returns  Stats'!B1056+'MPT Optimisation'!$B$17*'Returns  Stats'!C1056+'MPT Optimisation'!$B$18*'Returns  Stats'!D1056+'MPT Optimisation'!$B$19*'Returns  Stats'!E1056</f>
        <v>-6.7130832242455482E-3</v>
      </c>
    </row>
    <row r="1057" spans="1:2" ht="15" customHeight="1" x14ac:dyDescent="0.2">
      <c r="A1057" s="32" t="str">
        <f>'Returns  Stats'!A1057</f>
        <v>2025-03-19</v>
      </c>
      <c r="B1057" s="35">
        <f>'MPT Optimisation'!$B$16*'Returns  Stats'!B1057+'MPT Optimisation'!$B$17*'Returns  Stats'!C1057+'MPT Optimisation'!$B$18*'Returns  Stats'!D1057+'MPT Optimisation'!$B$19*'Returns  Stats'!E1057</f>
        <v>7.9130355509191008E-3</v>
      </c>
    </row>
    <row r="1058" spans="1:2" ht="15" customHeight="1" x14ac:dyDescent="0.2">
      <c r="A1058" s="32" t="str">
        <f>'Returns  Stats'!A1058</f>
        <v>2025-03-20</v>
      </c>
      <c r="B1058" s="35">
        <f>'MPT Optimisation'!$B$16*'Returns  Stats'!B1058+'MPT Optimisation'!$B$17*'Returns  Stats'!C1058+'MPT Optimisation'!$B$18*'Returns  Stats'!D1058+'MPT Optimisation'!$B$19*'Returns  Stats'!E1058</f>
        <v>-3.9503152424989795E-3</v>
      </c>
    </row>
    <row r="1059" spans="1:2" ht="15" customHeight="1" x14ac:dyDescent="0.2">
      <c r="A1059" s="32" t="str">
        <f>'Returns  Stats'!A1059</f>
        <v>2025-03-21</v>
      </c>
      <c r="B1059" s="35">
        <f>'MPT Optimisation'!$B$16*'Returns  Stats'!B1059+'MPT Optimisation'!$B$17*'Returns  Stats'!C1059+'MPT Optimisation'!$B$18*'Returns  Stats'!D1059+'MPT Optimisation'!$B$19*'Returns  Stats'!E1059</f>
        <v>-2.2302905912254035E-3</v>
      </c>
    </row>
    <row r="1060" spans="1:2" ht="15" customHeight="1" x14ac:dyDescent="0.2">
      <c r="A1060" s="32" t="str">
        <f>'Returns  Stats'!A1060</f>
        <v>2025-03-24</v>
      </c>
      <c r="B1060" s="35">
        <f>'MPT Optimisation'!$B$16*'Returns  Stats'!B1060+'MPT Optimisation'!$B$17*'Returns  Stats'!C1060+'MPT Optimisation'!$B$18*'Returns  Stats'!D1060+'MPT Optimisation'!$B$19*'Returns  Stats'!E1060</f>
        <v>1.16443352186272E-2</v>
      </c>
    </row>
    <row r="1061" spans="1:2" ht="15" customHeight="1" x14ac:dyDescent="0.2">
      <c r="A1061" s="32" t="str">
        <f>'Returns  Stats'!A1061</f>
        <v>2025-03-25</v>
      </c>
      <c r="B1061" s="35">
        <f>'MPT Optimisation'!$B$16*'Returns  Stats'!B1061+'MPT Optimisation'!$B$17*'Returns  Stats'!C1061+'MPT Optimisation'!$B$18*'Returns  Stats'!D1061+'MPT Optimisation'!$B$19*'Returns  Stats'!E1061</f>
        <v>2.1485738032475938E-3</v>
      </c>
    </row>
    <row r="1062" spans="1:2" ht="15" customHeight="1" x14ac:dyDescent="0.2">
      <c r="A1062" s="32" t="str">
        <f>'Returns  Stats'!A1062</f>
        <v>2025-03-26</v>
      </c>
      <c r="B1062" s="35">
        <f>'MPT Optimisation'!$B$16*'Returns  Stats'!B1062+'MPT Optimisation'!$B$17*'Returns  Stats'!C1062+'MPT Optimisation'!$B$18*'Returns  Stats'!D1062+'MPT Optimisation'!$B$19*'Returns  Stats'!E1062</f>
        <v>-1.0837693014303151E-2</v>
      </c>
    </row>
    <row r="1063" spans="1:2" ht="15" customHeight="1" x14ac:dyDescent="0.2">
      <c r="A1063" s="32" t="str">
        <f>'Returns  Stats'!A1063</f>
        <v>2025-03-27</v>
      </c>
      <c r="B1063" s="35">
        <f>'MPT Optimisation'!$B$16*'Returns  Stats'!B1063+'MPT Optimisation'!$B$17*'Returns  Stats'!C1063+'MPT Optimisation'!$B$18*'Returns  Stats'!D1063+'MPT Optimisation'!$B$19*'Returns  Stats'!E1063</f>
        <v>-2.0405225027933021E-3</v>
      </c>
    </row>
    <row r="1064" spans="1:2" ht="15" customHeight="1" x14ac:dyDescent="0.2">
      <c r="A1064" s="32" t="str">
        <f>'Returns  Stats'!A1064</f>
        <v>2025-03-28</v>
      </c>
      <c r="B1064" s="35">
        <f>'MPT Optimisation'!$B$16*'Returns  Stats'!B1064+'MPT Optimisation'!$B$17*'Returns  Stats'!C1064+'MPT Optimisation'!$B$18*'Returns  Stats'!D1064+'MPT Optimisation'!$B$19*'Returns  Stats'!E1064</f>
        <v>-1.4402134404335985E-2</v>
      </c>
    </row>
    <row r="1065" spans="1:2" ht="15" customHeight="1" x14ac:dyDescent="0.2">
      <c r="A1065" s="32" t="str">
        <f>'Returns  Stats'!A1065</f>
        <v>2025-03-31</v>
      </c>
      <c r="B1065" s="35">
        <f>'MPT Optimisation'!$B$16*'Returns  Stats'!B1065+'MPT Optimisation'!$B$17*'Returns  Stats'!C1065+'MPT Optimisation'!$B$18*'Returns  Stats'!D1065+'MPT Optimisation'!$B$19*'Returns  Stats'!E1065</f>
        <v>9.9710584267476143E-4</v>
      </c>
    </row>
    <row r="1066" spans="1:2" ht="15" customHeight="1" x14ac:dyDescent="0.2">
      <c r="A1066" s="32" t="str">
        <f>'Returns  Stats'!A1066</f>
        <v>2025-04-01</v>
      </c>
      <c r="B1066" s="35">
        <f>'MPT Optimisation'!$B$16*'Returns  Stats'!B1066+'MPT Optimisation'!$B$17*'Returns  Stats'!C1066+'MPT Optimisation'!$B$18*'Returns  Stats'!D1066+'MPT Optimisation'!$B$19*'Returns  Stats'!E1066</f>
        <v>2.6778826120418928E-3</v>
      </c>
    </row>
    <row r="1067" spans="1:2" ht="15" customHeight="1" x14ac:dyDescent="0.2">
      <c r="A1067" s="32" t="str">
        <f>'Returns  Stats'!A1067</f>
        <v>2025-04-02</v>
      </c>
      <c r="B1067" s="35">
        <f>'MPT Optimisation'!$B$16*'Returns  Stats'!B1067+'MPT Optimisation'!$B$17*'Returns  Stats'!C1067+'MPT Optimisation'!$B$18*'Returns  Stats'!D1067+'MPT Optimisation'!$B$19*'Returns  Stats'!E1067</f>
        <v>5.6875294410335892E-3</v>
      </c>
    </row>
    <row r="1068" spans="1:2" ht="15" customHeight="1" x14ac:dyDescent="0.2">
      <c r="A1068" s="32" t="str">
        <f>'Returns  Stats'!A1068</f>
        <v>2025-04-03</v>
      </c>
      <c r="B1068" s="35">
        <f>'MPT Optimisation'!$B$16*'Returns  Stats'!B1068+'MPT Optimisation'!$B$17*'Returns  Stats'!C1068+'MPT Optimisation'!$B$18*'Returns  Stats'!D1068+'MPT Optimisation'!$B$19*'Returns  Stats'!E1068</f>
        <v>-3.7932656834755489E-2</v>
      </c>
    </row>
    <row r="1069" spans="1:2" ht="15" customHeight="1" x14ac:dyDescent="0.2">
      <c r="A1069" s="32" t="str">
        <f>'Returns  Stats'!A1069</f>
        <v>2025-04-04</v>
      </c>
      <c r="B1069" s="35">
        <f>'MPT Optimisation'!$B$16*'Returns  Stats'!B1069+'MPT Optimisation'!$B$17*'Returns  Stats'!C1069+'MPT Optimisation'!$B$18*'Returns  Stats'!D1069+'MPT Optimisation'!$B$19*'Returns  Stats'!E1069</f>
        <v>-5.7130359688301005E-2</v>
      </c>
    </row>
    <row r="1070" spans="1:2" ht="15" customHeight="1" x14ac:dyDescent="0.2">
      <c r="A1070" s="32" t="str">
        <f>'Returns  Stats'!A1070</f>
        <v>2025-04-07</v>
      </c>
      <c r="B1070" s="35">
        <f>'MPT Optimisation'!$B$16*'Returns  Stats'!B1070+'MPT Optimisation'!$B$17*'Returns  Stats'!C1070+'MPT Optimisation'!$B$18*'Returns  Stats'!D1070+'MPT Optimisation'!$B$19*'Returns  Stats'!E1070</f>
        <v>-1.1139754580027889E-2</v>
      </c>
    </row>
    <row r="1071" spans="1:2" ht="15" customHeight="1" x14ac:dyDescent="0.2">
      <c r="A1071" s="32" t="str">
        <f>'Returns  Stats'!A1071</f>
        <v>2025-04-08</v>
      </c>
      <c r="B1071" s="35">
        <f>'MPT Optimisation'!$B$16*'Returns  Stats'!B1071+'MPT Optimisation'!$B$17*'Returns  Stats'!C1071+'MPT Optimisation'!$B$18*'Returns  Stats'!D1071+'MPT Optimisation'!$B$19*'Returns  Stats'!E1071</f>
        <v>-1.2098379911565538E-2</v>
      </c>
    </row>
    <row r="1072" spans="1:2" ht="15" customHeight="1" x14ac:dyDescent="0.2">
      <c r="A1072" s="32" t="str">
        <f>'Returns  Stats'!A1072</f>
        <v>2025-04-09</v>
      </c>
      <c r="B1072" s="35">
        <f>'MPT Optimisation'!$B$16*'Returns  Stats'!B1072+'MPT Optimisation'!$B$17*'Returns  Stats'!C1072+'MPT Optimisation'!$B$18*'Returns  Stats'!D1072+'MPT Optimisation'!$B$19*'Returns  Stats'!E1072</f>
        <v>8.7118938313700295E-2</v>
      </c>
    </row>
    <row r="1073" spans="1:2" ht="15" customHeight="1" x14ac:dyDescent="0.2">
      <c r="A1073" s="32" t="str">
        <f>'Returns  Stats'!A1073</f>
        <v>2025-04-10</v>
      </c>
      <c r="B1073" s="35">
        <f>'MPT Optimisation'!$B$16*'Returns  Stats'!B1073+'MPT Optimisation'!$B$17*'Returns  Stats'!C1073+'MPT Optimisation'!$B$18*'Returns  Stats'!D1073+'MPT Optimisation'!$B$19*'Returns  Stats'!E1073</f>
        <v>-3.2145959558408689E-2</v>
      </c>
    </row>
    <row r="1074" spans="1:2" ht="15" customHeight="1" x14ac:dyDescent="0.2">
      <c r="A1074" s="32" t="str">
        <f>'Returns  Stats'!A1074</f>
        <v>2025-04-11</v>
      </c>
      <c r="B1074" s="35">
        <f>'MPT Optimisation'!$B$16*'Returns  Stats'!B1074+'MPT Optimisation'!$B$17*'Returns  Stats'!C1074+'MPT Optimisation'!$B$18*'Returns  Stats'!D1074+'MPT Optimisation'!$B$19*'Returns  Stats'!E1074</f>
        <v>1.8120722038538258E-2</v>
      </c>
    </row>
    <row r="1075" spans="1:2" ht="15" customHeight="1" x14ac:dyDescent="0.2">
      <c r="A1075" s="32" t="str">
        <f>'Returns  Stats'!A1075</f>
        <v>2025-04-14</v>
      </c>
      <c r="B1075" s="35">
        <f>'MPT Optimisation'!$B$16*'Returns  Stats'!B1075+'MPT Optimisation'!$B$17*'Returns  Stats'!C1075+'MPT Optimisation'!$B$18*'Returns  Stats'!D1075+'MPT Optimisation'!$B$19*'Returns  Stats'!E1075</f>
        <v>1.0081684924985044E-2</v>
      </c>
    </row>
    <row r="1076" spans="1:2" ht="15" customHeight="1" x14ac:dyDescent="0.2">
      <c r="A1076" s="32" t="str">
        <f>'Returns  Stats'!A1076</f>
        <v>2025-04-15</v>
      </c>
      <c r="B1076" s="35">
        <f>'MPT Optimisation'!$B$16*'Returns  Stats'!B1076+'MPT Optimisation'!$B$17*'Returns  Stats'!C1076+'MPT Optimisation'!$B$18*'Returns  Stats'!D1076+'MPT Optimisation'!$B$19*'Returns  Stats'!E1076</f>
        <v>1.9160189702996046E-3</v>
      </c>
    </row>
    <row r="1077" spans="1:2" ht="15" customHeight="1" x14ac:dyDescent="0.2">
      <c r="A1077" s="32" t="str">
        <f>'Returns  Stats'!A1077</f>
        <v>2025-04-16</v>
      </c>
      <c r="B1077" s="35">
        <f>'MPT Optimisation'!$B$16*'Returns  Stats'!B1077+'MPT Optimisation'!$B$17*'Returns  Stats'!C1077+'MPT Optimisation'!$B$18*'Returns  Stats'!D1077+'MPT Optimisation'!$B$19*'Returns  Stats'!E1077</f>
        <v>-1.3500449351834165E-2</v>
      </c>
    </row>
    <row r="1078" spans="1:2" ht="15" customHeight="1" x14ac:dyDescent="0.2">
      <c r="A1078" s="32" t="str">
        <f>'Returns  Stats'!A1078</f>
        <v>2025-04-17</v>
      </c>
      <c r="B1078" s="35">
        <f>'MPT Optimisation'!$B$16*'Returns  Stats'!B1078+'MPT Optimisation'!$B$17*'Returns  Stats'!C1078+'MPT Optimisation'!$B$18*'Returns  Stats'!D1078+'MPT Optimisation'!$B$19*'Returns  Stats'!E1078</f>
        <v>5.128515991651616E-3</v>
      </c>
    </row>
    <row r="1079" spans="1:2" ht="15" customHeight="1" x14ac:dyDescent="0.2">
      <c r="A1079" s="32" t="str">
        <f>'Returns  Stats'!A1079</f>
        <v>2025-04-21</v>
      </c>
      <c r="B1079" s="35">
        <f>'MPT Optimisation'!$B$16*'Returns  Stats'!B1079+'MPT Optimisation'!$B$17*'Returns  Stats'!C1079+'MPT Optimisation'!$B$18*'Returns  Stats'!D1079+'MPT Optimisation'!$B$19*'Returns  Stats'!E1079</f>
        <v>-1.7231958550907343E-2</v>
      </c>
    </row>
    <row r="1080" spans="1:2" ht="15" customHeight="1" x14ac:dyDescent="0.2">
      <c r="A1080" s="32" t="str">
        <f>'Returns  Stats'!A1080</f>
        <v>2025-04-22</v>
      </c>
      <c r="B1080" s="35">
        <f>'MPT Optimisation'!$B$16*'Returns  Stats'!B1080+'MPT Optimisation'!$B$17*'Returns  Stats'!C1080+'MPT Optimisation'!$B$18*'Returns  Stats'!D1080+'MPT Optimisation'!$B$19*'Returns  Stats'!E1080</f>
        <v>2.2547091898380188E-2</v>
      </c>
    </row>
    <row r="1081" spans="1:2" ht="15" customHeight="1" x14ac:dyDescent="0.2">
      <c r="A1081" s="32" t="str">
        <f>'Returns  Stats'!A1081</f>
        <v>2025-04-23</v>
      </c>
      <c r="B1081" s="35">
        <f>'MPT Optimisation'!$B$16*'Returns  Stats'!B1081+'MPT Optimisation'!$B$17*'Returns  Stats'!C1081+'MPT Optimisation'!$B$18*'Returns  Stats'!D1081+'MPT Optimisation'!$B$19*'Returns  Stats'!E1081</f>
        <v>1.1633022644894185E-2</v>
      </c>
    </row>
    <row r="1082" spans="1:2" ht="15" customHeight="1" x14ac:dyDescent="0.2">
      <c r="A1082" s="32" t="str">
        <f>'Returns  Stats'!A1082</f>
        <v>2025-04-24</v>
      </c>
      <c r="B1082" s="35">
        <f>'MPT Optimisation'!$B$16*'Returns  Stats'!B1082+'MPT Optimisation'!$B$17*'Returns  Stats'!C1082+'MPT Optimisation'!$B$18*'Returns  Stats'!D1082+'MPT Optimisation'!$B$19*'Returns  Stats'!E1082</f>
        <v>1.70931654066943E-2</v>
      </c>
    </row>
    <row r="1083" spans="1:2" ht="15" customHeight="1" x14ac:dyDescent="0.2">
      <c r="A1083" s="32" t="str">
        <f>'Returns  Stats'!A1083</f>
        <v>2025-04-25</v>
      </c>
      <c r="B1083" s="35">
        <f>'MPT Optimisation'!$B$16*'Returns  Stats'!B1083+'MPT Optimisation'!$B$17*'Returns  Stats'!C1083+'MPT Optimisation'!$B$18*'Returns  Stats'!D1083+'MPT Optimisation'!$B$19*'Returns  Stats'!E1083</f>
        <v>5.0670329794280985E-3</v>
      </c>
    </row>
    <row r="1084" spans="1:2" ht="15" customHeight="1" x14ac:dyDescent="0.2">
      <c r="A1084" s="32" t="str">
        <f>'Returns  Stats'!A1084</f>
        <v>2025-04-28</v>
      </c>
      <c r="B1084" s="35">
        <f>'MPT Optimisation'!$B$16*'Returns  Stats'!B1084+'MPT Optimisation'!$B$17*'Returns  Stats'!C1084+'MPT Optimisation'!$B$18*'Returns  Stats'!D1084+'MPT Optimisation'!$B$19*'Returns  Stats'!E1084</f>
        <v>3.3090101786357627E-3</v>
      </c>
    </row>
    <row r="1085" spans="1:2" ht="15" customHeight="1" x14ac:dyDescent="0.2">
      <c r="A1085" s="32" t="str">
        <f>'Returns  Stats'!A1085</f>
        <v>2025-04-29</v>
      </c>
      <c r="B1085" s="35">
        <f>'MPT Optimisation'!$B$16*'Returns  Stats'!B1085+'MPT Optimisation'!$B$17*'Returns  Stats'!C1085+'MPT Optimisation'!$B$18*'Returns  Stats'!D1085+'MPT Optimisation'!$B$19*'Returns  Stats'!E1085</f>
        <v>4.6005236642730589E-3</v>
      </c>
    </row>
    <row r="1086" spans="1:2" ht="15" customHeight="1" x14ac:dyDescent="0.2">
      <c r="A1086" s="32" t="str">
        <f>'Returns  Stats'!A1086</f>
        <v>2025-04-30</v>
      </c>
      <c r="B1086" s="35">
        <f>'MPT Optimisation'!$B$16*'Returns  Stats'!B1086+'MPT Optimisation'!$B$17*'Returns  Stats'!C1086+'MPT Optimisation'!$B$18*'Returns  Stats'!D1086+'MPT Optimisation'!$B$19*'Returns  Stats'!E1086</f>
        <v>1.2920031631589727E-4</v>
      </c>
    </row>
    <row r="1087" spans="1:2" ht="15" customHeight="1" x14ac:dyDescent="0.2">
      <c r="A1087" s="32" t="str">
        <f>'Returns  Stats'!A1087</f>
        <v>2025-05-01</v>
      </c>
      <c r="B1087" s="35">
        <f>'MPT Optimisation'!$B$16*'Returns  Stats'!B1087+'MPT Optimisation'!$B$17*'Returns  Stats'!C1087+'MPT Optimisation'!$B$18*'Returns  Stats'!D1087+'MPT Optimisation'!$B$19*'Returns  Stats'!E1087</f>
        <v>2.8108549755151866E-3</v>
      </c>
    </row>
    <row r="1088" spans="1:2" ht="15" customHeight="1" x14ac:dyDescent="0.2">
      <c r="A1088" s="32" t="str">
        <f>'Returns  Stats'!A1088</f>
        <v>2025-05-02</v>
      </c>
      <c r="B1088" s="35">
        <f>'MPT Optimisation'!$B$16*'Returns  Stats'!B1088+'MPT Optimisation'!$B$17*'Returns  Stats'!C1088+'MPT Optimisation'!$B$18*'Returns  Stats'!D1088+'MPT Optimisation'!$B$19*'Returns  Stats'!E1088</f>
        <v>1.5478531634921504E-2</v>
      </c>
    </row>
    <row r="1089" spans="1:2" ht="15" customHeight="1" x14ac:dyDescent="0.2">
      <c r="A1089" s="32" t="str">
        <f>'Returns  Stats'!A1089</f>
        <v>2025-05-05</v>
      </c>
      <c r="B1089" s="35">
        <f>'MPT Optimisation'!$B$16*'Returns  Stats'!B1089+'MPT Optimisation'!$B$17*'Returns  Stats'!C1089+'MPT Optimisation'!$B$18*'Returns  Stats'!D1089+'MPT Optimisation'!$B$19*'Returns  Stats'!E1089</f>
        <v>-3.0759177359212962E-3</v>
      </c>
    </row>
    <row r="1090" spans="1:2" ht="15" customHeight="1" x14ac:dyDescent="0.2">
      <c r="A1090" s="32" t="str">
        <f>'Returns  Stats'!A1090</f>
        <v>2025-05-06</v>
      </c>
      <c r="B1090" s="35">
        <f>'MPT Optimisation'!$B$16*'Returns  Stats'!B1090+'MPT Optimisation'!$B$17*'Returns  Stats'!C1090+'MPT Optimisation'!$B$18*'Returns  Stats'!D1090+'MPT Optimisation'!$B$19*'Returns  Stats'!E1090</f>
        <v>-5.5151067588142472E-3</v>
      </c>
    </row>
    <row r="1091" spans="1:2" ht="15" customHeight="1" x14ac:dyDescent="0.2">
      <c r="A1091" s="32" t="str">
        <f>'Returns  Stats'!A1091</f>
        <v>2025-05-07</v>
      </c>
      <c r="B1091" s="35">
        <f>'MPT Optimisation'!$B$16*'Returns  Stats'!B1091+'MPT Optimisation'!$B$17*'Returns  Stats'!C1091+'MPT Optimisation'!$B$18*'Returns  Stats'!D1091+'MPT Optimisation'!$B$19*'Returns  Stats'!E1091</f>
        <v>1.610289688674804E-3</v>
      </c>
    </row>
    <row r="1092" spans="1:2" ht="15" customHeight="1" x14ac:dyDescent="0.2">
      <c r="A1092" s="32" t="str">
        <f>'Returns  Stats'!A1092</f>
        <v>2025-05-08</v>
      </c>
      <c r="B1092" s="35">
        <f>'MPT Optimisation'!$B$16*'Returns  Stats'!B1092+'MPT Optimisation'!$B$17*'Returns  Stats'!C1092+'MPT Optimisation'!$B$18*'Returns  Stats'!D1092+'MPT Optimisation'!$B$19*'Returns  Stats'!E1092</f>
        <v>3.2107193886187599E-3</v>
      </c>
    </row>
    <row r="1093" spans="1:2" ht="15" customHeight="1" x14ac:dyDescent="0.2">
      <c r="A1093" s="32" t="str">
        <f>'Returns  Stats'!A1093</f>
        <v>2025-05-09</v>
      </c>
      <c r="B1093" s="35">
        <f>'MPT Optimisation'!$B$16*'Returns  Stats'!B1093+'MPT Optimisation'!$B$17*'Returns  Stats'!C1093+'MPT Optimisation'!$B$18*'Returns  Stats'!D1093+'MPT Optimisation'!$B$19*'Returns  Stats'!E1093</f>
        <v>1.1886563508919257E-3</v>
      </c>
    </row>
    <row r="1094" spans="1:2" ht="15" customHeight="1" x14ac:dyDescent="0.2">
      <c r="A1094" s="32" t="str">
        <f>'Returns  Stats'!A1094</f>
        <v>2025-05-12</v>
      </c>
      <c r="B1094" s="35">
        <f>'MPT Optimisation'!$B$16*'Returns  Stats'!B1094+'MPT Optimisation'!$B$17*'Returns  Stats'!C1094+'MPT Optimisation'!$B$18*'Returns  Stats'!D1094+'MPT Optimisation'!$B$19*'Returns  Stats'!E1094</f>
        <v>2.16875410133982E-2</v>
      </c>
    </row>
    <row r="1095" spans="1:2" ht="15" customHeight="1" x14ac:dyDescent="0.2">
      <c r="A1095" s="32" t="str">
        <f>'Returns  Stats'!A1095</f>
        <v>2025-05-13</v>
      </c>
      <c r="B1095" s="35">
        <f>'MPT Optimisation'!$B$16*'Returns  Stats'!B1095+'MPT Optimisation'!$B$17*'Returns  Stats'!C1095+'MPT Optimisation'!$B$18*'Returns  Stats'!D1095+'MPT Optimisation'!$B$19*'Returns  Stats'!E1095</f>
        <v>3.7672139816320276E-3</v>
      </c>
    </row>
    <row r="1096" spans="1:2" ht="15" customHeight="1" x14ac:dyDescent="0.2">
      <c r="A1096" s="32" t="str">
        <f>'Returns  Stats'!A1096</f>
        <v>2025-05-14</v>
      </c>
      <c r="B1096" s="35">
        <f>'MPT Optimisation'!$B$16*'Returns  Stats'!B1096+'MPT Optimisation'!$B$17*'Returns  Stats'!C1096+'MPT Optimisation'!$B$18*'Returns  Stats'!D1096+'MPT Optimisation'!$B$19*'Returns  Stats'!E1096</f>
        <v>-1.6977111738279262E-3</v>
      </c>
    </row>
    <row r="1097" spans="1:2" ht="15" customHeight="1" x14ac:dyDescent="0.2">
      <c r="A1097" s="32" t="str">
        <f>'Returns  Stats'!A1097</f>
        <v>2025-05-15</v>
      </c>
      <c r="B1097" s="35">
        <f>'MPT Optimisation'!$B$16*'Returns  Stats'!B1097+'MPT Optimisation'!$B$17*'Returns  Stats'!C1097+'MPT Optimisation'!$B$18*'Returns  Stats'!D1097+'MPT Optimisation'!$B$19*'Returns  Stats'!E1097</f>
        <v>6.9183773728693776E-3</v>
      </c>
    </row>
    <row r="1098" spans="1:2" ht="15" customHeight="1" x14ac:dyDescent="0.2">
      <c r="A1098" s="32" t="str">
        <f>'Returns  Stats'!A1098</f>
        <v>2025-05-16</v>
      </c>
      <c r="B1098" s="35">
        <f>'MPT Optimisation'!$B$16*'Returns  Stats'!B1098+'MPT Optimisation'!$B$17*'Returns  Stats'!C1098+'MPT Optimisation'!$B$18*'Returns  Stats'!D1098+'MPT Optimisation'!$B$19*'Returns  Stats'!E1098</f>
        <v>5.4511657521951742E-3</v>
      </c>
    </row>
    <row r="1099" spans="1:2" ht="15" customHeight="1" x14ac:dyDescent="0.2">
      <c r="A1099" s="32" t="str">
        <f>'Returns  Stats'!A1099</f>
        <v>2025-05-19</v>
      </c>
      <c r="B1099" s="35">
        <f>'MPT Optimisation'!$B$16*'Returns  Stats'!B1099+'MPT Optimisation'!$B$17*'Returns  Stats'!C1099+'MPT Optimisation'!$B$18*'Returns  Stats'!D1099+'MPT Optimisation'!$B$19*'Returns  Stats'!E1099</f>
        <v>3.3216321727950245E-3</v>
      </c>
    </row>
    <row r="1100" spans="1:2" ht="15" customHeight="1" x14ac:dyDescent="0.2">
      <c r="A1100" s="32" t="str">
        <f>'Returns  Stats'!A1100</f>
        <v>2025-05-20</v>
      </c>
      <c r="B1100" s="35">
        <f>'MPT Optimisation'!$B$16*'Returns  Stats'!B1100+'MPT Optimisation'!$B$17*'Returns  Stats'!C1100+'MPT Optimisation'!$B$18*'Returns  Stats'!D1100+'MPT Optimisation'!$B$19*'Returns  Stats'!E1100</f>
        <v>-9.1701524582683532E-4</v>
      </c>
    </row>
    <row r="1101" spans="1:2" ht="15" customHeight="1" x14ac:dyDescent="0.2">
      <c r="A1101" s="32" t="str">
        <f>'Returns  Stats'!A1101</f>
        <v>2025-05-21</v>
      </c>
      <c r="B1101" s="35">
        <f>'MPT Optimisation'!$B$16*'Returns  Stats'!B1101+'MPT Optimisation'!$B$17*'Returns  Stats'!C1101+'MPT Optimisation'!$B$18*'Returns  Stats'!D1101+'MPT Optimisation'!$B$19*'Returns  Stats'!E1101</f>
        <v>-1.3865804854209168E-2</v>
      </c>
    </row>
    <row r="1102" spans="1:2" ht="15" customHeight="1" x14ac:dyDescent="0.2">
      <c r="A1102" s="32" t="str">
        <f>'Returns  Stats'!A1102</f>
        <v>2025-05-22</v>
      </c>
      <c r="B1102" s="35">
        <f>'MPT Optimisation'!$B$16*'Returns  Stats'!B1102+'MPT Optimisation'!$B$17*'Returns  Stats'!C1102+'MPT Optimisation'!$B$18*'Returns  Stats'!D1102+'MPT Optimisation'!$B$19*'Returns  Stats'!E1102</f>
        <v>-3.5947257607263914E-4</v>
      </c>
    </row>
    <row r="1103" spans="1:2" ht="15" customHeight="1" x14ac:dyDescent="0.2">
      <c r="A1103" s="32" t="str">
        <f>'Returns  Stats'!A1103</f>
        <v>2025-05-23</v>
      </c>
      <c r="B1103" s="35">
        <f>'MPT Optimisation'!$B$16*'Returns  Stats'!B1103+'MPT Optimisation'!$B$17*'Returns  Stats'!C1103+'MPT Optimisation'!$B$18*'Returns  Stats'!D1103+'MPT Optimisation'!$B$19*'Returns  Stats'!E1103</f>
        <v>-2.9822741089871705E-3</v>
      </c>
    </row>
    <row r="1104" spans="1:2" ht="15" customHeight="1" x14ac:dyDescent="0.2">
      <c r="A1104" s="32" t="str">
        <f>'Returns  Stats'!A1104</f>
        <v>2025-05-27</v>
      </c>
      <c r="B1104" s="35">
        <f>'MPT Optimisation'!$B$16*'Returns  Stats'!B1104+'MPT Optimisation'!$B$17*'Returns  Stats'!C1104+'MPT Optimisation'!$B$18*'Returns  Stats'!D1104+'MPT Optimisation'!$B$19*'Returns  Stats'!E1104</f>
        <v>1.7795703716246482E-2</v>
      </c>
    </row>
    <row r="1105" spans="1:2" ht="15" customHeight="1" x14ac:dyDescent="0.2">
      <c r="A1105" s="32" t="str">
        <f>'Returns  Stats'!A1105</f>
        <v>2025-05-28</v>
      </c>
      <c r="B1105" s="35">
        <f>'MPT Optimisation'!$B$16*'Returns  Stats'!B1105+'MPT Optimisation'!$B$17*'Returns  Stats'!C1105+'MPT Optimisation'!$B$18*'Returns  Stats'!D1105+'MPT Optimisation'!$B$19*'Returns  Stats'!E1105</f>
        <v>-7.1294047101821412E-3</v>
      </c>
    </row>
    <row r="1106" spans="1:2" ht="15" customHeight="1" x14ac:dyDescent="0.2">
      <c r="A1106" s="32" t="str">
        <f>'Returns  Stats'!A1106</f>
        <v>2025-05-29</v>
      </c>
      <c r="B1106" s="35">
        <f>'MPT Optimisation'!$B$16*'Returns  Stats'!B1106+'MPT Optimisation'!$B$17*'Returns  Stats'!C1106+'MPT Optimisation'!$B$18*'Returns  Stats'!D1106+'MPT Optimisation'!$B$19*'Returns  Stats'!E1106</f>
        <v>3.8912125558773106E-3</v>
      </c>
    </row>
    <row r="1107" spans="1:2" ht="15" customHeight="1" x14ac:dyDescent="0.2">
      <c r="A1107" s="32" t="str">
        <f>'Returns  Stats'!A1107</f>
        <v>2025-05-30</v>
      </c>
      <c r="B1107" s="35">
        <f>'MPT Optimisation'!$B$16*'Returns  Stats'!B1107+'MPT Optimisation'!$B$17*'Returns  Stats'!C1107+'MPT Optimisation'!$B$18*'Returns  Stats'!D1107+'MPT Optimisation'!$B$19*'Returns  Stats'!E1107</f>
        <v>6.6139109626794918E-5</v>
      </c>
    </row>
    <row r="1108" spans="1:2" ht="15" customHeight="1" x14ac:dyDescent="0.2">
      <c r="A1108" s="32" t="str">
        <f>'Returns  Stats'!A1108</f>
        <v>2025-06-02</v>
      </c>
      <c r="B1108" s="35">
        <f>'MPT Optimisation'!$B$16*'Returns  Stats'!B1108+'MPT Optimisation'!$B$17*'Returns  Stats'!C1108+'MPT Optimisation'!$B$18*'Returns  Stats'!D1108+'MPT Optimisation'!$B$19*'Returns  Stats'!E1108</f>
        <v>6.2081323860979807E-3</v>
      </c>
    </row>
    <row r="1109" spans="1:2" ht="15" customHeight="1" x14ac:dyDescent="0.2">
      <c r="A1109" s="32" t="str">
        <f>'Returns  Stats'!A1109</f>
        <v>2025-06-03</v>
      </c>
      <c r="B1109" s="35">
        <f>'MPT Optimisation'!$B$16*'Returns  Stats'!B1109+'MPT Optimisation'!$B$17*'Returns  Stats'!C1109+'MPT Optimisation'!$B$18*'Returns  Stats'!D1109+'MPT Optimisation'!$B$19*'Returns  Stats'!E1109</f>
        <v>1.7299604872402787E-3</v>
      </c>
    </row>
    <row r="1110" spans="1:2" ht="15" customHeight="1" x14ac:dyDescent="0.2">
      <c r="A1110" s="32" t="str">
        <f>'Returns  Stats'!A1110</f>
        <v>2025-06-04</v>
      </c>
      <c r="B1110" s="35">
        <f>'MPT Optimisation'!$B$16*'Returns  Stats'!B1110+'MPT Optimisation'!$B$17*'Returns  Stats'!C1110+'MPT Optimisation'!$B$18*'Returns  Stats'!D1110+'MPT Optimisation'!$B$19*'Returns  Stats'!E1110</f>
        <v>1.7233412363156452E-3</v>
      </c>
    </row>
    <row r="1111" spans="1:2" ht="15" customHeight="1" x14ac:dyDescent="0.2">
      <c r="A1111" s="32" t="str">
        <f>'Returns  Stats'!A1111</f>
        <v>2025-06-05</v>
      </c>
      <c r="B1111" s="35">
        <f>'MPT Optimisation'!$B$16*'Returns  Stats'!B1111+'MPT Optimisation'!$B$17*'Returns  Stats'!C1111+'MPT Optimisation'!$B$18*'Returns  Stats'!D1111+'MPT Optimisation'!$B$19*'Returns  Stats'!E1111</f>
        <v>-3.6813940930444876E-3</v>
      </c>
    </row>
    <row r="1112" spans="1:2" ht="15" customHeight="1" x14ac:dyDescent="0.2">
      <c r="A1112" s="32" t="str">
        <f>'Returns  Stats'!A1112</f>
        <v>2025-06-06</v>
      </c>
      <c r="B1112" s="35">
        <f>'MPT Optimisation'!$B$16*'Returns  Stats'!B1112+'MPT Optimisation'!$B$17*'Returns  Stats'!C1112+'MPT Optimisation'!$B$18*'Returns  Stats'!D1112+'MPT Optimisation'!$B$19*'Returns  Stats'!E1112</f>
        <v>8.0513236879599433E-3</v>
      </c>
    </row>
    <row r="1113" spans="1:2" ht="15" customHeight="1" x14ac:dyDescent="0.2">
      <c r="A1113" s="32" t="str">
        <f>'Returns  Stats'!A1113</f>
        <v>2025-06-09</v>
      </c>
      <c r="B1113" s="35">
        <f>'MPT Optimisation'!$B$16*'Returns  Stats'!B1113+'MPT Optimisation'!$B$17*'Returns  Stats'!C1113+'MPT Optimisation'!$B$18*'Returns  Stats'!D1113+'MPT Optimisation'!$B$19*'Returns  Stats'!E1113</f>
        <v>5.8295317257729402E-4</v>
      </c>
    </row>
    <row r="1114" spans="1:2" ht="15" customHeight="1" x14ac:dyDescent="0.2">
      <c r="A1114" s="32" t="str">
        <f>'Returns  Stats'!A1114</f>
        <v>2025-06-10</v>
      </c>
      <c r="B1114" s="35">
        <f>'MPT Optimisation'!$B$16*'Returns  Stats'!B1114+'MPT Optimisation'!$B$17*'Returns  Stats'!C1114+'MPT Optimisation'!$B$18*'Returns  Stats'!D1114+'MPT Optimisation'!$B$19*'Returns  Stats'!E1114</f>
        <v>4.1111092936814359E-3</v>
      </c>
    </row>
    <row r="1115" spans="1:2" ht="15" customHeight="1" x14ac:dyDescent="0.2">
      <c r="A1115" s="32" t="str">
        <f>'Returns  Stats'!A1115</f>
        <v>2025-06-11</v>
      </c>
      <c r="B1115" s="35">
        <f>'MPT Optimisation'!$B$16*'Returns  Stats'!B1115+'MPT Optimisation'!$B$17*'Returns  Stats'!C1115+'MPT Optimisation'!$B$18*'Returns  Stats'!D1115+'MPT Optimisation'!$B$19*'Returns  Stats'!E1115</f>
        <v>-2.1983044099833536E-3</v>
      </c>
    </row>
    <row r="1116" spans="1:2" ht="15" customHeight="1" x14ac:dyDescent="0.2">
      <c r="A1116" s="32" t="str">
        <f>'Returns  Stats'!A1116</f>
        <v>2025-06-12</v>
      </c>
      <c r="B1116" s="35">
        <f>'MPT Optimisation'!$B$16*'Returns  Stats'!B1116+'MPT Optimisation'!$B$17*'Returns  Stats'!C1116+'MPT Optimisation'!$B$18*'Returns  Stats'!D1116+'MPT Optimisation'!$B$19*'Returns  Stats'!E1116</f>
        <v>4.6600399316768289E-3</v>
      </c>
    </row>
    <row r="1117" spans="1:2" ht="15" customHeight="1" x14ac:dyDescent="0.2">
      <c r="A1117" s="32" t="str">
        <f>'Returns  Stats'!A1117</f>
        <v>2025-06-13</v>
      </c>
      <c r="B1117" s="35">
        <f>'MPT Optimisation'!$B$16*'Returns  Stats'!B1117+'MPT Optimisation'!$B$17*'Returns  Stats'!C1117+'MPT Optimisation'!$B$18*'Returns  Stats'!D1117+'MPT Optimisation'!$B$19*'Returns  Stats'!E1117</f>
        <v>-1.1601914777768962E-2</v>
      </c>
    </row>
    <row r="1118" spans="1:2" ht="15" customHeight="1" x14ac:dyDescent="0.2">
      <c r="A1118" s="32" t="str">
        <f>'Returns  Stats'!A1118</f>
        <v>2025-06-16</v>
      </c>
      <c r="B1118" s="35">
        <f>'MPT Optimisation'!$B$16*'Returns  Stats'!B1118+'MPT Optimisation'!$B$17*'Returns  Stats'!C1118+'MPT Optimisation'!$B$18*'Returns  Stats'!D1118+'MPT Optimisation'!$B$19*'Returns  Stats'!E1118</f>
        <v>6.9891502461334742E-3</v>
      </c>
    </row>
    <row r="1119" spans="1:2" ht="15" customHeight="1" x14ac:dyDescent="0.2">
      <c r="A1119" s="32" t="str">
        <f>'Returns  Stats'!A1119</f>
        <v>2025-06-17</v>
      </c>
      <c r="B1119" s="35">
        <f>'MPT Optimisation'!$B$16*'Returns  Stats'!B1119+'MPT Optimisation'!$B$17*'Returns  Stats'!C1119+'MPT Optimisation'!$B$18*'Returns  Stats'!D1119+'MPT Optimisation'!$B$19*'Returns  Stats'!E1119</f>
        <v>-8.7035627366292834E-3</v>
      </c>
    </row>
    <row r="1120" spans="1:2" ht="15" customHeight="1" x14ac:dyDescent="0.2">
      <c r="A1120" s="32" t="str">
        <f>'Returns  Stats'!A1120</f>
        <v>2025-06-18</v>
      </c>
      <c r="B1120" s="35">
        <f>'MPT Optimisation'!$B$16*'Returns  Stats'!B1120+'MPT Optimisation'!$B$17*'Returns  Stats'!C1120+'MPT Optimisation'!$B$18*'Returns  Stats'!D1120+'MPT Optimisation'!$B$19*'Returns  Stats'!E1120</f>
        <v>9.5068388760060078E-4</v>
      </c>
    </row>
    <row r="1121" spans="1:2" ht="15" customHeight="1" x14ac:dyDescent="0.2">
      <c r="A1121" s="32" t="str">
        <f>'Returns  Stats'!A1121</f>
        <v>2025-06-20</v>
      </c>
      <c r="B1121" s="35">
        <f>'MPT Optimisation'!$B$16*'Returns  Stats'!B1121+'MPT Optimisation'!$B$17*'Returns  Stats'!C1121+'MPT Optimisation'!$B$18*'Returns  Stats'!D1121+'MPT Optimisation'!$B$19*'Returns  Stats'!E1121</f>
        <v>-4.0608896556629404E-3</v>
      </c>
    </row>
    <row r="1122" spans="1:2" ht="15" customHeight="1" x14ac:dyDescent="0.2">
      <c r="A1122" s="32" t="str">
        <f>'Returns  Stats'!A1122</f>
        <v>2025-06-23</v>
      </c>
      <c r="B1122" s="35">
        <f>'MPT Optimisation'!$B$16*'Returns  Stats'!B1122+'MPT Optimisation'!$B$17*'Returns  Stats'!C1122+'MPT Optimisation'!$B$18*'Returns  Stats'!D1122+'MPT Optimisation'!$B$19*'Returns  Stats'!E1122</f>
        <v>8.8781493718493865E-3</v>
      </c>
    </row>
    <row r="1123" spans="1:2" ht="15" customHeight="1" x14ac:dyDescent="0.2">
      <c r="A1123" s="32" t="str">
        <f>'Returns  Stats'!A1123</f>
        <v>2025-06-24</v>
      </c>
      <c r="B1123" s="35">
        <f>'MPT Optimisation'!$B$16*'Returns  Stats'!B1123+'MPT Optimisation'!$B$17*'Returns  Stats'!C1123+'MPT Optimisation'!$B$18*'Returns  Stats'!D1123+'MPT Optimisation'!$B$19*'Returns  Stats'!E1123</f>
        <v>1.0998433201792335E-2</v>
      </c>
    </row>
    <row r="1124" spans="1:2" ht="15" customHeight="1" x14ac:dyDescent="0.2">
      <c r="A1124" s="32" t="str">
        <f>'Returns  Stats'!A1124</f>
        <v>2025-06-25</v>
      </c>
      <c r="B1124" s="35">
        <f>'MPT Optimisation'!$B$16*'Returns  Stats'!B1124+'MPT Optimisation'!$B$17*'Returns  Stats'!C1124+'MPT Optimisation'!$B$18*'Returns  Stats'!D1124+'MPT Optimisation'!$B$19*'Returns  Stats'!E1124</f>
        <v>-3.5446329038176737E-3</v>
      </c>
    </row>
    <row r="1125" spans="1:2" ht="15" customHeight="1" x14ac:dyDescent="0.2">
      <c r="A1125" s="32" t="str">
        <f>'Returns  Stats'!A1125</f>
        <v>2025-06-26</v>
      </c>
      <c r="B1125" s="35">
        <f>'MPT Optimisation'!$B$16*'Returns  Stats'!B1125+'MPT Optimisation'!$B$17*'Returns  Stats'!C1125+'MPT Optimisation'!$B$18*'Returns  Stats'!D1125+'MPT Optimisation'!$B$19*'Returns  Stats'!E1125</f>
        <v>8.6190109819109743E-3</v>
      </c>
    </row>
    <row r="1126" spans="1:2" ht="15" customHeight="1" x14ac:dyDescent="0.2">
      <c r="A1126" s="32" t="str">
        <f>'Returns  Stats'!A1126</f>
        <v>2025-06-27</v>
      </c>
      <c r="B1126" s="35">
        <f>'MPT Optimisation'!$B$16*'Returns  Stats'!B1126+'MPT Optimisation'!$B$17*'Returns  Stats'!C1126+'MPT Optimisation'!$B$18*'Returns  Stats'!D1126+'MPT Optimisation'!$B$19*'Returns  Stats'!E1126</f>
        <v>5.4164512484662529E-3</v>
      </c>
    </row>
    <row r="1127" spans="1:2" ht="15" customHeight="1" x14ac:dyDescent="0.2">
      <c r="A1127" s="32" t="str">
        <f>'Returns  Stats'!A1127</f>
        <v>2025-06-30</v>
      </c>
      <c r="B1127" s="35">
        <f>'MPT Optimisation'!$B$16*'Returns  Stats'!B1127+'MPT Optimisation'!$B$17*'Returns  Stats'!C1127+'MPT Optimisation'!$B$18*'Returns  Stats'!D1127+'MPT Optimisation'!$B$19*'Returns  Stats'!E1127</f>
        <v>3.7339974657571774E-3</v>
      </c>
    </row>
    <row r="1128" spans="1:2" ht="15" customHeight="1" x14ac:dyDescent="0.2">
      <c r="A1128" s="32" t="str">
        <f>'Returns  Stats'!A1128</f>
        <v>2025-07-01</v>
      </c>
      <c r="B1128" s="35">
        <f>'MPT Optimisation'!$B$16*'Returns  Stats'!B1128+'MPT Optimisation'!$B$17*'Returns  Stats'!C1128+'MPT Optimisation'!$B$18*'Returns  Stats'!D1128+'MPT Optimisation'!$B$19*'Returns  Stats'!E1128</f>
        <v>-1.8449870951747771E-4</v>
      </c>
    </row>
    <row r="1129" spans="1:2" ht="15" customHeight="1" x14ac:dyDescent="0.2">
      <c r="A1129" s="32" t="str">
        <f>'Returns  Stats'!A1129</f>
        <v>2025-07-02</v>
      </c>
      <c r="B1129" s="35">
        <f>'MPT Optimisation'!$B$16*'Returns  Stats'!B1129+'MPT Optimisation'!$B$17*'Returns  Stats'!C1129+'MPT Optimisation'!$B$18*'Returns  Stats'!D1129+'MPT Optimisation'!$B$19*'Returns  Stats'!E1129</f>
        <v>4.0495481891181786E-3</v>
      </c>
    </row>
    <row r="1130" spans="1:2" ht="15" customHeight="1" x14ac:dyDescent="0.2">
      <c r="A1130" s="32" t="str">
        <f>'Returns  Stats'!A1130</f>
        <v>2025-07-03</v>
      </c>
      <c r="B1130" s="35">
        <f>'MPT Optimisation'!$B$16*'Returns  Stats'!B1130+'MPT Optimisation'!$B$17*'Returns  Stats'!C1130+'MPT Optimisation'!$B$18*'Returns  Stats'!D1130+'MPT Optimisation'!$B$19*'Returns  Stats'!E1130</f>
        <v>4.9703233325667836E-3</v>
      </c>
    </row>
    <row r="1131" spans="1:2" ht="15" customHeight="1" x14ac:dyDescent="0.2">
      <c r="A1131" s="32" t="str">
        <f>'Returns  Stats'!A1131</f>
        <v>2025-07-07</v>
      </c>
      <c r="B1131" s="35">
        <f>'MPT Optimisation'!$B$16*'Returns  Stats'!B1131+'MPT Optimisation'!$B$17*'Returns  Stats'!C1131+'MPT Optimisation'!$B$18*'Returns  Stats'!D1131+'MPT Optimisation'!$B$19*'Returns  Stats'!E1131</f>
        <v>-8.5893583714290074E-3</v>
      </c>
    </row>
    <row r="1132" spans="1:2" ht="15" customHeight="1" x14ac:dyDescent="0.2">
      <c r="A1132" s="32" t="str">
        <f>'Returns  Stats'!A1132</f>
        <v>2025-07-08</v>
      </c>
      <c r="B1132" s="35">
        <f>'MPT Optimisation'!$B$16*'Returns  Stats'!B1132+'MPT Optimisation'!$B$17*'Returns  Stats'!C1132+'MPT Optimisation'!$B$18*'Returns  Stats'!D1132+'MPT Optimisation'!$B$19*'Returns  Stats'!E1132</f>
        <v>2.0695829351336068E-3</v>
      </c>
    </row>
    <row r="1133" spans="1:2" ht="15" customHeight="1" x14ac:dyDescent="0.2">
      <c r="A1133" s="32" t="str">
        <f>'Returns  Stats'!A1133</f>
        <v>2025-07-09</v>
      </c>
      <c r="B1133" s="35">
        <f>'MPT Optimisation'!$B$16*'Returns  Stats'!B1133+'MPT Optimisation'!$B$17*'Returns  Stats'!C1133+'MPT Optimisation'!$B$18*'Returns  Stats'!D1133+'MPT Optimisation'!$B$19*'Returns  Stats'!E1133</f>
        <v>6.2716434484695214E-3</v>
      </c>
    </row>
    <row r="1134" spans="1:2" ht="15" customHeight="1" x14ac:dyDescent="0.2">
      <c r="A1134" s="32" t="str">
        <f>'Returns  Stats'!A1134</f>
        <v>2025-07-10</v>
      </c>
      <c r="B1134" s="35">
        <f>'MPT Optimisation'!$B$16*'Returns  Stats'!B1134+'MPT Optimisation'!$B$17*'Returns  Stats'!C1134+'MPT Optimisation'!$B$18*'Returns  Stats'!D1134+'MPT Optimisation'!$B$19*'Returns  Stats'!E1134</f>
        <v>1.6983490137460976E-3</v>
      </c>
    </row>
    <row r="1135" spans="1:2" ht="15" customHeight="1" x14ac:dyDescent="0.2">
      <c r="A1135" s="32" t="str">
        <f>'Returns  Stats'!A1135</f>
        <v>2025-07-11</v>
      </c>
      <c r="B1135" s="35">
        <f>'MPT Optimisation'!$B$16*'Returns  Stats'!B1135+'MPT Optimisation'!$B$17*'Returns  Stats'!C1135+'MPT Optimisation'!$B$18*'Returns  Stats'!D1135+'MPT Optimisation'!$B$19*'Returns  Stats'!E1135</f>
        <v>-5.605163026982685E-3</v>
      </c>
    </row>
    <row r="1136" spans="1:2" ht="15" customHeight="1" x14ac:dyDescent="0.2">
      <c r="A1136" s="32" t="str">
        <f>'Returns  Stats'!A1136</f>
        <v>2025-07-14</v>
      </c>
      <c r="B1136" s="35">
        <f>'MPT Optimisation'!$B$16*'Returns  Stats'!B1136+'MPT Optimisation'!$B$17*'Returns  Stats'!C1136+'MPT Optimisation'!$B$18*'Returns  Stats'!D1136+'MPT Optimisation'!$B$19*'Returns  Stats'!E1136</f>
        <v>1.6859881887098195E-3</v>
      </c>
    </row>
    <row r="1137" spans="1:2" ht="15" customHeight="1" x14ac:dyDescent="0.2">
      <c r="A1137" s="32" t="str">
        <f>'Returns  Stats'!A1137</f>
        <v>2025-07-15</v>
      </c>
      <c r="B1137" s="35">
        <f>'MPT Optimisation'!$B$16*'Returns  Stats'!B1137+'MPT Optimisation'!$B$17*'Returns  Stats'!C1137+'MPT Optimisation'!$B$18*'Returns  Stats'!D1137+'MPT Optimisation'!$B$19*'Returns  Stats'!E1137</f>
        <v>-7.1793395889193871E-3</v>
      </c>
    </row>
    <row r="1138" spans="1:2" ht="15" customHeight="1" x14ac:dyDescent="0.2">
      <c r="A1138" s="32" t="str">
        <f>'Returns  Stats'!A1138</f>
        <v>2025-07-16</v>
      </c>
      <c r="B1138" s="35">
        <f>'MPT Optimisation'!$B$16*'Returns  Stats'!B1138+'MPT Optimisation'!$B$17*'Returns  Stats'!C1138+'MPT Optimisation'!$B$18*'Returns  Stats'!D1138+'MPT Optimisation'!$B$19*'Returns  Stats'!E1138</f>
        <v>4.0442018440173472E-3</v>
      </c>
    </row>
    <row r="1139" spans="1:2" ht="15" customHeight="1" x14ac:dyDescent="0.2">
      <c r="A1139" s="32" t="str">
        <f>'Returns  Stats'!A1139</f>
        <v>2025-07-17</v>
      </c>
      <c r="B1139" s="35">
        <f>'MPT Optimisation'!$B$16*'Returns  Stats'!B1139+'MPT Optimisation'!$B$17*'Returns  Stats'!C1139+'MPT Optimisation'!$B$18*'Returns  Stats'!D1139+'MPT Optimisation'!$B$19*'Returns  Stats'!E1139</f>
        <v>4.6509718810584851E-3</v>
      </c>
    </row>
    <row r="1140" spans="1:2" ht="15" customHeight="1" x14ac:dyDescent="0.2">
      <c r="A1140" s="32" t="str">
        <f>'Returns  Stats'!A1140</f>
        <v>2025-07-18</v>
      </c>
      <c r="B1140" s="35">
        <f>'MPT Optimisation'!$B$16*'Returns  Stats'!B1140+'MPT Optimisation'!$B$17*'Returns  Stats'!C1140+'MPT Optimisation'!$B$18*'Returns  Stats'!D1140+'MPT Optimisation'!$B$19*'Returns  Stats'!E1140</f>
        <v>-9.7838470449298489E-4</v>
      </c>
    </row>
    <row r="1141" spans="1:2" ht="15" customHeight="1" x14ac:dyDescent="0.2">
      <c r="A1141" s="32" t="str">
        <f>'Returns  Stats'!A1141</f>
        <v>2025-07-21</v>
      </c>
      <c r="B1141" s="35">
        <f>'MPT Optimisation'!$B$16*'Returns  Stats'!B1141+'MPT Optimisation'!$B$17*'Returns  Stats'!C1141+'MPT Optimisation'!$B$18*'Returns  Stats'!D1141+'MPT Optimisation'!$B$19*'Returns  Stats'!E1141</f>
        <v>2.6184286742450659E-3</v>
      </c>
    </row>
    <row r="1142" spans="1:2" ht="15" customHeight="1" x14ac:dyDescent="0.2">
      <c r="A1142" s="32" t="str">
        <f>'Returns  Stats'!A1142</f>
        <v>2025-07-22</v>
      </c>
      <c r="B1142" s="35">
        <f>'MPT Optimisation'!$B$16*'Returns  Stats'!B1142+'MPT Optimisation'!$B$17*'Returns  Stats'!C1142+'MPT Optimisation'!$B$18*'Returns  Stats'!D1142+'MPT Optimisation'!$B$19*'Returns  Stats'!E1142</f>
        <v>3.3075670883882303E-3</v>
      </c>
    </row>
    <row r="1143" spans="1:2" ht="15" customHeight="1" x14ac:dyDescent="0.2">
      <c r="A1143" s="32" t="str">
        <f>'Returns  Stats'!A1143</f>
        <v>2025-07-23</v>
      </c>
      <c r="B1143" s="35">
        <f>'MPT Optimisation'!$B$16*'Returns  Stats'!B1143+'MPT Optimisation'!$B$17*'Returns  Stats'!C1143+'MPT Optimisation'!$B$18*'Returns  Stats'!D1143+'MPT Optimisation'!$B$19*'Returns  Stats'!E1143</f>
        <v>1.2497641241511507E-2</v>
      </c>
    </row>
    <row r="1144" spans="1:2" ht="15" customHeight="1" x14ac:dyDescent="0.2">
      <c r="A1144" s="32" t="str">
        <f>'Returns  Stats'!A1144</f>
        <v>2025-07-24</v>
      </c>
      <c r="B1144" s="35">
        <f>'MPT Optimisation'!$B$16*'Returns  Stats'!B1144+'MPT Optimisation'!$B$17*'Returns  Stats'!C1144+'MPT Optimisation'!$B$18*'Returns  Stats'!D1144+'MPT Optimisation'!$B$19*'Returns  Stats'!E1144</f>
        <v>-2.6441876719776602E-3</v>
      </c>
    </row>
    <row r="1145" spans="1:2" ht="15" customHeight="1" x14ac:dyDescent="0.2">
      <c r="A1145" s="32" t="str">
        <f>'Returns  Stats'!A1145</f>
        <v>2025-07-25</v>
      </c>
      <c r="B1145" s="35">
        <f>'MPT Optimisation'!$B$16*'Returns  Stats'!B1145+'MPT Optimisation'!$B$17*'Returns  Stats'!C1145+'MPT Optimisation'!$B$18*'Returns  Stats'!D1145+'MPT Optimisation'!$B$19*'Returns  Stats'!E1145</f>
        <v>2.3941392899326282E-3</v>
      </c>
    </row>
    <row r="1146" spans="1:2" ht="15" customHeight="1" x14ac:dyDescent="0.2">
      <c r="A1146" s="32" t="str">
        <f>'Returns  Stats'!A1146</f>
        <v>2025-07-28</v>
      </c>
      <c r="B1146" s="35">
        <f>'MPT Optimisation'!$B$16*'Returns  Stats'!B1146+'MPT Optimisation'!$B$17*'Returns  Stats'!C1146+'MPT Optimisation'!$B$18*'Returns  Stats'!D1146+'MPT Optimisation'!$B$19*'Returns  Stats'!E1146</f>
        <v>-5.8658731535960679E-3</v>
      </c>
    </row>
    <row r="1147" spans="1:2" ht="15" customHeight="1" x14ac:dyDescent="0.2">
      <c r="A1147" s="32" t="str">
        <f>'Returns  Stats'!A1147</f>
        <v>2025-07-29</v>
      </c>
      <c r="B1147" s="35">
        <f>'MPT Optimisation'!$B$16*'Returns  Stats'!B1147+'MPT Optimisation'!$B$17*'Returns  Stats'!C1147+'MPT Optimisation'!$B$18*'Returns  Stats'!D1147+'MPT Optimisation'!$B$19*'Returns  Stats'!E1147</f>
        <v>-1.4261496490745376E-3</v>
      </c>
    </row>
    <row r="1148" spans="1:2" ht="15" customHeight="1" x14ac:dyDescent="0.2">
      <c r="A1148" s="32" t="str">
        <f>'Returns  Stats'!A1148</f>
        <v>2025-07-30</v>
      </c>
      <c r="B1148" s="35">
        <f>'MPT Optimisation'!$B$16*'Returns  Stats'!B1148+'MPT Optimisation'!$B$17*'Returns  Stats'!C1148+'MPT Optimisation'!$B$18*'Returns  Stats'!D1148+'MPT Optimisation'!$B$19*'Returns  Stats'!E1148</f>
        <v>-3.6960052797053891E-3</v>
      </c>
    </row>
    <row r="1149" spans="1:2" ht="15" customHeight="1" x14ac:dyDescent="0.2">
      <c r="A1149" s="32" t="str">
        <f>'Returns  Stats'!A1149</f>
        <v>2025-07-31</v>
      </c>
      <c r="B1149" s="35">
        <f>'MPT Optimisation'!$B$16*'Returns  Stats'!B1149+'MPT Optimisation'!$B$17*'Returns  Stats'!C1149+'MPT Optimisation'!$B$18*'Returns  Stats'!D1149+'MPT Optimisation'!$B$19*'Returns  Stats'!E1149</f>
        <v>-6.5116139251275964E-3</v>
      </c>
    </row>
    <row r="1150" spans="1:2" ht="15" customHeight="1" x14ac:dyDescent="0.2">
      <c r="A1150" s="32" t="str">
        <f>'Returns  Stats'!A1150</f>
        <v>2025-08-01</v>
      </c>
      <c r="B1150" s="35">
        <f>'MPT Optimisation'!$B$16*'Returns  Stats'!B1150+'MPT Optimisation'!$B$17*'Returns  Stats'!C1150+'MPT Optimisation'!$B$18*'Returns  Stats'!D1150+'MPT Optimisation'!$B$19*'Returns  Stats'!E1150</f>
        <v>-1.0418620978672922E-2</v>
      </c>
    </row>
    <row r="1151" spans="1:2" ht="15" customHeight="1" x14ac:dyDescent="0.2">
      <c r="A1151" s="32" t="str">
        <f>'Returns  Stats'!A1151</f>
        <v>2025-08-04</v>
      </c>
      <c r="B1151" s="35">
        <f>'MPT Optimisation'!$B$16*'Returns  Stats'!B1151+'MPT Optimisation'!$B$17*'Returns  Stats'!C1151+'MPT Optimisation'!$B$18*'Returns  Stats'!D1151+'MPT Optimisation'!$B$19*'Returns  Stats'!E1151</f>
        <v>1.3938840609920088E-2</v>
      </c>
    </row>
    <row r="1152" spans="1:2" ht="15" customHeight="1" x14ac:dyDescent="0.2">
      <c r="A1152" s="32" t="str">
        <f>'Returns  Stats'!A1152</f>
        <v>2025-08-05</v>
      </c>
      <c r="B1152" s="35">
        <f>'MPT Optimisation'!$B$16*'Returns  Stats'!B1152+'MPT Optimisation'!$B$17*'Returns  Stats'!C1152+'MPT Optimisation'!$B$18*'Returns  Stats'!D1152+'MPT Optimisation'!$B$19*'Returns  Stats'!E1152</f>
        <v>-2.437609386075801E-3</v>
      </c>
    </row>
    <row r="1153" spans="1:2" ht="15" customHeight="1" x14ac:dyDescent="0.2">
      <c r="A1153" s="32" t="str">
        <f>'Returns  Stats'!A1153</f>
        <v>2025-08-06</v>
      </c>
      <c r="B1153" s="35">
        <f>'MPT Optimisation'!$B$16*'Returns  Stats'!B1153+'MPT Optimisation'!$B$17*'Returns  Stats'!C1153+'MPT Optimisation'!$B$18*'Returns  Stats'!D1153+'MPT Optimisation'!$B$19*'Returns  Stats'!E1153</f>
        <v>5.6155235929633224E-3</v>
      </c>
    </row>
    <row r="1154" spans="1:2" ht="15" customHeight="1" x14ac:dyDescent="0.2">
      <c r="A1154" s="32" t="str">
        <f>'Returns  Stats'!A1154</f>
        <v>2025-08-07</v>
      </c>
      <c r="B1154" s="35">
        <f>'MPT Optimisation'!$B$16*'Returns  Stats'!B1154+'MPT Optimisation'!$B$17*'Returns  Stats'!C1154+'MPT Optimisation'!$B$18*'Returns  Stats'!D1154+'MPT Optimisation'!$B$19*'Returns  Stats'!E1154</f>
        <v>2.4539146898011565E-3</v>
      </c>
    </row>
    <row r="1155" spans="1:2" ht="15" customHeight="1" x14ac:dyDescent="0.2">
      <c r="A1155" s="32" t="str">
        <f>'Returns  Stats'!A1155</f>
        <v>2025-08-08</v>
      </c>
      <c r="B1155" s="35">
        <f>'MPT Optimisation'!$B$16*'Returns  Stats'!B1155+'MPT Optimisation'!$B$17*'Returns  Stats'!C1155+'MPT Optimisation'!$B$18*'Returns  Stats'!D1155+'MPT Optimisation'!$B$19*'Returns  Stats'!E1155</f>
        <v>5.1097090825124418E-3</v>
      </c>
    </row>
    <row r="1156" spans="1:2" ht="15" customHeight="1" x14ac:dyDescent="0.2">
      <c r="A1156" s="32" t="str">
        <f>'Returns  Stats'!A1156</f>
        <v>2025-08-11</v>
      </c>
      <c r="B1156" s="35">
        <f>'MPT Optimisation'!$B$16*'Returns  Stats'!B1156+'MPT Optimisation'!$B$17*'Returns  Stats'!C1156+'MPT Optimisation'!$B$18*'Returns  Stats'!D1156+'MPT Optimisation'!$B$19*'Returns  Stats'!E1156</f>
        <v>-2.937504199875385E-3</v>
      </c>
    </row>
    <row r="1157" spans="1:2" ht="15" customHeight="1" x14ac:dyDescent="0.2">
      <c r="A1157" s="32" t="str">
        <f>'Returns  Stats'!A1157</f>
        <v>2025-08-12</v>
      </c>
      <c r="B1157" s="35">
        <f>'MPT Optimisation'!$B$16*'Returns  Stats'!B1157+'MPT Optimisation'!$B$17*'Returns  Stats'!C1157+'MPT Optimisation'!$B$18*'Returns  Stats'!D1157+'MPT Optimisation'!$B$19*'Returns  Stats'!E1157</f>
        <v>1.1288513022337843E-2</v>
      </c>
    </row>
    <row r="1158" spans="1:2" ht="15" customHeight="1" x14ac:dyDescent="0.2">
      <c r="A1158" s="32" t="str">
        <f>'Returns  Stats'!A1158</f>
        <v>2025-08-13</v>
      </c>
      <c r="B1158" s="35">
        <f>'MPT Optimisation'!$B$16*'Returns  Stats'!B1158+'MPT Optimisation'!$B$17*'Returns  Stats'!C1158+'MPT Optimisation'!$B$18*'Returns  Stats'!D1158+'MPT Optimisation'!$B$19*'Returns  Stats'!E1158</f>
        <v>5.3635616588782239E-3</v>
      </c>
    </row>
    <row r="1159" spans="1:2" ht="15" customHeight="1" x14ac:dyDescent="0.2">
      <c r="A1159" s="32" t="str">
        <f>'Returns  Stats'!A1159</f>
        <v>2025-08-14</v>
      </c>
      <c r="B1159" s="35">
        <f>'MPT Optimisation'!$B$16*'Returns  Stats'!B1159+'MPT Optimisation'!$B$17*'Returns  Stats'!C1159+'MPT Optimisation'!$B$18*'Returns  Stats'!D1159+'MPT Optimisation'!$B$19*'Returns  Stats'!E1159</f>
        <v>-1.3522084883596853E-3</v>
      </c>
    </row>
    <row r="1160" spans="1:2" ht="15" customHeight="1" x14ac:dyDescent="0.2">
      <c r="A1160" s="32" t="str">
        <f>'Returns  Stats'!A1160</f>
        <v>2025-08-15</v>
      </c>
      <c r="B1160" s="35">
        <f>'MPT Optimisation'!$B$16*'Returns  Stats'!B1160+'MPT Optimisation'!$B$17*'Returns  Stats'!C1160+'MPT Optimisation'!$B$18*'Returns  Stats'!D1160+'MPT Optimisation'!$B$19*'Returns  Stats'!E1160</f>
        <v>6.1597283886064545E-4</v>
      </c>
    </row>
    <row r="1161" spans="1:2" ht="15" customHeight="1" x14ac:dyDescent="0.2">
      <c r="A1161" s="32" t="str">
        <f>'Returns  Stats'!A1161</f>
        <v>2025-08-18</v>
      </c>
      <c r="B1161" s="35">
        <f>'MPT Optimisation'!$B$16*'Returns  Stats'!B1161+'MPT Optimisation'!$B$17*'Returns  Stats'!C1161+'MPT Optimisation'!$B$18*'Returns  Stats'!D1161+'MPT Optimisation'!$B$19*'Returns  Stats'!E1161</f>
        <v>-5.7737681530037333E-4</v>
      </c>
    </row>
    <row r="1162" spans="1:2" ht="15" customHeight="1" x14ac:dyDescent="0.2">
      <c r="A1162" s="32" t="str">
        <f>'Returns  Stats'!A1162</f>
        <v>2025-08-19</v>
      </c>
      <c r="B1162" s="35">
        <f>'MPT Optimisation'!$B$16*'Returns  Stats'!B1162+'MPT Optimisation'!$B$17*'Returns  Stats'!C1162+'MPT Optimisation'!$B$18*'Returns  Stats'!D1162+'MPT Optimisation'!$B$19*'Returns  Stats'!E1162</f>
        <v>-2.6495668829338956E-3</v>
      </c>
    </row>
    <row r="1163" spans="1:2" ht="15" customHeight="1" x14ac:dyDescent="0.2">
      <c r="A1163" s="32" t="str">
        <f>'Returns  Stats'!A1163</f>
        <v>2025-08-20</v>
      </c>
      <c r="B1163" s="35">
        <f>'MPT Optimisation'!$B$16*'Returns  Stats'!B1163+'MPT Optimisation'!$B$17*'Returns  Stats'!C1163+'MPT Optimisation'!$B$18*'Returns  Stats'!D1163+'MPT Optimisation'!$B$19*'Returns  Stats'!E1163</f>
        <v>-3.3374705056119484E-4</v>
      </c>
    </row>
    <row r="1164" spans="1:2" ht="15" customHeight="1" x14ac:dyDescent="0.2">
      <c r="A1164" s="32" t="str">
        <f>'Returns  Stats'!A1164</f>
        <v>2025-08-21</v>
      </c>
      <c r="B1164" s="35">
        <f>'MPT Optimisation'!$B$16*'Returns  Stats'!B1164+'MPT Optimisation'!$B$17*'Returns  Stats'!C1164+'MPT Optimisation'!$B$18*'Returns  Stats'!D1164+'MPT Optimisation'!$B$19*'Returns  Stats'!E1164</f>
        <v>-4.212101934674012E-3</v>
      </c>
    </row>
    <row r="1165" spans="1:2" ht="15" customHeight="1" x14ac:dyDescent="0.2">
      <c r="A1165" s="32" t="str">
        <f>'Returns  Stats'!A1165</f>
        <v>2025-08-22</v>
      </c>
      <c r="B1165" s="35">
        <f>'MPT Optimisation'!$B$16*'Returns  Stats'!B1165+'MPT Optimisation'!$B$17*'Returns  Stats'!C1165+'MPT Optimisation'!$B$18*'Returns  Stats'!D1165+'MPT Optimisation'!$B$19*'Returns  Stats'!E1165</f>
        <v>1.6150948472208528E-2</v>
      </c>
    </row>
    <row r="1166" spans="1:2" ht="15" customHeight="1" x14ac:dyDescent="0.2">
      <c r="A1166" s="32" t="str">
        <f>'Returns  Stats'!A1166</f>
        <v>2025-08-25</v>
      </c>
      <c r="B1166" s="35">
        <f>'MPT Optimisation'!$B$16*'Returns  Stats'!B1166+'MPT Optimisation'!$B$17*'Returns  Stats'!C1166+'MPT Optimisation'!$B$18*'Returns  Stats'!D1166+'MPT Optimisation'!$B$19*'Returns  Stats'!E1166</f>
        <v>-7.2061159254732448E-3</v>
      </c>
    </row>
    <row r="1167" spans="1:2" ht="15" customHeight="1" x14ac:dyDescent="0.2">
      <c r="A1167" s="32" t="str">
        <f>'Returns  Stats'!A1167</f>
        <v>2025-08-26</v>
      </c>
      <c r="B1167" s="35">
        <f>'MPT Optimisation'!$B$16*'Returns  Stats'!B1167+'MPT Optimisation'!$B$17*'Returns  Stats'!C1167+'MPT Optimisation'!$B$18*'Returns  Stats'!D1167+'MPT Optimisation'!$B$19*'Returns  Stats'!E1167</f>
        <v>2.3320686043224125E-3</v>
      </c>
    </row>
    <row r="1168" spans="1:2" ht="15" customHeight="1" x14ac:dyDescent="0.2">
      <c r="A1168" s="32" t="str">
        <f>'Returns  Stats'!A1168</f>
        <v>2025-08-27</v>
      </c>
      <c r="B1168" s="35">
        <f>'MPT Optimisation'!$B$16*'Returns  Stats'!B1168+'MPT Optimisation'!$B$17*'Returns  Stats'!C1168+'MPT Optimisation'!$B$18*'Returns  Stats'!D1168+'MPT Optimisation'!$B$19*'Returns  Stats'!E1168</f>
        <v>1.2472748279018341E-3</v>
      </c>
    </row>
    <row r="1169" spans="1:2" ht="15" customHeight="1" x14ac:dyDescent="0.2">
      <c r="A1169" s="32" t="str">
        <f>'Returns  Stats'!A1169</f>
        <v>2025-08-28</v>
      </c>
      <c r="B1169" s="35">
        <f>'MPT Optimisation'!$B$16*'Returns  Stats'!B1169+'MPT Optimisation'!$B$17*'Returns  Stats'!C1169+'MPT Optimisation'!$B$18*'Returns  Stats'!D1169+'MPT Optimisation'!$B$19*'Returns  Stats'!E1169</f>
        <v>3.2245695939935033E-3</v>
      </c>
    </row>
    <row r="1170" spans="1:2" ht="15" customHeight="1" x14ac:dyDescent="0.2">
      <c r="A1170" s="32" t="str">
        <f>'Returns  Stats'!A1170</f>
        <v>2025-08-29</v>
      </c>
      <c r="B1170" s="35">
        <f>'MPT Optimisation'!$B$16*'Returns  Stats'!B1170+'MPT Optimisation'!$B$17*'Returns  Stats'!C1170+'MPT Optimisation'!$B$18*'Returns  Stats'!D1170+'MPT Optimisation'!$B$19*'Returns  Stats'!E1170</f>
        <v>-5.1146025767221659E-3</v>
      </c>
    </row>
    <row r="1171" spans="1:2" ht="15" customHeight="1" x14ac:dyDescent="0.2">
      <c r="A1171" s="32" t="str">
        <f>'Returns  Stats'!A1171</f>
        <v>2025-09-02</v>
      </c>
      <c r="B1171" s="35">
        <f>'MPT Optimisation'!$B$16*'Returns  Stats'!B1171+'MPT Optimisation'!$B$17*'Returns  Stats'!C1171+'MPT Optimisation'!$B$18*'Returns  Stats'!D1171+'MPT Optimisation'!$B$19*'Returns  Stats'!E1171</f>
        <v>-8.0806788571897385E-3</v>
      </c>
    </row>
    <row r="1172" spans="1:2" ht="15" customHeight="1" x14ac:dyDescent="0.2">
      <c r="A1172" s="32" t="str">
        <f>'Returns  Stats'!A1172</f>
        <v>2025-09-03</v>
      </c>
      <c r="B1172" s="35">
        <f>'MPT Optimisation'!$B$16*'Returns  Stats'!B1172+'MPT Optimisation'!$B$17*'Returns  Stats'!C1172+'MPT Optimisation'!$B$18*'Returns  Stats'!D1172+'MPT Optimisation'!$B$19*'Returns  Stats'!E1172</f>
        <v>3.2175767074993254E-3</v>
      </c>
    </row>
    <row r="1173" spans="1:2" ht="15" customHeight="1" x14ac:dyDescent="0.2">
      <c r="A1173" s="32" t="str">
        <f>'Returns  Stats'!A1173</f>
        <v>2025-09-04</v>
      </c>
      <c r="B1173" s="35">
        <f>'MPT Optimisation'!$B$16*'Returns  Stats'!B1173+'MPT Optimisation'!$B$17*'Returns  Stats'!C1173+'MPT Optimisation'!$B$18*'Returns  Stats'!D1173+'MPT Optimisation'!$B$19*'Returns  Stats'!E1173</f>
        <v>8.0719647571771084E-3</v>
      </c>
    </row>
    <row r="1174" spans="1:2" ht="15" customHeight="1" x14ac:dyDescent="0.2">
      <c r="A1174" s="32" t="str">
        <f>'Returns  Stats'!A1174</f>
        <v>2025-09-05</v>
      </c>
      <c r="B1174" s="35">
        <f>'MPT Optimisation'!$B$16*'Returns  Stats'!B1174+'MPT Optimisation'!$B$17*'Returns  Stats'!C1174+'MPT Optimisation'!$B$18*'Returns  Stats'!D1174+'MPT Optimisation'!$B$19*'Returns  Stats'!E1174</f>
        <v>1.0392389640939471E-3</v>
      </c>
    </row>
    <row r="1175" spans="1:2" ht="15" customHeight="1" x14ac:dyDescent="0.2">
      <c r="A1175" s="32" t="str">
        <f>'Returns  Stats'!A1175</f>
        <v>2025-09-08</v>
      </c>
      <c r="B1175" s="35">
        <f>'MPT Optimisation'!$B$16*'Returns  Stats'!B1175+'MPT Optimisation'!$B$17*'Returns  Stats'!C1175+'MPT Optimisation'!$B$18*'Returns  Stats'!D1175+'MPT Optimisation'!$B$19*'Returns  Stats'!E1175</f>
        <v>4.7999739923314678E-3</v>
      </c>
    </row>
    <row r="1176" spans="1:2" ht="15" customHeight="1" x14ac:dyDescent="0.2">
      <c r="A1176" s="32" t="str">
        <f>'Returns  Stats'!A1176</f>
        <v>2025-09-09</v>
      </c>
      <c r="B1176" s="35">
        <f>'MPT Optimisation'!$B$16*'Returns  Stats'!B1176+'MPT Optimisation'!$B$17*'Returns  Stats'!C1176+'MPT Optimisation'!$B$18*'Returns  Stats'!D1176+'MPT Optimisation'!$B$19*'Returns  Stats'!E1176</f>
        <v>-4.495764286951365E-4</v>
      </c>
    </row>
    <row r="1177" spans="1:2" ht="15" customHeight="1" x14ac:dyDescent="0.2">
      <c r="A1177" s="32" t="str">
        <f>'Returns  Stats'!A1177</f>
        <v>2025-09-10</v>
      </c>
      <c r="B1177" s="35">
        <f>'MPT Optimisation'!$B$16*'Returns  Stats'!B1177+'MPT Optimisation'!$B$17*'Returns  Stats'!C1177+'MPT Optimisation'!$B$18*'Returns  Stats'!D1177+'MPT Optimisation'!$B$19*'Returns  Stats'!E1177</f>
        <v>1.4858626402789344E-3</v>
      </c>
    </row>
    <row r="1178" spans="1:2" ht="15" customHeight="1" x14ac:dyDescent="0.2">
      <c r="A1178" s="32" t="str">
        <f>'Returns  Stats'!A1178</f>
        <v>2025-09-11</v>
      </c>
      <c r="B1178" s="35">
        <f>'MPT Optimisation'!$B$16*'Returns  Stats'!B1178+'MPT Optimisation'!$B$17*'Returns  Stats'!C1178+'MPT Optimisation'!$B$18*'Returns  Stats'!D1178+'MPT Optimisation'!$B$19*'Returns  Stats'!E1178</f>
        <v>9.7452024415935253E-3</v>
      </c>
    </row>
    <row r="1179" spans="1:2" ht="15" customHeight="1" x14ac:dyDescent="0.2">
      <c r="A1179" s="32" t="str">
        <f>'Returns  Stats'!A1179</f>
        <v>2025-09-12</v>
      </c>
      <c r="B1179" s="35">
        <f>'MPT Optimisation'!$B$16*'Returns  Stats'!B1179+'MPT Optimisation'!$B$17*'Returns  Stats'!C1179+'MPT Optimisation'!$B$18*'Returns  Stats'!D1179+'MPT Optimisation'!$B$19*'Returns  Stats'!E1179</f>
        <v>-2.3325850841448615E-3</v>
      </c>
    </row>
    <row r="1180" spans="1:2" ht="15" customHeight="1" x14ac:dyDescent="0.2">
      <c r="A1180" s="32" t="str">
        <f>'Returns  Stats'!A1180</f>
        <v>2025-09-15</v>
      </c>
      <c r="B1180" s="35">
        <f>'MPT Optimisation'!$B$16*'Returns  Stats'!B1180+'MPT Optimisation'!$B$17*'Returns  Stats'!C1180+'MPT Optimisation'!$B$18*'Returns  Stats'!D1180+'MPT Optimisation'!$B$19*'Returns  Stats'!E1180</f>
        <v>4.9270886029727677E-3</v>
      </c>
    </row>
    <row r="1181" spans="1:2" ht="15" customHeight="1" x14ac:dyDescent="0.2">
      <c r="A1181" s="32" t="str">
        <f>'Returns  Stats'!A1181</f>
        <v>2025-09-16</v>
      </c>
      <c r="B1181" s="35">
        <f>'MPT Optimisation'!$B$16*'Returns  Stats'!B1181+'MPT Optimisation'!$B$17*'Returns  Stats'!C1181+'MPT Optimisation'!$B$18*'Returns  Stats'!D1181+'MPT Optimisation'!$B$19*'Returns  Stats'!E1181</f>
        <v>-1.8878048372339197E-3</v>
      </c>
    </row>
    <row r="1182" spans="1:2" ht="15" customHeight="1" x14ac:dyDescent="0.2">
      <c r="A1182" s="32" t="str">
        <f>'Returns  Stats'!A1182</f>
        <v>2025-09-17</v>
      </c>
      <c r="B1182" s="35">
        <f>'MPT Optimisation'!$B$16*'Returns  Stats'!B1182+'MPT Optimisation'!$B$17*'Returns  Stats'!C1182+'MPT Optimisation'!$B$18*'Returns  Stats'!D1182+'MPT Optimisation'!$B$19*'Returns  Stats'!E1182</f>
        <v>-1.8139222997355928E-3</v>
      </c>
    </row>
    <row r="1183" spans="1:2" ht="15" customHeight="1" x14ac:dyDescent="0.2">
      <c r="A1183" s="32" t="str">
        <f>'Returns  Stats'!A1183</f>
        <v>2025-09-18</v>
      </c>
      <c r="B1183" s="35">
        <f>'MPT Optimisation'!$B$16*'Returns  Stats'!B1183+'MPT Optimisation'!$B$17*'Returns  Stats'!C1183+'MPT Optimisation'!$B$18*'Returns  Stats'!D1183+'MPT Optimisation'!$B$19*'Returns  Stats'!E1183</f>
        <v>4.9134747738008465E-3</v>
      </c>
    </row>
    <row r="1184" spans="1:2" ht="15" customHeight="1" x14ac:dyDescent="0.2">
      <c r="A1184" s="32" t="str">
        <f>'Returns  Stats'!A1184</f>
        <v>2025-09-19</v>
      </c>
      <c r="B1184" s="35">
        <f>'MPT Optimisation'!$B$16*'Returns  Stats'!B1184+'MPT Optimisation'!$B$17*'Returns  Stats'!C1184+'MPT Optimisation'!$B$18*'Returns  Stats'!D1184+'MPT Optimisation'!$B$19*'Returns  Stats'!E1184</f>
        <v>7.7342605040129915E-4</v>
      </c>
    </row>
    <row r="1185" spans="1:2" ht="15" customHeight="1" x14ac:dyDescent="0.2">
      <c r="A1185" s="32" t="str">
        <f>'Returns  Stats'!A1185</f>
        <v>2025-09-22</v>
      </c>
      <c r="B1185" s="35">
        <f>'MPT Optimisation'!$B$16*'Returns  Stats'!B1185+'MPT Optimisation'!$B$17*'Returns  Stats'!C1185+'MPT Optimisation'!$B$18*'Returns  Stats'!D1185+'MPT Optimisation'!$B$19*'Returns  Stats'!E1185</f>
        <v>3.5129620581900332E-3</v>
      </c>
    </row>
    <row r="1186" spans="1:2" ht="15" customHeight="1" x14ac:dyDescent="0.2">
      <c r="A1186" s="32" t="str">
        <f>'Returns  Stats'!A1186</f>
        <v>2025-09-23</v>
      </c>
      <c r="B1186" s="35">
        <f>'MPT Optimisation'!$B$16*'Returns  Stats'!B1186+'MPT Optimisation'!$B$17*'Returns  Stats'!C1186+'MPT Optimisation'!$B$18*'Returns  Stats'!D1186+'MPT Optimisation'!$B$19*'Returns  Stats'!E1186</f>
        <v>-3.4458256709296257E-3</v>
      </c>
    </row>
    <row r="1187" spans="1:2" ht="15" customHeight="1" x14ac:dyDescent="0.2">
      <c r="A1187" s="32" t="str">
        <f>'Returns  Stats'!A1187</f>
        <v>2025-09-24</v>
      </c>
      <c r="B1187" s="35">
        <f>'MPT Optimisation'!$B$16*'Returns  Stats'!B1187+'MPT Optimisation'!$B$17*'Returns  Stats'!C1187+'MPT Optimisation'!$B$18*'Returns  Stats'!D1187+'MPT Optimisation'!$B$19*'Returns  Stats'!E1187</f>
        <v>-4.5206447647153812E-3</v>
      </c>
    </row>
    <row r="1188" spans="1:2" ht="15" customHeight="1" x14ac:dyDescent="0.2">
      <c r="A1188" s="32" t="str">
        <f>'Returns  Stats'!A1188</f>
        <v>2025-09-25</v>
      </c>
      <c r="B1188" s="35">
        <f>'MPT Optimisation'!$B$16*'Returns  Stats'!B1188+'MPT Optimisation'!$B$17*'Returns  Stats'!C1188+'MPT Optimisation'!$B$18*'Returns  Stats'!D1188+'MPT Optimisation'!$B$19*'Returns  Stats'!E1188</f>
        <v>-5.5700051264543369E-3</v>
      </c>
    </row>
    <row r="1189" spans="1:2" ht="15" customHeight="1" x14ac:dyDescent="0.2">
      <c r="A1189" s="32" t="str">
        <f>'Returns  Stats'!A1189</f>
        <v>2025-09-26</v>
      </c>
      <c r="B1189" s="35">
        <f>'MPT Optimisation'!$B$16*'Returns  Stats'!B1189+'MPT Optimisation'!$B$17*'Returns  Stats'!C1189+'MPT Optimisation'!$B$18*'Returns  Stats'!D1189+'MPT Optimisation'!$B$19*'Returns  Stats'!E1189</f>
        <v>6.6104321030993505E-3</v>
      </c>
    </row>
    <row r="1190" spans="1:2" ht="15" customHeight="1" x14ac:dyDescent="0.2">
      <c r="A1190" s="32" t="str">
        <f>'Returns  Stats'!A1190</f>
        <v>2025-09-29</v>
      </c>
      <c r="B1190" s="35">
        <f>'MPT Optimisation'!$B$16*'Returns  Stats'!B1190+'MPT Optimisation'!$B$17*'Returns  Stats'!C1190+'MPT Optimisation'!$B$18*'Returns  Stats'!D1190+'MPT Optimisation'!$B$19*'Returns  Stats'!E1190</f>
        <v>2.7982190261451874E-3</v>
      </c>
    </row>
    <row r="1191" spans="1:2" ht="15" customHeight="1" x14ac:dyDescent="0.2">
      <c r="A1191" s="32" t="str">
        <f>'Returns  Stats'!A1191</f>
        <v>2025-09-30</v>
      </c>
      <c r="B1191" s="35">
        <f>'MPT Optimisation'!$B$16*'Returns  Stats'!B1191+'MPT Optimisation'!$B$17*'Returns  Stats'!C1191+'MPT Optimisation'!$B$18*'Returns  Stats'!D1191+'MPT Optimisation'!$B$19*'Returns  Stats'!E1191</f>
        <v>3.3868114168536852E-3</v>
      </c>
    </row>
    <row r="1192" spans="1:2" ht="15" customHeight="1" x14ac:dyDescent="0.2">
      <c r="A1192" s="32" t="str">
        <f>'Returns  Stats'!A1192</f>
        <v>2025-10-01</v>
      </c>
      <c r="B1192" s="35">
        <f>'MPT Optimisation'!$B$16*'Returns  Stats'!B1192+'MPT Optimisation'!$B$17*'Returns  Stats'!C1192+'MPT Optimisation'!$B$18*'Returns  Stats'!D1192+'MPT Optimisation'!$B$19*'Returns  Stats'!E1192</f>
        <v>4.7624271566082833E-3</v>
      </c>
    </row>
    <row r="1193" spans="1:2" ht="15" customHeight="1" x14ac:dyDescent="0.2">
      <c r="A1193" s="32" t="str">
        <f>'Returns  Stats'!A1193</f>
        <v>2025-10-02</v>
      </c>
      <c r="B1193" s="35">
        <f>'MPT Optimisation'!$B$16*'Returns  Stats'!B1193+'MPT Optimisation'!$B$17*'Returns  Stats'!C1193+'MPT Optimisation'!$B$18*'Returns  Stats'!D1193+'MPT Optimisation'!$B$19*'Returns  Stats'!E1193</f>
        <v>1.1453843130548702E-3</v>
      </c>
    </row>
    <row r="1194" spans="1:2" ht="15" customHeight="1" x14ac:dyDescent="0.2">
      <c r="A1194" s="32" t="str">
        <f>'Returns  Stats'!A1194</f>
        <v>2025-10-03</v>
      </c>
      <c r="B1194" s="35">
        <f>'MPT Optimisation'!$B$16*'Returns  Stats'!B1194+'MPT Optimisation'!$B$17*'Returns  Stats'!C1194+'MPT Optimisation'!$B$18*'Returns  Stats'!D1194+'MPT Optimisation'!$B$19*'Returns  Stats'!E1194</f>
        <v>2.9728316147186679E-3</v>
      </c>
    </row>
    <row r="1195" spans="1:2" ht="15" customHeight="1" x14ac:dyDescent="0.2">
      <c r="A1195" s="32" t="str">
        <f>'Returns  Stats'!A1195</f>
        <v>2025-10-06</v>
      </c>
      <c r="B1195" s="35">
        <f>'MPT Optimisation'!$B$16*'Returns  Stats'!B1195+'MPT Optimisation'!$B$17*'Returns  Stats'!C1195+'MPT Optimisation'!$B$18*'Returns  Stats'!D1195+'MPT Optimisation'!$B$19*'Returns  Stats'!E1195</f>
        <v>2.368691912218912E-3</v>
      </c>
    </row>
    <row r="1196" spans="1:2" ht="15" customHeight="1" x14ac:dyDescent="0.2">
      <c r="A1196" s="32" t="str">
        <f>'Returns  Stats'!A1196</f>
        <v>2025-10-07</v>
      </c>
      <c r="B1196" s="35">
        <f>'MPT Optimisation'!$B$16*'Returns  Stats'!B1196+'MPT Optimisation'!$B$17*'Returns  Stats'!C1196+'MPT Optimisation'!$B$18*'Returns  Stats'!D1196+'MPT Optimisation'!$B$19*'Returns  Stats'!E1196</f>
        <v>-5.5903100254266801E-3</v>
      </c>
    </row>
    <row r="1197" spans="1:2" ht="15" customHeight="1" x14ac:dyDescent="0.2">
      <c r="A1197" s="32" t="str">
        <f>'Returns  Stats'!A1197</f>
        <v>2025-10-08</v>
      </c>
      <c r="B1197" s="35">
        <f>'MPT Optimisation'!$B$16*'Returns  Stats'!B1197+'MPT Optimisation'!$B$17*'Returns  Stats'!C1197+'MPT Optimisation'!$B$18*'Returns  Stats'!D1197+'MPT Optimisation'!$B$19*'Returns  Stats'!E1197</f>
        <v>4.6201856568176157E-3</v>
      </c>
    </row>
    <row r="1198" spans="1:2" ht="15" customHeight="1" x14ac:dyDescent="0.2">
      <c r="A1198" s="32" t="str">
        <f>'Returns  Stats'!A1198</f>
        <v>2025-10-09</v>
      </c>
      <c r="B1198" s="35">
        <f>'MPT Optimisation'!$B$16*'Returns  Stats'!B1198+'MPT Optimisation'!$B$17*'Returns  Stats'!C1198+'MPT Optimisation'!$B$18*'Returns  Stats'!D1198+'MPT Optimisation'!$B$19*'Returns  Stats'!E1198</f>
        <v>-4.8820104974594148E-3</v>
      </c>
    </row>
    <row r="1199" spans="1:2" ht="15" customHeight="1" x14ac:dyDescent="0.2">
      <c r="A1199" s="32" t="str">
        <f>'Returns  Stats'!A1199</f>
        <v>2025-10-10</v>
      </c>
      <c r="B1199" s="35">
        <f>'MPT Optimisation'!$B$16*'Returns  Stats'!B1199+'MPT Optimisation'!$B$17*'Returns  Stats'!C1199+'MPT Optimisation'!$B$18*'Returns  Stats'!D1199+'MPT Optimisation'!$B$19*'Returns  Stats'!E1199</f>
        <v>-2.2033606043559067E-2</v>
      </c>
    </row>
    <row r="1200" spans="1:2" ht="15" customHeight="1" x14ac:dyDescent="0.2">
      <c r="A1200" s="32" t="str">
        <f>'Returns  Stats'!A1200</f>
        <v>2025-10-13</v>
      </c>
      <c r="B1200" s="35">
        <f>'MPT Optimisation'!$B$16*'Returns  Stats'!B1200+'MPT Optimisation'!$B$17*'Returns  Stats'!C1200+'MPT Optimisation'!$B$18*'Returns  Stats'!D1200+'MPT Optimisation'!$B$19*'Returns  Stats'!E1200</f>
        <v>1.2384018242089944E-2</v>
      </c>
    </row>
    <row r="1201" spans="1:2" ht="15" customHeight="1" x14ac:dyDescent="0.2">
      <c r="A1201" s="32" t="str">
        <f>'Returns  Stats'!A1201</f>
        <v>2025-10-14</v>
      </c>
      <c r="B1201" s="35">
        <f>'MPT Optimisation'!$B$16*'Returns  Stats'!B1201+'MPT Optimisation'!$B$17*'Returns  Stats'!C1201+'MPT Optimisation'!$B$18*'Returns  Stats'!D1201+'MPT Optimisation'!$B$19*'Returns  Stats'!E1201</f>
        <v>1.7641241709257184E-3</v>
      </c>
    </row>
    <row r="1202" spans="1:2" ht="15" customHeight="1" x14ac:dyDescent="0.2">
      <c r="A1202" s="32" t="str">
        <f>'Returns  Stats'!A1202</f>
        <v>2025-10-15</v>
      </c>
      <c r="B1202" s="35">
        <f>'MPT Optimisation'!$B$16*'Returns  Stats'!B1202+'MPT Optimisation'!$B$17*'Returns  Stats'!C1202+'MPT Optimisation'!$B$18*'Returns  Stats'!D1202+'MPT Optimisation'!$B$19*'Returns  Stats'!E1202</f>
        <v>4.9966388937469856E-3</v>
      </c>
    </row>
    <row r="1203" spans="1:2" ht="15" customHeight="1" x14ac:dyDescent="0.2">
      <c r="A1203" s="32" t="str">
        <f>'Returns  Stats'!A1203</f>
        <v>2025-10-16</v>
      </c>
      <c r="B1203" s="35">
        <f>'MPT Optimisation'!$B$16*'Returns  Stats'!B1203+'MPT Optimisation'!$B$17*'Returns  Stats'!C1203+'MPT Optimisation'!$B$18*'Returns  Stats'!D1203+'MPT Optimisation'!$B$19*'Returns  Stats'!E1203</f>
        <v>-3.199976317862801E-3</v>
      </c>
    </row>
    <row r="1204" spans="1:2" ht="15" customHeight="1" x14ac:dyDescent="0.2">
      <c r="A1204" s="32" t="str">
        <f>'Returns  Stats'!A1204</f>
        <v>2025-10-17</v>
      </c>
      <c r="B1204" s="35">
        <f>'MPT Optimisation'!$B$16*'Returns  Stats'!B1204+'MPT Optimisation'!$B$17*'Returns  Stats'!C1204+'MPT Optimisation'!$B$18*'Returns  Stats'!D1204+'MPT Optimisation'!$B$19*'Returns  Stats'!E1204</f>
        <v>3.6149968644540115E-3</v>
      </c>
    </row>
    <row r="1205" spans="1:2" ht="15" customHeight="1" x14ac:dyDescent="0.2">
      <c r="A1205" s="32" t="str">
        <f>'Returns  Stats'!A1205</f>
        <v>2025-10-20</v>
      </c>
      <c r="B1205" s="35">
        <f>'MPT Optimisation'!$B$16*'Returns  Stats'!B1205+'MPT Optimisation'!$B$17*'Returns  Stats'!C1205+'MPT Optimisation'!$B$18*'Returns  Stats'!D1205+'MPT Optimisation'!$B$19*'Returns  Stats'!E1205</f>
        <v>9.7558409510561037E-3</v>
      </c>
    </row>
    <row r="1206" spans="1:2" ht="15" customHeight="1" x14ac:dyDescent="0.2">
      <c r="A1206" s="32" t="str">
        <f>'Returns  Stats'!A1206</f>
        <v>2025-10-21</v>
      </c>
      <c r="B1206" s="35">
        <f>'MPT Optimisation'!$B$16*'Returns  Stats'!B1206+'MPT Optimisation'!$B$17*'Returns  Stats'!C1206+'MPT Optimisation'!$B$18*'Returns  Stats'!D1206+'MPT Optimisation'!$B$19*'Returns  Stats'!E1206</f>
        <v>-2.3680936571647323E-3</v>
      </c>
    </row>
    <row r="1207" spans="1:2" ht="15" customHeight="1" x14ac:dyDescent="0.2">
      <c r="A1207" s="32" t="str">
        <f>'Returns  Stats'!A1207</f>
        <v>2025-10-22</v>
      </c>
      <c r="B1207" s="35">
        <f>'MPT Optimisation'!$B$16*'Returns  Stats'!B1207+'MPT Optimisation'!$B$17*'Returns  Stats'!C1207+'MPT Optimisation'!$B$18*'Returns  Stats'!D1207+'MPT Optimisation'!$B$19*'Returns  Stats'!E1207</f>
        <v>-3.8811219338136141E-3</v>
      </c>
    </row>
    <row r="1208" spans="1:2" ht="15" customHeight="1" x14ac:dyDescent="0.2">
      <c r="A1208" s="32" t="str">
        <f>'Returns  Stats'!A1208</f>
        <v>2025-10-23</v>
      </c>
      <c r="B1208" s="35">
        <f>'MPT Optimisation'!$B$16*'Returns  Stats'!B1208+'MPT Optimisation'!$B$17*'Returns  Stats'!C1208+'MPT Optimisation'!$B$18*'Returns  Stats'!D1208+'MPT Optimisation'!$B$19*'Returns  Stats'!E1208</f>
        <v>5.1252937448152073E-3</v>
      </c>
    </row>
    <row r="1209" spans="1:2" ht="15" customHeight="1" x14ac:dyDescent="0.2">
      <c r="A1209" s="32" t="str">
        <f>'Returns  Stats'!A1209</f>
        <v>2025-10-24</v>
      </c>
      <c r="B1209" s="35">
        <f>'MPT Optimisation'!$B$16*'Returns  Stats'!B1209+'MPT Optimisation'!$B$17*'Returns  Stats'!C1209+'MPT Optimisation'!$B$18*'Returns  Stats'!D1209+'MPT Optimisation'!$B$19*'Returns  Stats'!E1209</f>
        <v>5.5643352734451416E-3</v>
      </c>
    </row>
    <row r="1210" spans="1:2" ht="15" customHeight="1" x14ac:dyDescent="0.2">
      <c r="A1210" s="32" t="str">
        <f>'Returns  Stats'!A1210</f>
        <v>2025-10-27</v>
      </c>
      <c r="B1210" s="35">
        <f>'MPT Optimisation'!$B$16*'Returns  Stats'!B1210+'MPT Optimisation'!$B$17*'Returns  Stats'!C1210+'MPT Optimisation'!$B$18*'Returns  Stats'!D1210+'MPT Optimisation'!$B$19*'Returns  Stats'!E1210</f>
        <v>8.9470247532785208E-3</v>
      </c>
    </row>
    <row r="1211" spans="1:2" ht="15" customHeight="1" x14ac:dyDescent="0.2">
      <c r="A1211" s="32" t="str">
        <f>'Returns  Stats'!A1211</f>
        <v>2025-10-28</v>
      </c>
      <c r="B1211" s="35">
        <f>'MPT Optimisation'!$B$16*'Returns  Stats'!B1211+'MPT Optimisation'!$B$17*'Returns  Stats'!C1211+'MPT Optimisation'!$B$18*'Returns  Stats'!D1211+'MPT Optimisation'!$B$19*'Returns  Stats'!E1211</f>
        <v>-1.5284397533660293E-4</v>
      </c>
    </row>
    <row r="1212" spans="1:2" ht="15" customHeight="1" x14ac:dyDescent="0.2">
      <c r="A1212" s="32" t="str">
        <f>'Returns  Stats'!A1212</f>
        <v>2025-10-29</v>
      </c>
      <c r="B1212" s="35">
        <f>'MPT Optimisation'!$B$16*'Returns  Stats'!B1212+'MPT Optimisation'!$B$17*'Returns  Stats'!C1212+'MPT Optimisation'!$B$18*'Returns  Stats'!D1212+'MPT Optimisation'!$B$19*'Returns  Stats'!E1212</f>
        <v>-3.6441908606578313E-3</v>
      </c>
    </row>
    <row r="1213" spans="1:2" ht="15" customHeight="1" x14ac:dyDescent="0.2">
      <c r="A1213" s="32" t="str">
        <f>'Returns  Stats'!A1213</f>
        <v>2025-10-30</v>
      </c>
      <c r="B1213" s="35">
        <f>'MPT Optimisation'!$B$16*'Returns  Stats'!B1213+'MPT Optimisation'!$B$17*'Returns  Stats'!C1213+'MPT Optimisation'!$B$18*'Returns  Stats'!D1213+'MPT Optimisation'!$B$19*'Returns  Stats'!E1213</f>
        <v>-7.6310162002438623E-3</v>
      </c>
    </row>
    <row r="1214" spans="1:2" ht="15" customHeight="1" x14ac:dyDescent="0.2">
      <c r="A1214" s="32" t="str">
        <f>'Returns  Stats'!A1214</f>
        <v>2025-10-31</v>
      </c>
      <c r="B1214" s="35">
        <f>'MPT Optimisation'!$B$16*'Returns  Stats'!B1214+'MPT Optimisation'!$B$17*'Returns  Stats'!C1214+'MPT Optimisation'!$B$18*'Returns  Stats'!D1214+'MPT Optimisation'!$B$19*'Returns  Stats'!E1214</f>
        <v>1.8408781275118802E-3</v>
      </c>
    </row>
    <row r="1215" spans="1:2" ht="15" customHeight="1" x14ac:dyDescent="0.2">
      <c r="A1215" s="32" t="str">
        <f>'Returns  Stats'!A1215</f>
        <v>2025-11-03</v>
      </c>
      <c r="B1215" s="35">
        <f>'MPT Optimisation'!$B$16*'Returns  Stats'!B1215+'MPT Optimisation'!$B$17*'Returns  Stats'!C1215+'MPT Optimisation'!$B$18*'Returns  Stats'!D1215+'MPT Optimisation'!$B$19*'Returns  Stats'!E1215</f>
        <v>6.7240425422634411E-4</v>
      </c>
    </row>
    <row r="1216" spans="1:2" ht="15" customHeight="1" x14ac:dyDescent="0.2">
      <c r="A1216" s="32" t="str">
        <f>'Returns  Stats'!A1216</f>
        <v>2025-11-04</v>
      </c>
      <c r="B1216" s="35">
        <f>'MPT Optimisation'!$B$16*'Returns  Stats'!B1216+'MPT Optimisation'!$B$17*'Returns  Stats'!C1216+'MPT Optimisation'!$B$18*'Returns  Stats'!D1216+'MPT Optimisation'!$B$19*'Returns  Stats'!E1216</f>
        <v>-1.02234550000191E-2</v>
      </c>
    </row>
    <row r="1217" spans="1:2" ht="15" customHeight="1" x14ac:dyDescent="0.2">
      <c r="A1217" s="32" t="str">
        <f>'Returns  Stats'!A1217</f>
        <v>2025-11-05</v>
      </c>
      <c r="B1217" s="35">
        <f>'MPT Optimisation'!$B$16*'Returns  Stats'!B1217+'MPT Optimisation'!$B$17*'Returns  Stats'!C1217+'MPT Optimisation'!$B$18*'Returns  Stats'!D1217+'MPT Optimisation'!$B$19*'Returns  Stats'!E1217</f>
        <v>4.4022022139217354E-3</v>
      </c>
    </row>
    <row r="1218" spans="1:2" ht="15" customHeight="1" x14ac:dyDescent="0.2">
      <c r="A1218" s="32" t="str">
        <f>'Returns  Stats'!A1218</f>
        <v>2025-11-06</v>
      </c>
      <c r="B1218" s="35">
        <f>'MPT Optimisation'!$B$16*'Returns  Stats'!B1218+'MPT Optimisation'!$B$17*'Returns  Stats'!C1218+'MPT Optimisation'!$B$18*'Returns  Stats'!D1218+'MPT Optimisation'!$B$19*'Returns  Stats'!E1218</f>
        <v>-7.5502373064234409E-3</v>
      </c>
    </row>
    <row r="1219" spans="1:2" ht="15" customHeight="1" x14ac:dyDescent="0.2">
      <c r="A1219" s="32" t="str">
        <f>'Returns  Stats'!A1219</f>
        <v>2025-11-07</v>
      </c>
      <c r="B1219" s="35">
        <f>'MPT Optimisation'!$B$16*'Returns  Stats'!B1219+'MPT Optimisation'!$B$17*'Returns  Stats'!C1219+'MPT Optimisation'!$B$18*'Returns  Stats'!D1219+'MPT Optimisation'!$B$19*'Returns  Stats'!E1219</f>
        <v>3.1859073131352664E-3</v>
      </c>
    </row>
    <row r="1220" spans="1:2" ht="15" customHeight="1" x14ac:dyDescent="0.2">
      <c r="A1220" s="32" t="str">
        <f>'Returns  Stats'!A1220</f>
        <v>2025-11-10</v>
      </c>
      <c r="B1220" s="35">
        <f>'MPT Optimisation'!$B$16*'Returns  Stats'!B1220+'MPT Optimisation'!$B$17*'Returns  Stats'!C1220+'MPT Optimisation'!$B$18*'Returns  Stats'!D1220+'MPT Optimisation'!$B$19*'Returns  Stats'!E1220</f>
        <v>1.1881266701171593E-2</v>
      </c>
    </row>
    <row r="1221" spans="1:2" ht="15" customHeight="1" x14ac:dyDescent="0.2">
      <c r="A1221" s="32" t="str">
        <f>'Returns  Stats'!A1221</f>
        <v>2025-11-11</v>
      </c>
      <c r="B1221" s="35">
        <f>'MPT Optimisation'!$B$16*'Returns  Stats'!B1221+'MPT Optimisation'!$B$17*'Returns  Stats'!C1221+'MPT Optimisation'!$B$18*'Returns  Stats'!D1221+'MPT Optimisation'!$B$19*'Returns  Stats'!E1221</f>
        <v>4.3825422593119726E-3</v>
      </c>
    </row>
    <row r="1222" spans="1:2" ht="15" customHeight="1" x14ac:dyDescent="0.2">
      <c r="A1222" s="32" t="str">
        <f>'Returns  Stats'!A1222</f>
        <v>2025-11-12</v>
      </c>
      <c r="B1222" s="35">
        <f>'MPT Optimisation'!$B$16*'Returns  Stats'!B1222+'MPT Optimisation'!$B$17*'Returns  Stats'!C1222+'MPT Optimisation'!$B$18*'Returns  Stats'!D1222+'MPT Optimisation'!$B$19*'Returns  Stats'!E1222</f>
        <v>1.6031564451341738E-3</v>
      </c>
    </row>
    <row r="1223" spans="1:2" ht="15" customHeight="1" x14ac:dyDescent="0.2">
      <c r="A1223" s="32" t="str">
        <f>'Returns  Stats'!A1223</f>
        <v>2025-11-13</v>
      </c>
      <c r="B1223" s="35">
        <f>'MPT Optimisation'!$B$16*'Returns  Stats'!B1223+'MPT Optimisation'!$B$17*'Returns  Stats'!C1223+'MPT Optimisation'!$B$18*'Returns  Stats'!D1223+'MPT Optimisation'!$B$19*'Returns  Stats'!E1223</f>
        <v>-1.4592081931794842E-2</v>
      </c>
    </row>
    <row r="1224" spans="1:2" ht="15" customHeight="1" x14ac:dyDescent="0.2">
      <c r="A1224" s="32" t="str">
        <f>'Returns  Stats'!A1224</f>
        <v>2025-11-14</v>
      </c>
      <c r="B1224" s="35">
        <f>'MPT Optimisation'!$B$16*'Returns  Stats'!B1224+'MPT Optimisation'!$B$17*'Returns  Stats'!C1224+'MPT Optimisation'!$B$18*'Returns  Stats'!D1224+'MPT Optimisation'!$B$19*'Returns  Stats'!E1224</f>
        <v>-8.9253682538252262E-4</v>
      </c>
    </row>
    <row r="1225" spans="1:2" ht="15" customHeight="1" x14ac:dyDescent="0.2">
      <c r="A1225" s="32" t="str">
        <f>'Returns  Stats'!A1225</f>
        <v>2025-11-17</v>
      </c>
      <c r="B1225" s="35">
        <f>'MPT Optimisation'!$B$16*'Returns  Stats'!B1225+'MPT Optimisation'!$B$17*'Returns  Stats'!C1225+'MPT Optimisation'!$B$18*'Returns  Stats'!D1225+'MPT Optimisation'!$B$19*'Returns  Stats'!E1225</f>
        <v>-1.0547149649576247E-2</v>
      </c>
    </row>
    <row r="1226" spans="1:2" ht="15" customHeight="1" x14ac:dyDescent="0.2">
      <c r="A1226" s="32" t="str">
        <f>'Returns  Stats'!A1226</f>
        <v>2025-11-18</v>
      </c>
      <c r="B1226" s="35">
        <f>'MPT Optimisation'!$B$16*'Returns  Stats'!B1226+'MPT Optimisation'!$B$17*'Returns  Stats'!C1226+'MPT Optimisation'!$B$18*'Returns  Stats'!D1226+'MPT Optimisation'!$B$19*'Returns  Stats'!E1226</f>
        <v>-7.7222730088804762E-3</v>
      </c>
    </row>
    <row r="1227" spans="1:2" ht="15" customHeight="1" x14ac:dyDescent="0.2">
      <c r="A1227" s="32" t="str">
        <f>'Returns  Stats'!A1227</f>
        <v>2025-11-19</v>
      </c>
      <c r="B1227" s="35">
        <f>'MPT Optimisation'!$B$16*'Returns  Stats'!B1227+'MPT Optimisation'!$B$17*'Returns  Stats'!C1227+'MPT Optimisation'!$B$18*'Returns  Stats'!D1227+'MPT Optimisation'!$B$19*'Returns  Stats'!E1227</f>
        <v>6.6412931175070518E-4</v>
      </c>
    </row>
    <row r="1228" spans="1:2" ht="15" customHeight="1" x14ac:dyDescent="0.2">
      <c r="A1228" s="32" t="str">
        <f>'Returns  Stats'!A1228</f>
        <v>2025-11-20</v>
      </c>
      <c r="B1228" s="35">
        <f>'MPT Optimisation'!$B$16*'Returns  Stats'!B1228+'MPT Optimisation'!$B$17*'Returns  Stats'!C1228+'MPT Optimisation'!$B$18*'Returns  Stats'!D1228+'MPT Optimisation'!$B$19*'Returns  Stats'!E1228</f>
        <v>-1.3854388620437386E-2</v>
      </c>
    </row>
    <row r="1229" spans="1:2" ht="15" customHeight="1" x14ac:dyDescent="0.2">
      <c r="A1229" s="32" t="str">
        <f>'Returns  Stats'!A1229</f>
        <v>2025-11-21</v>
      </c>
      <c r="B1229" s="35">
        <f>'MPT Optimisation'!$B$16*'Returns  Stats'!B1229+'MPT Optimisation'!$B$17*'Returns  Stats'!C1229+'MPT Optimisation'!$B$18*'Returns  Stats'!D1229+'MPT Optimisation'!$B$19*'Returns  Stats'!E1229</f>
        <v>1.2502482078723653E-2</v>
      </c>
    </row>
    <row r="1230" spans="1:2" ht="15" customHeight="1" x14ac:dyDescent="0.2">
      <c r="A1230" s="32" t="str">
        <f>'Returns  Stats'!A1230</f>
        <v>2025-11-24</v>
      </c>
      <c r="B1230" s="35">
        <f>'MPT Optimisation'!$B$16*'Returns  Stats'!B1230+'MPT Optimisation'!$B$17*'Returns  Stats'!C1230+'MPT Optimisation'!$B$18*'Returns  Stats'!D1230+'MPT Optimisation'!$B$19*'Returns  Stats'!E1230</f>
        <v>9.4610871604207114E-3</v>
      </c>
    </row>
    <row r="1231" spans="1:2" ht="15" customHeight="1" x14ac:dyDescent="0.2">
      <c r="A1231" s="32" t="str">
        <f>'Returns  Stats'!A1231</f>
        <v>2025-11-25</v>
      </c>
      <c r="B1231" s="35">
        <f>'MPT Optimisation'!$B$16*'Returns  Stats'!B1231+'MPT Optimisation'!$B$17*'Returns  Stats'!C1231+'MPT Optimisation'!$B$18*'Returns  Stats'!D1231+'MPT Optimisation'!$B$19*'Returns  Stats'!E1231</f>
        <v>1.0559067739349714E-2</v>
      </c>
    </row>
    <row r="1232" spans="1:2" ht="15" customHeight="1" x14ac:dyDescent="0.2">
      <c r="A1232" s="32" t="str">
        <f>'Returns  Stats'!A1232</f>
        <v>2025-11-26</v>
      </c>
      <c r="B1232" s="35">
        <f>'MPT Optimisation'!$B$16*'Returns  Stats'!B1232+'MPT Optimisation'!$B$17*'Returns  Stats'!C1232+'MPT Optimisation'!$B$18*'Returns  Stats'!D1232+'MPT Optimisation'!$B$19*'Returns  Stats'!E1232</f>
        <v>7.7113870558428999E-3</v>
      </c>
    </row>
    <row r="1233" spans="1:2" ht="15" customHeight="1" x14ac:dyDescent="0.2">
      <c r="A1233" s="32" t="str">
        <f>'Returns  Stats'!A1233</f>
        <v>2025-11-28</v>
      </c>
      <c r="B1233" s="35">
        <f>'MPT Optimisation'!$B$16*'Returns  Stats'!B1233+'MPT Optimisation'!$B$17*'Returns  Stats'!C1233+'MPT Optimisation'!$B$18*'Returns  Stats'!D1233+'MPT Optimisation'!$B$19*'Returns  Stats'!E1233</f>
        <v>4.4622390704056316E-3</v>
      </c>
    </row>
    <row r="1234" spans="1:2" ht="15" customHeight="1" x14ac:dyDescent="0.2">
      <c r="A1234" s="32" t="str">
        <f>'Returns  Stats'!A1234</f>
        <v>2025-12-01</v>
      </c>
      <c r="B1234" s="35">
        <f>'MPT Optimisation'!$B$16*'Returns  Stats'!B1234+'MPT Optimisation'!$B$17*'Returns  Stats'!C1234+'MPT Optimisation'!$B$18*'Returns  Stats'!D1234+'MPT Optimisation'!$B$19*'Returns  Stats'!E1234</f>
        <v>-5.2157096809932191E-3</v>
      </c>
    </row>
    <row r="1235" spans="1:2" ht="15" customHeight="1" x14ac:dyDescent="0.2">
      <c r="A1235" s="32" t="str">
        <f>'Returns  Stats'!A1235</f>
        <v>2025-12-02</v>
      </c>
      <c r="B1235" s="35">
        <f>'MPT Optimisation'!$B$16*'Returns  Stats'!B1235+'MPT Optimisation'!$B$17*'Returns  Stats'!C1235+'MPT Optimisation'!$B$18*'Returns  Stats'!D1235+'MPT Optimisation'!$B$19*'Returns  Stats'!E1235</f>
        <v>1.6184237174567794E-3</v>
      </c>
    </row>
    <row r="1236" spans="1:2" ht="15" customHeight="1" x14ac:dyDescent="0.2">
      <c r="A1236" s="32" t="str">
        <f>'Returns  Stats'!A1236</f>
        <v>2025-12-03</v>
      </c>
      <c r="B1236" s="35">
        <f>'MPT Optimisation'!$B$16*'Returns  Stats'!B1236+'MPT Optimisation'!$B$17*'Returns  Stats'!C1236+'MPT Optimisation'!$B$18*'Returns  Stats'!D1236+'MPT Optimisation'!$B$19*'Returns  Stats'!E1236</f>
        <v>4.5186096148203125E-3</v>
      </c>
    </row>
    <row r="1237" spans="1:2" ht="15" customHeight="1" x14ac:dyDescent="0.2">
      <c r="A1237" s="32" t="str">
        <f>'Returns  Stats'!A1237</f>
        <v>2025-12-04</v>
      </c>
      <c r="B1237" s="35">
        <f>'MPT Optimisation'!$B$16*'Returns  Stats'!B1237+'MPT Optimisation'!$B$17*'Returns  Stats'!C1237+'MPT Optimisation'!$B$18*'Returns  Stats'!D1237+'MPT Optimisation'!$B$19*'Returns  Stats'!E1237</f>
        <v>1.5195659279789108E-3</v>
      </c>
    </row>
    <row r="1238" spans="1:2" ht="15" customHeight="1" x14ac:dyDescent="0.2">
      <c r="A1238" s="32" t="str">
        <f>'Returns  Stats'!A1238</f>
        <v>2025-12-05</v>
      </c>
      <c r="B1238" s="35">
        <f>'MPT Optimisation'!$B$16*'Returns  Stats'!B1238+'MPT Optimisation'!$B$17*'Returns  Stats'!C1238+'MPT Optimisation'!$B$18*'Returns  Stats'!D1238+'MPT Optimisation'!$B$19*'Returns  Stats'!E1238</f>
        <v>7.2610762163479727E-4</v>
      </c>
    </row>
    <row r="1239" spans="1:2" ht="15" customHeight="1" x14ac:dyDescent="0.2">
      <c r="A1239" s="32" t="str">
        <f>'Returns  Stats'!A1239</f>
        <v>2025-12-08</v>
      </c>
      <c r="B1239" s="35">
        <f>'MPT Optimisation'!$B$16*'Returns  Stats'!B1239+'MPT Optimisation'!$B$17*'Returns  Stats'!C1239+'MPT Optimisation'!$B$18*'Returns  Stats'!D1239+'MPT Optimisation'!$B$19*'Returns  Stats'!E1239</f>
        <v>-3.1628298449178304E-3</v>
      </c>
    </row>
    <row r="1240" spans="1:2" ht="15" customHeight="1" x14ac:dyDescent="0.2">
      <c r="A1240" s="32" t="str">
        <f>'Returns  Stats'!A1240</f>
        <v>2025-12-09</v>
      </c>
      <c r="B1240" s="35">
        <f>'MPT Optimisation'!$B$16*'Returns  Stats'!B1240+'MPT Optimisation'!$B$17*'Returns  Stats'!C1240+'MPT Optimisation'!$B$18*'Returns  Stats'!D1240+'MPT Optimisation'!$B$19*'Returns  Stats'!E1240</f>
        <v>-1.2501219400029738E-3</v>
      </c>
    </row>
    <row r="1241" spans="1:2" ht="15" customHeight="1" x14ac:dyDescent="0.2">
      <c r="A1241" s="32" t="str">
        <f>'Returns  Stats'!A1241</f>
        <v>2025-12-10</v>
      </c>
      <c r="B1241" s="35">
        <f>'MPT Optimisation'!$B$16*'Returns  Stats'!B1241+'MPT Optimisation'!$B$17*'Returns  Stats'!C1241+'MPT Optimisation'!$B$18*'Returns  Stats'!D1241+'MPT Optimisation'!$B$19*'Returns  Stats'!E1241</f>
        <v>8.1357401822157119E-3</v>
      </c>
    </row>
    <row r="1242" spans="1:2" ht="15" customHeight="1" x14ac:dyDescent="0.2">
      <c r="A1242" s="32" t="str">
        <f>'Returns  Stats'!A1242</f>
        <v>2025-12-11</v>
      </c>
      <c r="B1242" s="35">
        <f>'MPT Optimisation'!$B$16*'Returns  Stats'!B1242+'MPT Optimisation'!$B$17*'Returns  Stats'!C1242+'MPT Optimisation'!$B$18*'Returns  Stats'!D1242+'MPT Optimisation'!$B$19*'Returns  Stats'!E1242</f>
        <v>4.021107605623353E-3</v>
      </c>
    </row>
    <row r="1243" spans="1:2" ht="15" customHeight="1" x14ac:dyDescent="0.2">
      <c r="A1243" s="32" t="str">
        <f>'Returns  Stats'!A1243</f>
        <v>2025-12-12</v>
      </c>
      <c r="B1243" s="35">
        <f>'MPT Optimisation'!$B$16*'Returns  Stats'!B1243+'MPT Optimisation'!$B$17*'Returns  Stats'!C1243+'MPT Optimisation'!$B$18*'Returns  Stats'!D1243+'MPT Optimisation'!$B$19*'Returns  Stats'!E1243</f>
        <v>-8.6430189072907344E-3</v>
      </c>
    </row>
    <row r="1244" spans="1:2" ht="15" customHeight="1" x14ac:dyDescent="0.2">
      <c r="A1244" s="32" t="str">
        <f>'Returns  Stats'!A1244</f>
        <v>2025-12-15</v>
      </c>
      <c r="B1244" s="35">
        <f>'MPT Optimisation'!$B$16*'Returns  Stats'!B1244+'MPT Optimisation'!$B$17*'Returns  Stats'!C1244+'MPT Optimisation'!$B$18*'Returns  Stats'!D1244+'MPT Optimisation'!$B$19*'Returns  Stats'!E1244</f>
        <v>8.6202236141418292E-4</v>
      </c>
    </row>
    <row r="1245" spans="1:2" ht="15" customHeight="1" x14ac:dyDescent="0.2">
      <c r="A1245" s="32" t="str">
        <f>'Returns  Stats'!A1245</f>
        <v>2025-12-16</v>
      </c>
      <c r="B1245" s="35">
        <f>'MPT Optimisation'!$B$16*'Returns  Stats'!B1245+'MPT Optimisation'!$B$17*'Returns  Stats'!C1245+'MPT Optimisation'!$B$18*'Returns  Stats'!D1245+'MPT Optimisation'!$B$19*'Returns  Stats'!E1245</f>
        <v>-3.3986699918965076E-3</v>
      </c>
    </row>
    <row r="1246" spans="1:2" ht="15" customHeight="1" x14ac:dyDescent="0.2">
      <c r="A1246" s="32" t="str">
        <f>'Returns  Stats'!A1246</f>
        <v>2025-12-17</v>
      </c>
      <c r="B1246" s="35">
        <f>'MPT Optimisation'!$B$16*'Returns  Stats'!B1246+'MPT Optimisation'!$B$17*'Returns  Stats'!C1246+'MPT Optimisation'!$B$18*'Returns  Stats'!D1246+'MPT Optimisation'!$B$19*'Returns  Stats'!E1246</f>
        <v>-8.8132097739814785E-3</v>
      </c>
    </row>
    <row r="1247" spans="1:2" ht="15" customHeight="1" x14ac:dyDescent="0.2">
      <c r="A1247" s="32" t="str">
        <f>'Returns  Stats'!A1247</f>
        <v>2025-12-18</v>
      </c>
      <c r="B1247" s="35">
        <f>'MPT Optimisation'!$B$16*'Returns  Stats'!B1247+'MPT Optimisation'!$B$17*'Returns  Stats'!C1247+'MPT Optimisation'!$B$18*'Returns  Stats'!D1247+'MPT Optimisation'!$B$19*'Returns  Stats'!E1247</f>
        <v>6.6052100949242519E-3</v>
      </c>
    </row>
    <row r="1248" spans="1:2" ht="15" customHeight="1" x14ac:dyDescent="0.2">
      <c r="A1248" s="32" t="str">
        <f>'Returns  Stats'!A1248</f>
        <v>2025-12-19</v>
      </c>
      <c r="B1248" s="35">
        <f>'MPT Optimisation'!$B$16*'Returns  Stats'!B1248+'MPT Optimisation'!$B$17*'Returns  Stats'!C1248+'MPT Optimisation'!$B$18*'Returns  Stats'!D1248+'MPT Optimisation'!$B$19*'Returns  Stats'!E1248</f>
        <v>7.1080364329542895E-3</v>
      </c>
    </row>
    <row r="1249" spans="1:2" ht="15" customHeight="1" x14ac:dyDescent="0.2">
      <c r="A1249" s="32" t="str">
        <f>'Returns  Stats'!A1249</f>
        <v>2025-12-22</v>
      </c>
      <c r="B1249" s="35">
        <f>'MPT Optimisation'!$B$16*'Returns  Stats'!B1249+'MPT Optimisation'!$B$17*'Returns  Stats'!C1249+'MPT Optimisation'!$B$18*'Returns  Stats'!D1249+'MPT Optimisation'!$B$19*'Returns  Stats'!E1249</f>
        <v>5.1626912548846772E-3</v>
      </c>
    </row>
    <row r="1250" spans="1:2" ht="15" customHeight="1" x14ac:dyDescent="0.2">
      <c r="A1250" s="32" t="str">
        <f>'Returns  Stats'!A1250</f>
        <v>2025-12-23</v>
      </c>
      <c r="B1250" s="35">
        <f>'MPT Optimisation'!$B$16*'Returns  Stats'!B1250+'MPT Optimisation'!$B$17*'Returns  Stats'!C1250+'MPT Optimisation'!$B$18*'Returns  Stats'!D1250+'MPT Optimisation'!$B$19*'Returns  Stats'!E1250</f>
        <v>3.8060500535705478E-3</v>
      </c>
    </row>
    <row r="1251" spans="1:2" ht="15" customHeight="1" x14ac:dyDescent="0.2">
      <c r="A1251" s="32" t="str">
        <f>'Returns  Stats'!A1251</f>
        <v>2025-12-24</v>
      </c>
      <c r="B1251" s="35">
        <f>'MPT Optimisation'!$B$16*'Returns  Stats'!B1251+'MPT Optimisation'!$B$17*'Returns  Stats'!C1251+'MPT Optimisation'!$B$18*'Returns  Stats'!D1251+'MPT Optimisation'!$B$19*'Returns  Stats'!E1251</f>
        <v>2.8677965460546348E-3</v>
      </c>
    </row>
    <row r="1252" spans="1:2" ht="15" customHeight="1" x14ac:dyDescent="0.2">
      <c r="A1252" s="32" t="str">
        <f>'Returns  Stats'!A1252</f>
        <v>2025-12-26</v>
      </c>
      <c r="B1252" s="35">
        <f>'MPT Optimisation'!$B$16*'Returns  Stats'!B1252+'MPT Optimisation'!$B$17*'Returns  Stats'!C1252+'MPT Optimisation'!$B$18*'Returns  Stats'!D1252+'MPT Optimisation'!$B$19*'Returns  Stats'!E1252</f>
        <v>1.9346866667526718E-4</v>
      </c>
    </row>
    <row r="1253" spans="1:2" ht="15" customHeight="1" x14ac:dyDescent="0.2">
      <c r="A1253" s="32" t="str">
        <f>'Returns  Stats'!A1253</f>
        <v>2025-12-29</v>
      </c>
      <c r="B1253" s="35">
        <f>'MPT Optimisation'!$B$16*'Returns  Stats'!B1253+'MPT Optimisation'!$B$17*'Returns  Stats'!C1253+'MPT Optimisation'!$B$18*'Returns  Stats'!D1253+'MPT Optimisation'!$B$19*'Returns  Stats'!E1253</f>
        <v>-3.0006503719204329E-3</v>
      </c>
    </row>
    <row r="1254" spans="1:2" ht="15" customHeight="1" x14ac:dyDescent="0.2">
      <c r="A1254" s="32" t="str">
        <f>'Returns  Stats'!A1254</f>
        <v>2025-12-30</v>
      </c>
      <c r="B1254" s="35">
        <f>'MPT Optimisation'!$B$16*'Returns  Stats'!B1254+'MPT Optimisation'!$B$17*'Returns  Stats'!C1254+'MPT Optimisation'!$B$18*'Returns  Stats'!D1254+'MPT Optimisation'!$B$19*'Returns  Stats'!E1254</f>
        <v>-3.7788248250322787E-4</v>
      </c>
    </row>
    <row r="1255" spans="1:2" ht="15" customHeight="1" x14ac:dyDescent="0.2">
      <c r="A1255" s="32" t="str">
        <f>'Returns  Stats'!A1255</f>
        <v>2025-12-31</v>
      </c>
      <c r="B1255" s="35">
        <f>'MPT Optimisation'!$B$16*'Returns  Stats'!B1255+'MPT Optimisation'!$B$17*'Returns  Stats'!C1255+'MPT Optimisation'!$B$18*'Returns  Stats'!D1255+'MPT Optimisation'!$B$19*'Returns  Stats'!E1255</f>
        <v>-6.3862601165917184E-3</v>
      </c>
    </row>
    <row r="1256" spans="1:2" ht="15" customHeight="1" x14ac:dyDescent="0.2">
      <c r="A1256" s="32" t="str">
        <f>'Returns  Stats'!A1256</f>
        <v>2026-01-02</v>
      </c>
      <c r="B1256" s="35">
        <f>'MPT Optimisation'!$B$16*'Returns  Stats'!B1256+'MPT Optimisation'!$B$17*'Returns  Stats'!C1256+'MPT Optimisation'!$B$18*'Returns  Stats'!D1256+'MPT Optimisation'!$B$19*'Returns  Stats'!E1256</f>
        <v>5.0184111191592601E-3</v>
      </c>
    </row>
    <row r="1257" spans="1:2" ht="15" customHeight="1" x14ac:dyDescent="0.2">
      <c r="A1257" s="32" t="str">
        <f>'Returns  Stats'!A1257</f>
        <v>2026-01-05</v>
      </c>
      <c r="B1257" s="35">
        <f>'MPT Optimisation'!$B$16*'Returns  Stats'!B1257+'MPT Optimisation'!$B$17*'Returns  Stats'!C1257+'MPT Optimisation'!$B$18*'Returns  Stats'!D1257+'MPT Optimisation'!$B$19*'Returns  Stats'!E1257</f>
        <v>8.1533289268141979E-3</v>
      </c>
    </row>
    <row r="1258" spans="1:2" ht="15" customHeight="1" x14ac:dyDescent="0.2">
      <c r="A1258" s="32" t="str">
        <f>'Returns  Stats'!A1258</f>
        <v>2026-01-06</v>
      </c>
      <c r="B1258" s="35">
        <f>'MPT Optimisation'!$B$16*'Returns  Stats'!B1258+'MPT Optimisation'!$B$17*'Returns  Stats'!C1258+'MPT Optimisation'!$B$18*'Returns  Stats'!D1258+'MPT Optimisation'!$B$19*'Returns  Stats'!E1258</f>
        <v>5.0115088770504414E-3</v>
      </c>
    </row>
    <row r="1259" spans="1:2" ht="15" customHeight="1" x14ac:dyDescent="0.2">
      <c r="A1259" s="32" t="str">
        <f>'Returns  Stats'!A1259</f>
        <v>2026-01-07</v>
      </c>
      <c r="B1259" s="35">
        <f>'MPT Optimisation'!$B$16*'Returns  Stats'!B1259+'MPT Optimisation'!$B$17*'Returns  Stats'!C1259+'MPT Optimisation'!$B$18*'Returns  Stats'!D1259+'MPT Optimisation'!$B$19*'Returns  Stats'!E1259</f>
        <v>-3.6057881848721328E-3</v>
      </c>
    </row>
    <row r="1260" spans="1:2" ht="15" customHeight="1" x14ac:dyDescent="0.2">
      <c r="A1260" s="32" t="str">
        <f>'Returns  Stats'!A1260</f>
        <v>2026-01-08</v>
      </c>
      <c r="B1260" s="35">
        <f>'MPT Optimisation'!$B$16*'Returns  Stats'!B1260+'MPT Optimisation'!$B$17*'Returns  Stats'!C1260+'MPT Optimisation'!$B$18*'Returns  Stats'!D1260+'MPT Optimisation'!$B$19*'Returns  Stats'!E1260</f>
        <v>5.4596818797044691E-4</v>
      </c>
    </row>
    <row r="1261" spans="1:2" ht="15" customHeight="1" x14ac:dyDescent="0.2">
      <c r="A1261" s="32" t="str">
        <f>'Returns  Stats'!A1261</f>
        <v>2026-01-09</v>
      </c>
      <c r="B1261" s="35">
        <f>'MPT Optimisation'!$B$16*'Returns  Stats'!B1261+'MPT Optimisation'!$B$17*'Returns  Stats'!C1261+'MPT Optimisation'!$B$18*'Returns  Stats'!D1261+'MPT Optimisation'!$B$19*'Returns  Stats'!E1261</f>
        <v>6.8622958663409608E-3</v>
      </c>
    </row>
    <row r="1262" spans="1:2" ht="15" customHeight="1" x14ac:dyDescent="0.2">
      <c r="A1262" s="32" t="str">
        <f>'Returns  Stats'!A1262</f>
        <v>2026-01-12</v>
      </c>
      <c r="B1262" s="35">
        <f>'MPT Optimisation'!$B$16*'Returns  Stats'!B1262+'MPT Optimisation'!$B$17*'Returns  Stats'!C1262+'MPT Optimisation'!$B$18*'Returns  Stats'!D1262+'MPT Optimisation'!$B$19*'Returns  Stats'!E1262</f>
        <v>2.9677374978952006E-3</v>
      </c>
    </row>
    <row r="1263" spans="1:2" ht="15" customHeight="1" x14ac:dyDescent="0.2">
      <c r="A1263" s="32" t="str">
        <f>'Returns  Stats'!A1263</f>
        <v>2026-01-13</v>
      </c>
      <c r="B1263" s="35">
        <f>'MPT Optimisation'!$B$16*'Returns  Stats'!B1263+'MPT Optimisation'!$B$17*'Returns  Stats'!C1263+'MPT Optimisation'!$B$18*'Returns  Stats'!D1263+'MPT Optimisation'!$B$19*'Returns  Stats'!E1263</f>
        <v>-2.603018089235565E-3</v>
      </c>
    </row>
    <row r="1264" spans="1:2" ht="15" customHeight="1" x14ac:dyDescent="0.2">
      <c r="A1264" s="32" t="str">
        <f>'Returns  Stats'!A1264</f>
        <v>2026-01-14</v>
      </c>
      <c r="B1264" s="35">
        <f>'MPT Optimisation'!$B$16*'Returns  Stats'!B1264+'MPT Optimisation'!$B$17*'Returns  Stats'!C1264+'MPT Optimisation'!$B$18*'Returns  Stats'!D1264+'MPT Optimisation'!$B$19*'Returns  Stats'!E1264</f>
        <v>-4.4459644731661415E-4</v>
      </c>
    </row>
    <row r="1265" spans="1:2" ht="15" customHeight="1" x14ac:dyDescent="0.2">
      <c r="A1265" s="32" t="str">
        <f>'Returns  Stats'!A1265</f>
        <v>2026-01-15</v>
      </c>
      <c r="B1265" s="35">
        <f>'MPT Optimisation'!$B$16*'Returns  Stats'!B1265+'MPT Optimisation'!$B$17*'Returns  Stats'!C1265+'MPT Optimisation'!$B$18*'Returns  Stats'!D1265+'MPT Optimisation'!$B$19*'Returns  Stats'!E1265</f>
        <v>2.0085342471244049E-3</v>
      </c>
    </row>
    <row r="1266" spans="1:2" ht="15" customHeight="1" x14ac:dyDescent="0.2">
      <c r="A1266" s="32" t="str">
        <f>'Returns  Stats'!A1266</f>
        <v>2026-01-16</v>
      </c>
      <c r="B1266" s="35">
        <f>'MPT Optimisation'!$B$16*'Returns  Stats'!B1266+'MPT Optimisation'!$B$17*'Returns  Stats'!C1266+'MPT Optimisation'!$B$18*'Returns  Stats'!D1266+'MPT Optimisation'!$B$19*'Returns  Stats'!E1266</f>
        <v>9.9239863687365908E-4</v>
      </c>
    </row>
    <row r="1267" spans="1:2" ht="15" customHeight="1" x14ac:dyDescent="0.2">
      <c r="A1267" s="32" t="str">
        <f>'Returns  Stats'!A1267</f>
        <v>2026-01-20</v>
      </c>
      <c r="B1267" s="35">
        <f>'MPT Optimisation'!$B$16*'Returns  Stats'!B1267+'MPT Optimisation'!$B$17*'Returns  Stats'!C1267+'MPT Optimisation'!$B$18*'Returns  Stats'!D1267+'MPT Optimisation'!$B$19*'Returns  Stats'!E1267</f>
        <v>-1.7499583730826444E-2</v>
      </c>
    </row>
    <row r="1268" spans="1:2" ht="15" customHeight="1" x14ac:dyDescent="0.2">
      <c r="A1268" s="32" t="str">
        <f>'Returns  Stats'!A1268</f>
        <v>2026-01-21</v>
      </c>
      <c r="B1268" s="35">
        <f>'MPT Optimisation'!$B$16*'Returns  Stats'!B1268+'MPT Optimisation'!$B$17*'Returns  Stats'!C1268+'MPT Optimisation'!$B$18*'Returns  Stats'!D1268+'MPT Optimisation'!$B$19*'Returns  Stats'!E1268</f>
        <v>1.0562909371449313E-2</v>
      </c>
    </row>
    <row r="1269" spans="1:2" ht="15" customHeight="1" x14ac:dyDescent="0.2">
      <c r="A1269" s="32" t="str">
        <f>'Returns  Stats'!A1269</f>
        <v>2026-01-22</v>
      </c>
      <c r="B1269" s="35">
        <f>'MPT Optimisation'!$B$16*'Returns  Stats'!B1269+'MPT Optimisation'!$B$17*'Returns  Stats'!C1269+'MPT Optimisation'!$B$18*'Returns  Stats'!D1269+'MPT Optimisation'!$B$19*'Returns  Stats'!E1269</f>
        <v>3.8657201153724499E-3</v>
      </c>
    </row>
    <row r="1270" spans="1:2" ht="15" customHeight="1" x14ac:dyDescent="0.2">
      <c r="A1270" s="32" t="str">
        <f>'Returns  Stats'!A1270</f>
        <v>2026-01-23</v>
      </c>
      <c r="B1270" s="35">
        <f>'MPT Optimisation'!$B$16*'Returns  Stats'!B1270+'MPT Optimisation'!$B$17*'Returns  Stats'!C1270+'MPT Optimisation'!$B$18*'Returns  Stats'!D1270+'MPT Optimisation'!$B$19*'Returns  Stats'!E1270</f>
        <v>1.2585795047655559E-3</v>
      </c>
    </row>
    <row r="1271" spans="1:2" ht="15" customHeight="1" x14ac:dyDescent="0.2">
      <c r="A1271" s="32" t="str">
        <f>'Returns  Stats'!A1271</f>
        <v>2026-01-26</v>
      </c>
      <c r="B1271" s="35">
        <f>'MPT Optimisation'!$B$16*'Returns  Stats'!B1271+'MPT Optimisation'!$B$17*'Returns  Stats'!C1271+'MPT Optimisation'!$B$18*'Returns  Stats'!D1271+'MPT Optimisation'!$B$19*'Returns  Stats'!E1271</f>
        <v>4.0990186174346141E-3</v>
      </c>
    </row>
    <row r="1272" spans="1:2" ht="15" customHeight="1" x14ac:dyDescent="0.2">
      <c r="A1272" s="32" t="str">
        <f>'Returns  Stats'!A1272</f>
        <v>2026-01-27</v>
      </c>
      <c r="B1272" s="35">
        <f>'MPT Optimisation'!$B$16*'Returns  Stats'!B1272+'MPT Optimisation'!$B$17*'Returns  Stats'!C1272+'MPT Optimisation'!$B$18*'Returns  Stats'!D1272+'MPT Optimisation'!$B$19*'Returns  Stats'!E1272</f>
        <v>6.9609258356222829E-3</v>
      </c>
    </row>
    <row r="1273" spans="1:2" ht="15" customHeight="1" x14ac:dyDescent="0.2">
      <c r="A1273" s="32" t="str">
        <f>'Returns  Stats'!A1273</f>
        <v>2026-01-28</v>
      </c>
      <c r="B1273" s="35">
        <f>'MPT Optimisation'!$B$16*'Returns  Stats'!B1273+'MPT Optimisation'!$B$17*'Returns  Stats'!C1273+'MPT Optimisation'!$B$18*'Returns  Stats'!D1273+'MPT Optimisation'!$B$19*'Returns  Stats'!E1273</f>
        <v>-4.0401705949417721E-3</v>
      </c>
    </row>
    <row r="1274" spans="1:2" ht="15" customHeight="1" x14ac:dyDescent="0.2">
      <c r="A1274" s="32" t="str">
        <f>'Returns  Stats'!A1274</f>
        <v>2026-01-29</v>
      </c>
      <c r="B1274" s="35">
        <f>'MPT Optimisation'!$B$16*'Returns  Stats'!B1274+'MPT Optimisation'!$B$17*'Returns  Stats'!C1274+'MPT Optimisation'!$B$18*'Returns  Stats'!D1274+'MPT Optimisation'!$B$19*'Returns  Stats'!E1274</f>
        <v>1.3366899321546109E-3</v>
      </c>
    </row>
    <row r="1275" spans="1:2" ht="15" customHeight="1" x14ac:dyDescent="0.2">
      <c r="A1275" s="32" t="str">
        <f>'Returns  Stats'!A1275</f>
        <v>2026-01-30</v>
      </c>
      <c r="B1275" s="35">
        <f>'MPT Optimisation'!$B$16*'Returns  Stats'!B1275+'MPT Optimisation'!$B$17*'Returns  Stats'!C1275+'MPT Optimisation'!$B$18*'Returns  Stats'!D1275+'MPT Optimisation'!$B$19*'Returns  Stats'!E1275</f>
        <v>-5.778039883028524E-3</v>
      </c>
    </row>
    <row r="1276" spans="1:2" ht="15" customHeight="1" x14ac:dyDescent="0.2">
      <c r="A1276" s="32" t="str">
        <f>'Returns  Stats'!A1276</f>
        <v>2026-02-02</v>
      </c>
      <c r="B1276" s="35">
        <f>'MPT Optimisation'!$B$16*'Returns  Stats'!B1276+'MPT Optimisation'!$B$17*'Returns  Stats'!C1276+'MPT Optimisation'!$B$18*'Returns  Stats'!D1276+'MPT Optimisation'!$B$19*'Returns  Stats'!E1276</f>
        <v>4.7552209799749615E-3</v>
      </c>
    </row>
    <row r="1277" spans="1:2" ht="15" customHeight="1" x14ac:dyDescent="0.2">
      <c r="A1277" s="32" t="str">
        <f>'Returns  Stats'!A1277</f>
        <v>2026-02-03</v>
      </c>
      <c r="B1277" s="35">
        <f>'MPT Optimisation'!$B$16*'Returns  Stats'!B1277+'MPT Optimisation'!$B$17*'Returns  Stats'!C1277+'MPT Optimisation'!$B$18*'Returns  Stats'!D1277+'MPT Optimisation'!$B$19*'Returns  Stats'!E1277</f>
        <v>-4.565903598362969E-3</v>
      </c>
    </row>
    <row r="1278" spans="1:2" ht="15" customHeight="1" x14ac:dyDescent="0.2">
      <c r="A1278" s="32" t="str">
        <f>'Returns  Stats'!A1278</f>
        <v>2026-02-04</v>
      </c>
      <c r="B1278" s="35">
        <f>'MPT Optimisation'!$B$16*'Returns  Stats'!B1278+'MPT Optimisation'!$B$17*'Returns  Stats'!C1278+'MPT Optimisation'!$B$18*'Returns  Stats'!D1278+'MPT Optimisation'!$B$19*'Returns  Stats'!E1278</f>
        <v>-1.1596253126600951E-3</v>
      </c>
    </row>
    <row r="1279" spans="1:2" ht="15" customHeight="1" x14ac:dyDescent="0.2">
      <c r="A1279" s="32" t="str">
        <f>'Returns  Stats'!A1279</f>
        <v>2026-02-05</v>
      </c>
      <c r="B1279" s="35">
        <f>'MPT Optimisation'!$B$16*'Returns  Stats'!B1279+'MPT Optimisation'!$B$17*'Returns  Stats'!C1279+'MPT Optimisation'!$B$18*'Returns  Stats'!D1279+'MPT Optimisation'!$B$19*'Returns  Stats'!E1279</f>
        <v>-1.1845830889742103E-2</v>
      </c>
    </row>
    <row r="1280" spans="1:2" ht="15" customHeight="1" x14ac:dyDescent="0.2">
      <c r="A1280" s="32" t="str">
        <f>'Returns  Stats'!A1280</f>
        <v>2026-02-06</v>
      </c>
      <c r="B1280" s="35">
        <f>'MPT Optimisation'!$B$16*'Returns  Stats'!B1280+'MPT Optimisation'!$B$17*'Returns  Stats'!C1280+'MPT Optimisation'!$B$18*'Returns  Stats'!D1280+'MPT Optimisation'!$B$19*'Returns  Stats'!E1280</f>
        <v>2.0321161895654537E-2</v>
      </c>
    </row>
    <row r="1281" spans="1:2" ht="15" customHeight="1" x14ac:dyDescent="0.2">
      <c r="A1281" s="32" t="str">
        <f>'Returns  Stats'!A1281</f>
        <v>2026-02-09</v>
      </c>
      <c r="B1281" s="35">
        <f>'MPT Optimisation'!$B$16*'Returns  Stats'!B1281+'MPT Optimisation'!$B$17*'Returns  Stats'!C1281+'MPT Optimisation'!$B$18*'Returns  Stats'!D1281+'MPT Optimisation'!$B$19*'Returns  Stats'!E1281</f>
        <v>7.2174100993406707E-3</v>
      </c>
    </row>
    <row r="1282" spans="1:2" ht="15" customHeight="1" x14ac:dyDescent="0.2">
      <c r="A1282" s="32" t="str">
        <f>'Returns  Stats'!A1282</f>
        <v>2026-02-10</v>
      </c>
      <c r="B1282" s="35">
        <f>'MPT Optimisation'!$B$16*'Returns  Stats'!B1282+'MPT Optimisation'!$B$17*'Returns  Stats'!C1282+'MPT Optimisation'!$B$18*'Returns  Stats'!D1282+'MPT Optimisation'!$B$19*'Returns  Stats'!E1282</f>
        <v>6.4290042524739558E-5</v>
      </c>
    </row>
    <row r="1283" spans="1:2" ht="15" customHeight="1" x14ac:dyDescent="0.2">
      <c r="A1283" s="32" t="str">
        <f>'Returns  Stats'!A1283</f>
        <v>2026-02-11</v>
      </c>
      <c r="B1283" s="35">
        <f>'MPT Optimisation'!$B$16*'Returns  Stats'!B1283+'MPT Optimisation'!$B$17*'Returns  Stats'!C1283+'MPT Optimisation'!$B$18*'Returns  Stats'!D1283+'MPT Optimisation'!$B$19*'Returns  Stats'!E1283</f>
        <v>1.0439257042458626E-3</v>
      </c>
    </row>
    <row r="1284" spans="1:2" ht="15" customHeight="1" x14ac:dyDescent="0.2">
      <c r="A1284" s="32" t="str">
        <f>'Returns  Stats'!A1284</f>
        <v>2026-02-12</v>
      </c>
      <c r="B1284" s="35">
        <f>'MPT Optimisation'!$B$16*'Returns  Stats'!B1284+'MPT Optimisation'!$B$17*'Returns  Stats'!C1284+'MPT Optimisation'!$B$18*'Returns  Stats'!D1284+'MPT Optimisation'!$B$19*'Returns  Stats'!E1284</f>
        <v>-1.1686608805267588E-2</v>
      </c>
    </row>
    <row r="1285" spans="1:2" ht="15" customHeight="1" x14ac:dyDescent="0.2">
      <c r="A1285" s="32" t="str">
        <f>'Returns  Stats'!A1285</f>
        <v>2026-02-13</v>
      </c>
      <c r="B1285" s="35">
        <f>'MPT Optimisation'!$B$16*'Returns  Stats'!B1285+'MPT Optimisation'!$B$17*'Returns  Stats'!C1285+'MPT Optimisation'!$B$18*'Returns  Stats'!D1285+'MPT Optimisation'!$B$19*'Returns  Stats'!E1285</f>
        <v>2.2794168296073614E-3</v>
      </c>
    </row>
    <row r="1286" spans="1:2" ht="15" customHeight="1" x14ac:dyDescent="0.2">
      <c r="A1286" s="32" t="str">
        <f>'Returns  Stats'!A1286</f>
        <v>2026-02-17</v>
      </c>
      <c r="B1286" s="35">
        <f>'MPT Optimisation'!$B$16*'Returns  Stats'!B1286+'MPT Optimisation'!$B$17*'Returns  Stats'!C1286+'MPT Optimisation'!$B$18*'Returns  Stats'!D1286+'MPT Optimisation'!$B$19*'Returns  Stats'!E1286</f>
        <v>1.17168773692089E-3</v>
      </c>
    </row>
    <row r="1287" spans="1:2" ht="15" customHeight="1" x14ac:dyDescent="0.2">
      <c r="A1287" s="32" t="str">
        <f>'Returns  Stats'!A1287</f>
        <v>2026-02-18</v>
      </c>
      <c r="B1287" s="35">
        <f>'MPT Optimisation'!$B$16*'Returns  Stats'!B1287+'MPT Optimisation'!$B$17*'Returns  Stats'!C1287+'MPT Optimisation'!$B$18*'Returns  Stats'!D1287+'MPT Optimisation'!$B$19*'Returns  Stats'!E1287</f>
        <v>2.8225008029495401E-3</v>
      </c>
    </row>
    <row r="1288" spans="1:2" ht="15" customHeight="1" x14ac:dyDescent="0.2">
      <c r="A1288" s="32" t="str">
        <f>'Returns  Stats'!A1288</f>
        <v>2026-02-19</v>
      </c>
      <c r="B1288" s="35">
        <f>'MPT Optimisation'!$B$16*'Returns  Stats'!B1288+'MPT Optimisation'!$B$17*'Returns  Stats'!C1288+'MPT Optimisation'!$B$18*'Returns  Stats'!D1288+'MPT Optimisation'!$B$19*'Returns  Stats'!E1288</f>
        <v>-2.0631045741181515E-3</v>
      </c>
    </row>
    <row r="1289" spans="1:2" ht="15" customHeight="1" x14ac:dyDescent="0.2">
      <c r="A1289" s="32" t="str">
        <f>'Returns  Stats'!A1289</f>
        <v>2026-02-20</v>
      </c>
      <c r="B1289" s="35">
        <f>'MPT Optimisation'!$B$16*'Returns  Stats'!B1289+'MPT Optimisation'!$B$17*'Returns  Stats'!C1289+'MPT Optimisation'!$B$18*'Returns  Stats'!D1289+'MPT Optimisation'!$B$19*'Returns  Stats'!E1289</f>
        <v>6.5278135795166165E-3</v>
      </c>
    </row>
    <row r="1290" spans="1:2" ht="15" customHeight="1" x14ac:dyDescent="0.2">
      <c r="A1290" s="32" t="str">
        <f>'Returns  Stats'!A1290</f>
        <v>2026-02-23</v>
      </c>
      <c r="B1290" s="35">
        <f>'MPT Optimisation'!$B$16*'Returns  Stats'!B1290+'MPT Optimisation'!$B$17*'Returns  Stats'!C1290+'MPT Optimisation'!$B$18*'Returns  Stats'!D1290+'MPT Optimisation'!$B$19*'Returns  Stats'!E1290</f>
        <v>-7.8435440521065197E-3</v>
      </c>
    </row>
    <row r="1291" spans="1:2" ht="15" customHeight="1" x14ac:dyDescent="0.2">
      <c r="A1291" s="32" t="str">
        <f>'Returns  Stats'!A1291</f>
        <v>2026-02-24</v>
      </c>
      <c r="B1291" s="35">
        <f>'MPT Optimisation'!$B$16*'Returns  Stats'!B1291+'MPT Optimisation'!$B$17*'Returns  Stats'!C1291+'MPT Optimisation'!$B$18*'Returns  Stats'!D1291+'MPT Optimisation'!$B$19*'Returns  Stats'!E1291</f>
        <v>5.5711378972462646E-3</v>
      </c>
    </row>
    <row r="1292" spans="1:2" ht="15" customHeight="1" x14ac:dyDescent="0.2">
      <c r="A1292" s="32" t="str">
        <f>'Returns  Stats'!A1292</f>
        <v>2026-02-25</v>
      </c>
      <c r="B1292" s="35">
        <f>'MPT Optimisation'!$B$16*'Returns  Stats'!B1292+'MPT Optimisation'!$B$17*'Returns  Stats'!C1292+'MPT Optimisation'!$B$18*'Returns  Stats'!D1292+'MPT Optimisation'!$B$19*'Returns  Stats'!E1292</f>
        <v>7.339328083243596E-3</v>
      </c>
    </row>
    <row r="1293" spans="1:2" ht="15" customHeight="1" x14ac:dyDescent="0.2">
      <c r="A1293" s="32" t="str">
        <f>'Returns  Stats'!A1293</f>
        <v>2026-02-26</v>
      </c>
      <c r="B1293" s="35">
        <f>'MPT Optimisation'!$B$16*'Returns  Stats'!B1293+'MPT Optimisation'!$B$17*'Returns  Stats'!C1293+'MPT Optimisation'!$B$18*'Returns  Stats'!D1293+'MPT Optimisation'!$B$19*'Returns  Stats'!E1293</f>
        <v>-2.18584316732191E-3</v>
      </c>
    </row>
    <row r="1294" spans="1:2" ht="15" customHeight="1" x14ac:dyDescent="0.2">
      <c r="A1294" s="32" t="str">
        <f>'Returns  Stats'!A1294</f>
        <v>2026-02-27</v>
      </c>
      <c r="B1294" s="35">
        <f>'MPT Optimisation'!$B$16*'Returns  Stats'!B1294+'MPT Optimisation'!$B$17*'Returns  Stats'!C1294+'MPT Optimisation'!$B$18*'Returns  Stats'!D1294+'MPT Optimisation'!$B$19*'Returns  Stats'!E1294</f>
        <v>-3.3830609323309392E-3</v>
      </c>
    </row>
    <row r="1295" spans="1:2" ht="15" customHeight="1" x14ac:dyDescent="0.2">
      <c r="A1295" s="32" t="str">
        <f>'Returns  Stats'!A1295</f>
        <v>2026-03-02</v>
      </c>
      <c r="B1295" s="35">
        <f>'MPT Optimisation'!$B$16*'Returns  Stats'!B1295+'MPT Optimisation'!$B$17*'Returns  Stats'!C1295+'MPT Optimisation'!$B$18*'Returns  Stats'!D1295+'MPT Optimisation'!$B$19*'Returns  Stats'!E1295</f>
        <v>-5.3759067307123324E-3</v>
      </c>
    </row>
    <row r="1296" spans="1:2" ht="15" customHeight="1" x14ac:dyDescent="0.2">
      <c r="A1296" s="32" t="str">
        <f>'Returns  Stats'!A1296</f>
        <v>2026-03-03</v>
      </c>
      <c r="B1296" s="35">
        <f>'MPT Optimisation'!$B$16*'Returns  Stats'!B1296+'MPT Optimisation'!$B$17*'Returns  Stats'!C1296+'MPT Optimisation'!$B$18*'Returns  Stats'!D1296+'MPT Optimisation'!$B$19*'Returns  Stats'!E1296</f>
        <v>-1.5640702440776293E-2</v>
      </c>
    </row>
    <row r="1297" spans="1:2" ht="15" customHeight="1" x14ac:dyDescent="0.2">
      <c r="A1297" s="32" t="str">
        <f>'Returns  Stats'!A1297</f>
        <v>2026-03-04</v>
      </c>
      <c r="B1297" s="35">
        <f>'MPT Optimisation'!$B$16*'Returns  Stats'!B1297+'MPT Optimisation'!$B$17*'Returns  Stats'!C1297+'MPT Optimisation'!$B$18*'Returns  Stats'!D1297+'MPT Optimisation'!$B$19*'Returns  Stats'!E1297</f>
        <v>8.3059096170223952E-3</v>
      </c>
    </row>
    <row r="1298" spans="1:2" ht="15" customHeight="1" x14ac:dyDescent="0.2">
      <c r="A1298" s="32" t="str">
        <f>'Returns  Stats'!A1298</f>
        <v>2026-03-05</v>
      </c>
      <c r="B1298" s="35">
        <f>'MPT Optimisation'!$B$16*'Returns  Stats'!B1298+'MPT Optimisation'!$B$17*'Returns  Stats'!C1298+'MPT Optimisation'!$B$18*'Returns  Stats'!D1298+'MPT Optimisation'!$B$19*'Returns  Stats'!E1298</f>
        <v>-1.1101319986232455E-2</v>
      </c>
    </row>
    <row r="1299" spans="1:2" ht="15" customHeight="1" x14ac:dyDescent="0.2">
      <c r="A1299" s="32" t="str">
        <f>'Returns  Stats'!A1299</f>
        <v>2026-03-06</v>
      </c>
      <c r="B1299" s="35">
        <f>'MPT Optimisation'!$B$16*'Returns  Stats'!B1299+'MPT Optimisation'!$B$17*'Returns  Stats'!C1299+'MPT Optimisation'!$B$18*'Returns  Stats'!D1299+'MPT Optimisation'!$B$19*'Returns  Stats'!E1299</f>
        <v>-1.1463173498245743E-2</v>
      </c>
    </row>
    <row r="1300" spans="1:2" ht="15" customHeight="1" x14ac:dyDescent="0.2">
      <c r="A1300" s="32" t="str">
        <f>'Returns  Stats'!A1300</f>
        <v>2026-03-09</v>
      </c>
      <c r="B1300" s="35">
        <f>'MPT Optimisation'!$B$16*'Returns  Stats'!B1300+'MPT Optimisation'!$B$17*'Returns  Stats'!C1300+'MPT Optimisation'!$B$18*'Returns  Stats'!D1300+'MPT Optimisation'!$B$19*'Returns  Stats'!E1300</f>
        <v>7.6352873127583975E-3</v>
      </c>
    </row>
    <row r="1301" spans="1:2" ht="15" customHeight="1" x14ac:dyDescent="0.2">
      <c r="A1301" s="32" t="str">
        <f>'Returns  Stats'!A1301</f>
        <v>2026-03-10</v>
      </c>
      <c r="B1301" s="35">
        <f>'MPT Optimisation'!$B$16*'Returns  Stats'!B1301+'MPT Optimisation'!$B$17*'Returns  Stats'!C1301+'MPT Optimisation'!$B$18*'Returns  Stats'!D1301+'MPT Optimisation'!$B$19*'Returns  Stats'!E1301</f>
        <v>-9.2395017511330275E-4</v>
      </c>
    </row>
    <row r="1302" spans="1:2" ht="15" customHeight="1" x14ac:dyDescent="0.2">
      <c r="A1302" s="32" t="str">
        <f>'Returns  Stats'!A1302</f>
        <v>2026-03-11</v>
      </c>
      <c r="B1302" s="35">
        <f>'MPT Optimisation'!$B$16*'Returns  Stats'!B1302+'MPT Optimisation'!$B$17*'Returns  Stats'!C1302+'MPT Optimisation'!$B$18*'Returns  Stats'!D1302+'MPT Optimisation'!$B$19*'Returns  Stats'!E1302</f>
        <v>-1.8635768238955185E-3</v>
      </c>
    </row>
    <row r="1303" spans="1:2" ht="15" customHeight="1" x14ac:dyDescent="0.2">
      <c r="A1303" s="32" t="str">
        <f>'Returns  Stats'!A1303</f>
        <v>2026-03-12</v>
      </c>
      <c r="B1303" s="35">
        <f>'MPT Optimisation'!$B$16*'Returns  Stats'!B1303+'MPT Optimisation'!$B$17*'Returns  Stats'!C1303+'MPT Optimisation'!$B$18*'Returns  Stats'!D1303+'MPT Optimisation'!$B$19*'Returns  Stats'!E1303</f>
        <v>-1.4806097286403409E-2</v>
      </c>
    </row>
    <row r="1304" spans="1:2" ht="15" customHeight="1" x14ac:dyDescent="0.2">
      <c r="A1304" s="32" t="str">
        <f>'Returns  Stats'!A1304</f>
        <v>2026-03-13</v>
      </c>
      <c r="B1304" s="35">
        <f>'MPT Optimisation'!$B$16*'Returns  Stats'!B1304+'MPT Optimisation'!$B$17*'Returns  Stats'!C1304+'MPT Optimisation'!$B$18*'Returns  Stats'!D1304+'MPT Optimisation'!$B$19*'Returns  Stats'!E1304</f>
        <v>-6.8047242465875115E-3</v>
      </c>
    </row>
    <row r="1305" spans="1:2" ht="15" customHeight="1" x14ac:dyDescent="0.2">
      <c r="A1305" s="32" t="str">
        <f>'Returns  Stats'!A1305</f>
        <v>2026-03-16</v>
      </c>
      <c r="B1305" s="35">
        <f>'MPT Optimisation'!$B$16*'Returns  Stats'!B1305+'MPT Optimisation'!$B$17*'Returns  Stats'!C1305+'MPT Optimisation'!$B$18*'Returns  Stats'!D1305+'MPT Optimisation'!$B$19*'Returns  Stats'!E1305</f>
        <v>1.2348127011165545E-2</v>
      </c>
    </row>
    <row r="1306" spans="1:2" ht="15" customHeight="1" x14ac:dyDescent="0.2">
      <c r="A1306" s="32" t="str">
        <f>'Returns  Stats'!A1306</f>
        <v>2026-03-17</v>
      </c>
      <c r="B1306" s="35">
        <f>'MPT Optimisation'!$B$16*'Returns  Stats'!B1306+'MPT Optimisation'!$B$17*'Returns  Stats'!C1306+'MPT Optimisation'!$B$18*'Returns  Stats'!D1306+'MPT Optimisation'!$B$19*'Returns  Stats'!E1306</f>
        <v>3.1682534032782977E-3</v>
      </c>
    </row>
    <row r="1307" spans="1:2" ht="15" customHeight="1" x14ac:dyDescent="0.2">
      <c r="A1307" s="32" t="str">
        <f>'Returns  Stats'!A1307</f>
        <v>2026-03-18</v>
      </c>
      <c r="B1307" s="35">
        <f>'MPT Optimisation'!$B$16*'Returns  Stats'!B1307+'MPT Optimisation'!$B$17*'Returns  Stats'!C1307+'MPT Optimisation'!$B$18*'Returns  Stats'!D1307+'MPT Optimisation'!$B$19*'Returns  Stats'!E1307</f>
        <v>-1.4331658503716411E-2</v>
      </c>
    </row>
    <row r="1308" spans="1:2" ht="15" customHeight="1" x14ac:dyDescent="0.2">
      <c r="A1308" s="32" t="str">
        <f>'Returns  Stats'!A1308</f>
        <v>2026-03-19</v>
      </c>
      <c r="B1308" s="35">
        <f>'MPT Optimisation'!$B$16*'Returns  Stats'!B1308+'MPT Optimisation'!$B$17*'Returns  Stats'!C1308+'MPT Optimisation'!$B$18*'Returns  Stats'!D1308+'MPT Optimisation'!$B$19*'Returns  Stats'!E1308</f>
        <v>-1.7406971189781852E-3</v>
      </c>
    </row>
    <row r="1309" spans="1:2" ht="15" customHeight="1" x14ac:dyDescent="0.2">
      <c r="A1309" s="32" t="str">
        <f>'Returns  Stats'!A1309</f>
        <v>2026-03-20</v>
      </c>
      <c r="B1309" s="35">
        <f>'MPT Optimisation'!$B$16*'Returns  Stats'!B1309+'MPT Optimisation'!$B$17*'Returns  Stats'!C1309+'MPT Optimisation'!$B$18*'Returns  Stats'!D1309+'MPT Optimisation'!$B$19*'Returns  Stats'!E1309</f>
        <v>-2.0477130103241953E-2</v>
      </c>
    </row>
    <row r="1310" spans="1:2" ht="15" customHeight="1" x14ac:dyDescent="0.2">
      <c r="A1310" s="32" t="str">
        <f>'Returns  Stats'!A1310</f>
        <v>2026-03-23</v>
      </c>
      <c r="B1310" s="35">
        <f>'MPT Optimisation'!$B$16*'Returns  Stats'!B1310+'MPT Optimisation'!$B$17*'Returns  Stats'!C1310+'MPT Optimisation'!$B$18*'Returns  Stats'!D1310+'MPT Optimisation'!$B$19*'Returns  Stats'!E1310</f>
        <v>1.499961762606049E-2</v>
      </c>
    </row>
    <row r="1311" spans="1:2" ht="15" customHeight="1" x14ac:dyDescent="0.2">
      <c r="A1311" s="32" t="str">
        <f>'Returns  Stats'!A1311</f>
        <v>2026-03-24</v>
      </c>
      <c r="B1311" s="35">
        <f>'MPT Optimisation'!$B$16*'Returns  Stats'!B1311+'MPT Optimisation'!$B$17*'Returns  Stats'!C1311+'MPT Optimisation'!$B$18*'Returns  Stats'!D1311+'MPT Optimisation'!$B$19*'Returns  Stats'!E1311</f>
        <v>-4.1197366870983909E-3</v>
      </c>
    </row>
    <row r="1312" spans="1:2" ht="15" customHeight="1" x14ac:dyDescent="0.2">
      <c r="A1312" s="32" t="str">
        <f>'Returns  Stats'!A1312</f>
        <v>2026-03-25</v>
      </c>
      <c r="B1312" s="35">
        <f>'MPT Optimisation'!$B$16*'Returns  Stats'!B1312+'MPT Optimisation'!$B$17*'Returns  Stats'!C1312+'MPT Optimisation'!$B$18*'Returns  Stats'!D1312+'MPT Optimisation'!$B$19*'Returns  Stats'!E1312</f>
        <v>8.1717912912828289E-3</v>
      </c>
    </row>
    <row r="1313" spans="1:2" ht="15" customHeight="1" x14ac:dyDescent="0.2">
      <c r="A1313" s="32" t="str">
        <f>'Returns  Stats'!A1313</f>
        <v>2026-03-26</v>
      </c>
      <c r="B1313" s="35">
        <f>'MPT Optimisation'!$B$16*'Returns  Stats'!B1313+'MPT Optimisation'!$B$17*'Returns  Stats'!C1313+'MPT Optimisation'!$B$18*'Returns  Stats'!D1313+'MPT Optimisation'!$B$19*'Returns  Stats'!E1313</f>
        <v>-1.6891820314008453E-2</v>
      </c>
    </row>
    <row r="1314" spans="1:2" ht="15" customHeight="1" x14ac:dyDescent="0.2">
      <c r="A1314" s="32" t="str">
        <f>'Returns  Stats'!A1314</f>
        <v>2026-03-27</v>
      </c>
      <c r="B1314" s="35">
        <f>'MPT Optimisation'!$B$16*'Returns  Stats'!B1314+'MPT Optimisation'!$B$17*'Returns  Stats'!C1314+'MPT Optimisation'!$B$18*'Returns  Stats'!D1314+'MPT Optimisation'!$B$19*'Returns  Stats'!E1314</f>
        <v>-1.3428798647769462E-2</v>
      </c>
    </row>
    <row r="1315" spans="1:2" ht="15" customHeight="1" x14ac:dyDescent="0.2">
      <c r="A1315" s="32" t="str">
        <f>'Returns  Stats'!A1315</f>
        <v>2026-03-30</v>
      </c>
      <c r="B1315" s="35">
        <f>'MPT Optimisation'!$B$16*'Returns  Stats'!B1315+'MPT Optimisation'!$B$17*'Returns  Stats'!C1315+'MPT Optimisation'!$B$18*'Returns  Stats'!D1315+'MPT Optimisation'!$B$19*'Returns  Stats'!E1315</f>
        <v>-1.3952049034398951E-3</v>
      </c>
    </row>
    <row r="1316" spans="1:2" ht="15" customHeight="1" x14ac:dyDescent="0.2">
      <c r="A1316" s="32" t="str">
        <f>'Returns  Stats'!A1316</f>
        <v>2026-03-31</v>
      </c>
      <c r="B1316" s="35">
        <f>'MPT Optimisation'!$B$16*'Returns  Stats'!B1316+'MPT Optimisation'!$B$17*'Returns  Stats'!C1316+'MPT Optimisation'!$B$18*'Returns  Stats'!D1316+'MPT Optimisation'!$B$19*'Returns  Stats'!E1316</f>
        <v>2.8234909252978665E-2</v>
      </c>
    </row>
    <row r="1317" spans="1:2" ht="15" customHeight="1" x14ac:dyDescent="0.2">
      <c r="A1317" s="32" t="str">
        <f>'Returns  Stats'!A1317</f>
        <v>2026-04-01</v>
      </c>
      <c r="B1317" s="35">
        <f>'MPT Optimisation'!$B$16*'Returns  Stats'!B1317+'MPT Optimisation'!$B$17*'Returns  Stats'!C1317+'MPT Optimisation'!$B$18*'Returns  Stats'!D1317+'MPT Optimisation'!$B$19*'Returns  Stats'!E1317</f>
        <v>9.3301692454556984E-3</v>
      </c>
    </row>
    <row r="1318" spans="1:2" ht="15" customHeight="1" x14ac:dyDescent="0.2">
      <c r="A1318" s="32" t="str">
        <f>'Returns  Stats'!A1318</f>
        <v>2026-04-02</v>
      </c>
      <c r="B1318" s="35">
        <f>'MPT Optimisation'!$B$16*'Returns  Stats'!B1318+'MPT Optimisation'!$B$17*'Returns  Stats'!C1318+'MPT Optimisation'!$B$18*'Returns  Stats'!D1318+'MPT Optimisation'!$B$19*'Returns  Stats'!E1318</f>
        <v>-9.476536030961204E-5</v>
      </c>
    </row>
    <row r="1319" spans="1:2" ht="15" customHeight="1" x14ac:dyDescent="0.2">
      <c r="A1319" s="32" t="str">
        <f>'Returns  Stats'!A1319</f>
        <v>2026-04-06</v>
      </c>
      <c r="B1319" s="35">
        <f>'MPT Optimisation'!$B$16*'Returns  Stats'!B1319+'MPT Optimisation'!$B$17*'Returns  Stats'!C1319+'MPT Optimisation'!$B$18*'Returns  Stats'!D1319+'MPT Optimisation'!$B$19*'Returns  Stats'!E1319</f>
        <v>4.1685062366144552E-3</v>
      </c>
    </row>
    <row r="1320" spans="1:2" ht="15" customHeight="1" x14ac:dyDescent="0.2">
      <c r="A1320" s="32" t="str">
        <f>'Returns  Stats'!A1320</f>
        <v>2026-04-07</v>
      </c>
      <c r="B1320" s="35">
        <f>'MPT Optimisation'!$B$16*'Returns  Stats'!B1320+'MPT Optimisation'!$B$17*'Returns  Stats'!C1320+'MPT Optimisation'!$B$18*'Returns  Stats'!D1320+'MPT Optimisation'!$B$19*'Returns  Stats'!E1320</f>
        <v>1.1191568487820545E-4</v>
      </c>
    </row>
    <row r="1321" spans="1:2" ht="15" customHeight="1" x14ac:dyDescent="0.2">
      <c r="A1321" s="32" t="str">
        <f>'Returns  Stats'!A1321</f>
        <v>2026-04-08</v>
      </c>
      <c r="B1321" s="35">
        <f>'MPT Optimisation'!$B$16*'Returns  Stats'!B1321+'MPT Optimisation'!$B$17*'Returns  Stats'!C1321+'MPT Optimisation'!$B$18*'Returns  Stats'!D1321+'MPT Optimisation'!$B$19*'Returns  Stats'!E1321</f>
        <v>2.7992620017256897E-2</v>
      </c>
    </row>
    <row r="1322" spans="1:2" ht="15" customHeight="1" x14ac:dyDescent="0.2">
      <c r="A1322" s="32" t="str">
        <f>'Returns  Stats'!A1322</f>
        <v>2026-04-09</v>
      </c>
      <c r="B1322" s="35">
        <f>'MPT Optimisation'!$B$16*'Returns  Stats'!B1322+'MPT Optimisation'!$B$17*'Returns  Stats'!C1322+'MPT Optimisation'!$B$18*'Returns  Stats'!D1322+'MPT Optimisation'!$B$19*'Returns  Stats'!E1322</f>
        <v>2.8303760301613078E-3</v>
      </c>
    </row>
    <row r="1323" spans="1:2" ht="15" customHeight="1" x14ac:dyDescent="0.2">
      <c r="A1323" s="32" t="str">
        <f>'Returns  Stats'!A1323</f>
        <v>2026-04-10</v>
      </c>
      <c r="B1323" s="35">
        <f>'MPT Optimisation'!$B$16*'Returns  Stats'!B1323+'MPT Optimisation'!$B$17*'Returns  Stats'!C1323+'MPT Optimisation'!$B$18*'Returns  Stats'!D1323+'MPT Optimisation'!$B$19*'Returns  Stats'!E1323</f>
        <v>-1.6381347692007121E-5</v>
      </c>
    </row>
    <row r="1324" spans="1:2" ht="15" customHeight="1" x14ac:dyDescent="0.2">
      <c r="A1324" s="32" t="str">
        <f>'Returns  Stats'!A1324</f>
        <v>2026-04-13</v>
      </c>
      <c r="B1324" s="35">
        <f>'MPT Optimisation'!$B$16*'Returns  Stats'!B1324+'MPT Optimisation'!$B$17*'Returns  Stats'!C1324+'MPT Optimisation'!$B$18*'Returns  Stats'!D1324+'MPT Optimisation'!$B$19*'Returns  Stats'!E1324</f>
        <v>8.6212436944012698E-3</v>
      </c>
    </row>
    <row r="1325" spans="1:2" ht="15" customHeight="1" x14ac:dyDescent="0.2">
      <c r="A1325" s="32" t="str">
        <f>'Returns  Stats'!A1325</f>
        <v>2026-04-14</v>
      </c>
      <c r="B1325" s="35">
        <f>'MPT Optimisation'!$B$16*'Returns  Stats'!B1325+'MPT Optimisation'!$B$17*'Returns  Stats'!C1325+'MPT Optimisation'!$B$18*'Returns  Stats'!D1325+'MPT Optimisation'!$B$19*'Returns  Stats'!E1325</f>
        <v>1.0080455328759695E-2</v>
      </c>
    </row>
    <row r="1326" spans="1:2" ht="15" customHeight="1" x14ac:dyDescent="0.2">
      <c r="A1326" s="32" t="str">
        <f>'Returns  Stats'!A1326</f>
        <v>2026-04-15</v>
      </c>
      <c r="B1326" s="35">
        <f>'MPT Optimisation'!$B$16*'Returns  Stats'!B1326+'MPT Optimisation'!$B$17*'Returns  Stats'!C1326+'MPT Optimisation'!$B$18*'Returns  Stats'!D1326+'MPT Optimisation'!$B$19*'Returns  Stats'!E1326</f>
        <v>3.5369443101754714E-3</v>
      </c>
    </row>
    <row r="1327" spans="1:2" ht="15" customHeight="1" x14ac:dyDescent="0.2">
      <c r="A1327" s="32" t="str">
        <f>'Returns  Stats'!A1327</f>
        <v>2026-04-16</v>
      </c>
      <c r="B1327" s="35">
        <f>'MPT Optimisation'!$B$16*'Returns  Stats'!B1327+'MPT Optimisation'!$B$17*'Returns  Stats'!C1327+'MPT Optimisation'!$B$18*'Returns  Stats'!D1327+'MPT Optimisation'!$B$19*'Returns  Stats'!E1327</f>
        <v>8.9289679362823963E-4</v>
      </c>
    </row>
    <row r="1328" spans="1:2" ht="15" customHeight="1" x14ac:dyDescent="0.2">
      <c r="A1328" s="32" t="str">
        <f>'Returns  Stats'!A1328</f>
        <v>2026-04-17</v>
      </c>
      <c r="B1328" s="35">
        <f>'MPT Optimisation'!$B$16*'Returns  Stats'!B1328+'MPT Optimisation'!$B$17*'Returns  Stats'!C1328+'MPT Optimisation'!$B$18*'Returns  Stats'!D1328+'MPT Optimisation'!$B$19*'Returns  Stats'!E1328</f>
        <v>1.2602584366792591E-2</v>
      </c>
    </row>
    <row r="1329" spans="1:2" ht="15" customHeight="1" x14ac:dyDescent="0.2">
      <c r="A1329" s="32" t="str">
        <f>'Returns  Stats'!A1329</f>
        <v>2026-04-20</v>
      </c>
      <c r="B1329" s="35">
        <f>'MPT Optimisation'!$B$16*'Returns  Stats'!B1329+'MPT Optimisation'!$B$17*'Returns  Stats'!C1329+'MPT Optimisation'!$B$18*'Returns  Stats'!D1329+'MPT Optimisation'!$B$19*'Returns  Stats'!E1329</f>
        <v>-1.5508118764423707E-3</v>
      </c>
    </row>
    <row r="1330" spans="1:2" ht="15" customHeight="1" x14ac:dyDescent="0.2">
      <c r="A1330" s="32" t="str">
        <f>'Returns  Stats'!A1330</f>
        <v>2026-04-21</v>
      </c>
      <c r="B1330" s="35">
        <f>'MPT Optimisation'!$B$16*'Returns  Stats'!B1330+'MPT Optimisation'!$B$17*'Returns  Stats'!C1330+'MPT Optimisation'!$B$18*'Returns  Stats'!D1330+'MPT Optimisation'!$B$19*'Returns  Stats'!E1330</f>
        <v>-1.1714667926176281E-2</v>
      </c>
    </row>
    <row r="1331" spans="1:2" ht="15" customHeight="1" x14ac:dyDescent="0.2">
      <c r="A1331" s="32" t="str">
        <f>'Returns  Stats'!A1331</f>
        <v>2026-04-22</v>
      </c>
      <c r="B1331" s="35">
        <f>'MPT Optimisation'!$B$16*'Returns  Stats'!B1331+'MPT Optimisation'!$B$17*'Returns  Stats'!C1331+'MPT Optimisation'!$B$18*'Returns  Stats'!D1331+'MPT Optimisation'!$B$19*'Returns  Stats'!E1331</f>
        <v>6.4898491976802582E-3</v>
      </c>
    </row>
    <row r="1332" spans="1:2" ht="15" customHeight="1" x14ac:dyDescent="0.2">
      <c r="A1332" s="32" t="str">
        <f>'Returns  Stats'!A1332</f>
        <v>2026-04-23</v>
      </c>
      <c r="B1332" s="35">
        <f>'MPT Optimisation'!$B$16*'Returns  Stats'!B1332+'MPT Optimisation'!$B$17*'Returns  Stats'!C1332+'MPT Optimisation'!$B$18*'Returns  Stats'!D1332+'MPT Optimisation'!$B$19*'Returns  Stats'!E1332</f>
        <v>-4.1407084850460301E-3</v>
      </c>
    </row>
    <row r="1333" spans="1:2" ht="15" customHeight="1" x14ac:dyDescent="0.2">
      <c r="A1333" s="32" t="str">
        <f>'Returns  Stats'!A1333</f>
        <v>2026-04-24</v>
      </c>
      <c r="B1333" s="35">
        <f>'MPT Optimisation'!$B$16*'Returns  Stats'!B1333+'MPT Optimisation'!$B$17*'Returns  Stats'!C1333+'MPT Optimisation'!$B$18*'Returns  Stats'!D1333+'MPT Optimisation'!$B$19*'Returns  Stats'!E1333</f>
        <v>5.4007244951210787E-3</v>
      </c>
    </row>
    <row r="1334" spans="1:2" ht="15" customHeight="1" x14ac:dyDescent="0.2">
      <c r="A1334" s="32" t="str">
        <f>'Returns  Stats'!A1334</f>
        <v>2026-04-27</v>
      </c>
      <c r="B1334" s="35">
        <f>'MPT Optimisation'!$B$16*'Returns  Stats'!B1334+'MPT Optimisation'!$B$17*'Returns  Stats'!C1334+'MPT Optimisation'!$B$18*'Returns  Stats'!D1334+'MPT Optimisation'!$B$19*'Returns  Stats'!E1334</f>
        <v>-6.7966903164778372E-4</v>
      </c>
    </row>
    <row r="1335" spans="1:2" ht="15" customHeight="1" x14ac:dyDescent="0.2">
      <c r="A1335" s="32" t="str">
        <f>'Returns  Stats'!A1335</f>
        <v>2026-04-28</v>
      </c>
      <c r="B1335" s="35">
        <f>'MPT Optimisation'!$B$16*'Returns  Stats'!B1335+'MPT Optimisation'!$B$17*'Returns  Stats'!C1335+'MPT Optimisation'!$B$18*'Returns  Stats'!D1335+'MPT Optimisation'!$B$19*'Returns  Stats'!E1335</f>
        <v>-4.0377495069092613E-3</v>
      </c>
    </row>
    <row r="1336" spans="1:2" ht="15" customHeight="1" x14ac:dyDescent="0.2">
      <c r="A1336" s="32" t="str">
        <f>'Returns  Stats'!A1336</f>
        <v>2026-04-29</v>
      </c>
      <c r="B1336" s="35">
        <f>'MPT Optimisation'!$B$16*'Returns  Stats'!B1336+'MPT Optimisation'!$B$17*'Returns  Stats'!C1336+'MPT Optimisation'!$B$18*'Returns  Stats'!D1336+'MPT Optimisation'!$B$19*'Returns  Stats'!E1336</f>
        <v>-4.3927526734087339E-3</v>
      </c>
    </row>
    <row r="1337" spans="1:2" ht="15" customHeight="1" x14ac:dyDescent="0.2">
      <c r="A1337" s="32" t="str">
        <f>'Returns  Stats'!A1337</f>
        <v>2026-04-30</v>
      </c>
      <c r="B1337" s="35">
        <f>'MPT Optimisation'!$B$16*'Returns  Stats'!B1337+'MPT Optimisation'!$B$17*'Returns  Stats'!C1337+'MPT Optimisation'!$B$18*'Returns  Stats'!D1337+'MPT Optimisation'!$B$19*'Returns  Stats'!E1337</f>
        <v>1.4800826569263816E-2</v>
      </c>
    </row>
    <row r="1338" spans="1:2" ht="15" customHeight="1" x14ac:dyDescent="0.2">
      <c r="A1338" s="32" t="str">
        <f>'Returns  Stats'!A1338</f>
        <v>2026-05-01</v>
      </c>
      <c r="B1338" s="35">
        <f>'MPT Optimisation'!$B$16*'Returns  Stats'!B1338+'MPT Optimisation'!$B$17*'Returns  Stats'!C1338+'MPT Optimisation'!$B$18*'Returns  Stats'!D1338+'MPT Optimisation'!$B$19*'Returns  Stats'!E1338</f>
        <v>1.1610876507428701E-3</v>
      </c>
    </row>
    <row r="1339" spans="1:2" ht="15" customHeight="1" x14ac:dyDescent="0.2">
      <c r="A1339" s="32" t="str">
        <f>'Returns  Stats'!A1339</f>
        <v>2026-05-04</v>
      </c>
      <c r="B1339" s="35">
        <f>'MPT Optimisation'!$B$16*'Returns  Stats'!B1339+'MPT Optimisation'!$B$17*'Returns  Stats'!C1339+'MPT Optimisation'!$B$18*'Returns  Stats'!D1339+'MPT Optimisation'!$B$19*'Returns  Stats'!E1339</f>
        <v>-6.7949428817476671E-3</v>
      </c>
    </row>
    <row r="1340" spans="1:2" ht="15" customHeight="1" x14ac:dyDescent="0.2">
      <c r="A1340" s="32" t="str">
        <f>'Returns  Stats'!A1340</f>
        <v>2026-05-05</v>
      </c>
      <c r="B1340" s="35">
        <f>'MPT Optimisation'!$B$16*'Returns  Stats'!B1340+'MPT Optimisation'!$B$17*'Returns  Stats'!C1340+'MPT Optimisation'!$B$18*'Returns  Stats'!D1340+'MPT Optimisation'!$B$19*'Returns  Stats'!E1340</f>
        <v>9.3424347799539662E-3</v>
      </c>
    </row>
    <row r="1341" spans="1:2" ht="15" customHeight="1" x14ac:dyDescent="0.2">
      <c r="A1341" s="32" t="str">
        <f>'Returns  Stats'!A1341</f>
        <v>2026-05-06</v>
      </c>
      <c r="B1341" s="35">
        <f>'MPT Optimisation'!$B$16*'Returns  Stats'!B1341+'MPT Optimisation'!$B$17*'Returns  Stats'!C1341+'MPT Optimisation'!$B$18*'Returns  Stats'!D1341+'MPT Optimisation'!$B$19*'Returns  Stats'!E1341</f>
        <v>1.7235991134532714E-2</v>
      </c>
    </row>
    <row r="1342" spans="1:2" ht="15" customHeight="1" x14ac:dyDescent="0.2">
      <c r="A1342" s="32" t="str">
        <f>'Returns  Stats'!A1342</f>
        <v>2026-05-07</v>
      </c>
      <c r="B1342" s="35">
        <f>'MPT Optimisation'!$B$16*'Returns  Stats'!B1342+'MPT Optimisation'!$B$17*'Returns  Stats'!C1342+'MPT Optimisation'!$B$18*'Returns  Stats'!D1342+'MPT Optimisation'!$B$19*'Returns  Stats'!E1342</f>
        <v>-8.7295107605736173E-3</v>
      </c>
    </row>
    <row r="1343" spans="1:2" ht="15" customHeight="1" x14ac:dyDescent="0.2">
      <c r="A1343" s="32" t="str">
        <f>'Returns  Stats'!A1343</f>
        <v>2026-05-08</v>
      </c>
      <c r="B1343" s="35">
        <f>'MPT Optimisation'!$B$16*'Returns  Stats'!B1343+'MPT Optimisation'!$B$17*'Returns  Stats'!C1343+'MPT Optimisation'!$B$18*'Returns  Stats'!D1343+'MPT Optimisation'!$B$19*'Returns  Stats'!E1343</f>
        <v>7.8028575284901256E-3</v>
      </c>
    </row>
    <row r="1344" spans="1:2" ht="15" customHeight="1" x14ac:dyDescent="0.2">
      <c r="A1344" s="32" t="str">
        <f>'Returns  Stats'!A1344</f>
        <v>2026-05-11</v>
      </c>
      <c r="B1344" s="35">
        <f>'MPT Optimisation'!$B$16*'Returns  Stats'!B1344+'MPT Optimisation'!$B$17*'Returns  Stats'!C1344+'MPT Optimisation'!$B$18*'Returns  Stats'!D1344+'MPT Optimisation'!$B$19*'Returns  Stats'!E1344</f>
        <v>5.2696598472127816E-4</v>
      </c>
    </row>
    <row r="1345" spans="1:2" ht="15" customHeight="1" x14ac:dyDescent="0.2">
      <c r="A1345" s="32" t="str">
        <f>'Returns  Stats'!A1345</f>
        <v>2026-05-12</v>
      </c>
      <c r="B1345" s="35">
        <f>'MPT Optimisation'!$B$16*'Returns  Stats'!B1345+'MPT Optimisation'!$B$17*'Returns  Stats'!C1345+'MPT Optimisation'!$B$18*'Returns  Stats'!D1345+'MPT Optimisation'!$B$19*'Returns  Stats'!E1345</f>
        <v>-3.2677028870803202E-3</v>
      </c>
    </row>
    <row r="1346" spans="1:2" ht="15" customHeight="1" x14ac:dyDescent="0.2">
      <c r="A1346" s="32" t="str">
        <f>'Returns  Stats'!A1346</f>
        <v>2026-05-13</v>
      </c>
      <c r="B1346" s="35">
        <f>'MPT Optimisation'!$B$16*'Returns  Stats'!B1346+'MPT Optimisation'!$B$17*'Returns  Stats'!C1346+'MPT Optimisation'!$B$18*'Returns  Stats'!D1346+'MPT Optimisation'!$B$19*'Returns  Stats'!E1346</f>
        <v>4.788953348772545E-3</v>
      </c>
    </row>
    <row r="1347" spans="1:2" ht="15" customHeight="1" x14ac:dyDescent="0.2">
      <c r="A1347" s="32" t="str">
        <f>'Returns  Stats'!A1347</f>
        <v>2026-05-14</v>
      </c>
      <c r="B1347" s="35">
        <f>'MPT Optimisation'!$B$16*'Returns  Stats'!B1347+'MPT Optimisation'!$B$17*'Returns  Stats'!C1347+'MPT Optimisation'!$B$18*'Returns  Stats'!D1347+'MPT Optimisation'!$B$19*'Returns  Stats'!E1347</f>
        <v>3.0439646187394422E-3</v>
      </c>
    </row>
    <row r="1348" spans="1:2" ht="15" customHeight="1" x14ac:dyDescent="0.2">
      <c r="A1348" s="32" t="str">
        <f>'Returns  Stats'!A1348</f>
        <v>2026-05-15</v>
      </c>
      <c r="B1348" s="35">
        <f>'MPT Optimisation'!$B$16*'Returns  Stats'!B1348+'MPT Optimisation'!$B$17*'Returns  Stats'!C1348+'MPT Optimisation'!$B$18*'Returns  Stats'!D1348+'MPT Optimisation'!$B$19*'Returns  Stats'!E1348</f>
        <v>-1.37095704842856E-2</v>
      </c>
    </row>
    <row r="1349" spans="1:2" ht="15" customHeight="1" x14ac:dyDescent="0.2">
      <c r="A1349" s="32" t="str">
        <f>'Returns  Stats'!A1349</f>
        <v>2026-05-18</v>
      </c>
      <c r="B1349" s="35">
        <f>'MPT Optimisation'!$B$16*'Returns  Stats'!B1349+'MPT Optimisation'!$B$17*'Returns  Stats'!C1349+'MPT Optimisation'!$B$18*'Returns  Stats'!D1349+'MPT Optimisation'!$B$19*'Returns  Stats'!E1349</f>
        <v>2.7243090173959925E-3</v>
      </c>
    </row>
    <row r="1350" spans="1:2" ht="15" customHeight="1" x14ac:dyDescent="0.2">
      <c r="A1350" s="32" t="str">
        <f>'Returns  Stats'!A1350</f>
        <v>2026-05-19</v>
      </c>
      <c r="B1350" s="35">
        <f>'MPT Optimisation'!$B$16*'Returns  Stats'!B1350+'MPT Optimisation'!$B$17*'Returns  Stats'!C1350+'MPT Optimisation'!$B$18*'Returns  Stats'!D1350+'MPT Optimisation'!$B$19*'Returns  Stats'!E1350</f>
        <v>-6.0225715136596573E-3</v>
      </c>
    </row>
    <row r="1351" spans="1:2" ht="15" customHeight="1" x14ac:dyDescent="0.2">
      <c r="A1351" s="32" t="str">
        <f>'Returns  Stats'!A1351</f>
        <v>2026-05-20</v>
      </c>
      <c r="B1351" s="35">
        <f>'MPT Optimisation'!$B$16*'Returns  Stats'!B1351+'MPT Optimisation'!$B$17*'Returns  Stats'!C1351+'MPT Optimisation'!$B$18*'Returns  Stats'!D1351+'MPT Optimisation'!$B$19*'Returns  Stats'!E1351</f>
        <v>1.2823225837843276E-2</v>
      </c>
    </row>
    <row r="1352" spans="1:2" ht="15" customHeight="1" x14ac:dyDescent="0.2">
      <c r="A1352" s="32" t="str">
        <f>'Returns  Stats'!A1352</f>
        <v>2026-05-21</v>
      </c>
      <c r="B1352" s="35">
        <f>'MPT Optimisation'!$B$16*'Returns  Stats'!B1352+'MPT Optimisation'!$B$17*'Returns  Stats'!C1352+'MPT Optimisation'!$B$18*'Returns  Stats'!D1352+'MPT Optimisation'!$B$19*'Returns  Stats'!E1352</f>
        <v>3.2873777475306842E-3</v>
      </c>
    </row>
    <row r="1353" spans="1:2" ht="15" customHeight="1" x14ac:dyDescent="0.2">
      <c r="A1353" s="32" t="str">
        <f>'Returns  Stats'!A1353</f>
        <v>2026-05-22</v>
      </c>
      <c r="B1353" s="35">
        <f>'MPT Optimisation'!$B$16*'Returns  Stats'!B1353+'MPT Optimisation'!$B$17*'Returns  Stats'!C1353+'MPT Optimisation'!$B$18*'Returns  Stats'!D1353+'MPT Optimisation'!$B$19*'Returns  Stats'!E1353</f>
        <v>2.2917523522124283E-3</v>
      </c>
    </row>
    <row r="1354" spans="1:2" ht="15" customHeight="1" x14ac:dyDescent="0.2">
      <c r="A1354" s="32" t="str">
        <f>'Returns  Stats'!A1354</f>
        <v>2026-05-26</v>
      </c>
      <c r="B1354" s="35">
        <f>'MPT Optimisation'!$B$16*'Returns  Stats'!B1354+'MPT Optimisation'!$B$17*'Returns  Stats'!C1354+'MPT Optimisation'!$B$18*'Returns  Stats'!D1354+'MPT Optimisation'!$B$19*'Returns  Stats'!E1354</f>
        <v>8.0602528184884666E-3</v>
      </c>
    </row>
    <row r="1355" spans="1:2" ht="15" customHeight="1" x14ac:dyDescent="0.2">
      <c r="A1355" s="32" t="str">
        <f>'Returns  Stats'!A1355</f>
        <v>2026-05-27</v>
      </c>
      <c r="B1355" s="35">
        <f>'MPT Optimisation'!$B$16*'Returns  Stats'!B1355+'MPT Optimisation'!$B$17*'Returns  Stats'!C1355+'MPT Optimisation'!$B$18*'Returns  Stats'!D1355+'MPT Optimisation'!$B$19*'Returns  Stats'!E1355</f>
        <v>-1.303501144703928E-3</v>
      </c>
    </row>
    <row r="1356" spans="1:2" ht="15" customHeight="1" x14ac:dyDescent="0.2">
      <c r="A1356" s="32" t="str">
        <f>'Returns  Stats'!A1356</f>
        <v>2026-05-28</v>
      </c>
      <c r="B1356" s="35">
        <f>'MPT Optimisation'!$B$16*'Returns  Stats'!B1356+'MPT Optimisation'!$B$17*'Returns  Stats'!C1356+'MPT Optimisation'!$B$18*'Returns  Stats'!D1356+'MPT Optimisation'!$B$19*'Returns  Stats'!E1356</f>
        <v>3.4175006091429591E-3</v>
      </c>
    </row>
    <row r="1357" spans="1:2" ht="15" customHeight="1" x14ac:dyDescent="0.2">
      <c r="A1357" s="32" t="str">
        <f>'Returns  Stats'!A1357</f>
        <v>2026-05-29</v>
      </c>
      <c r="B1357" s="35">
        <f>'MPT Optimisation'!$B$16*'Returns  Stats'!B1357+'MPT Optimisation'!$B$17*'Returns  Stats'!C1357+'MPT Optimisation'!$B$18*'Returns  Stats'!D1357+'MPT Optimisation'!$B$19*'Returns  Stats'!E1357</f>
        <v>1.3260402890718447E-3</v>
      </c>
    </row>
    <row r="1358" spans="1:2" ht="15" customHeight="1" x14ac:dyDescent="0.2">
      <c r="A1358" s="32" t="str">
        <f>'Returns  Stats'!A1358</f>
        <v>2026-06-01</v>
      </c>
      <c r="B1358" s="35">
        <f>'MPT Optimisation'!$B$16*'Returns  Stats'!B1358+'MPT Optimisation'!$B$17*'Returns  Stats'!C1358+'MPT Optimisation'!$B$18*'Returns  Stats'!D1358+'MPT Optimisation'!$B$19*'Returns  Stats'!E1358</f>
        <v>-5.1146428187764947E-4</v>
      </c>
    </row>
    <row r="1359" spans="1:2" ht="15" customHeight="1" x14ac:dyDescent="0.2">
      <c r="A1359" s="32" t="str">
        <f>'Returns  Stats'!A1359</f>
        <v>2026-06-02</v>
      </c>
      <c r="B1359" s="35">
        <f>'MPT Optimisation'!$B$16*'Returns  Stats'!B1359+'MPT Optimisation'!$B$17*'Returns  Stats'!C1359+'MPT Optimisation'!$B$18*'Returns  Stats'!D1359+'MPT Optimisation'!$B$19*'Returns  Stats'!E1359</f>
        <v>3.4522732970778125E-3</v>
      </c>
    </row>
    <row r="1360" spans="1:2" ht="15" customHeight="1" x14ac:dyDescent="0.2">
      <c r="A1360" s="32" t="str">
        <f>'Returns  Stats'!A1360</f>
        <v>2026-06-03</v>
      </c>
      <c r="B1360" s="35">
        <f>'MPT Optimisation'!$B$16*'Returns  Stats'!B1360+'MPT Optimisation'!$B$17*'Returns  Stats'!C1360+'MPT Optimisation'!$B$18*'Returns  Stats'!D1360+'MPT Optimisation'!$B$19*'Returns  Stats'!E1360</f>
        <v>-7.0789041901479942E-3</v>
      </c>
    </row>
    <row r="1361" spans="1:2" ht="15" customHeight="1" x14ac:dyDescent="0.2">
      <c r="A1361" s="32" t="str">
        <f>'Returns  Stats'!A1361</f>
        <v>2026-06-04</v>
      </c>
      <c r="B1361" s="35">
        <f>'MPT Optimisation'!$B$16*'Returns  Stats'!B1361+'MPT Optimisation'!$B$17*'Returns  Stats'!C1361+'MPT Optimisation'!$B$18*'Returns  Stats'!D1361+'MPT Optimisation'!$B$19*'Returns  Stats'!E1361</f>
        <v>6.1606976284161556E-3</v>
      </c>
    </row>
    <row r="1362" spans="1:2" ht="15" customHeight="1" x14ac:dyDescent="0.2">
      <c r="A1362" s="32" t="str">
        <f>'Returns  Stats'!A1362</f>
        <v>2026-06-05</v>
      </c>
      <c r="B1362" s="35">
        <f>'MPT Optimisation'!$B$16*'Returns  Stats'!B1362+'MPT Optimisation'!$B$17*'Returns  Stats'!C1362+'MPT Optimisation'!$B$18*'Returns  Stats'!D1362+'MPT Optimisation'!$B$19*'Returns  Stats'!E1362</f>
        <v>-2.3648090994640339E-2</v>
      </c>
    </row>
    <row r="1363" spans="1:2" ht="15" customHeight="1" x14ac:dyDescent="0.2">
      <c r="A1363" s="32" t="str">
        <f>'Returns  Stats'!A1363</f>
        <v>2026-06-08</v>
      </c>
      <c r="B1363" s="35">
        <f>'MPT Optimisation'!$B$16*'Returns  Stats'!B1363+'MPT Optimisation'!$B$17*'Returns  Stats'!C1363+'MPT Optimisation'!$B$18*'Returns  Stats'!D1363+'MPT Optimisation'!$B$19*'Returns  Stats'!E1363</f>
        <v>2.9367208077275939E-3</v>
      </c>
    </row>
    <row r="1364" spans="1:2" ht="15" customHeight="1" x14ac:dyDescent="0.2">
      <c r="A1364" s="32" t="str">
        <f>'Returns  Stats'!A1364</f>
        <v>2026-06-09</v>
      </c>
      <c r="B1364" s="35">
        <f>'MPT Optimisation'!$B$16*'Returns  Stats'!B1364+'MPT Optimisation'!$B$17*'Returns  Stats'!C1364+'MPT Optimisation'!$B$18*'Returns  Stats'!D1364+'MPT Optimisation'!$B$19*'Returns  Stats'!E1364</f>
        <v>-4.5814479573636288E-6</v>
      </c>
    </row>
    <row r="1365" spans="1:2" ht="15" customHeight="1" x14ac:dyDescent="0.2">
      <c r="A1365" s="32" t="str">
        <f>'Returns  Stats'!A1365</f>
        <v>2026-06-10</v>
      </c>
      <c r="B1365" s="35">
        <f>'MPT Optimisation'!$B$16*'Returns  Stats'!B1365+'MPT Optimisation'!$B$17*'Returns  Stats'!C1365+'MPT Optimisation'!$B$18*'Returns  Stats'!D1365+'MPT Optimisation'!$B$19*'Returns  Stats'!E1365</f>
        <v>-1.3191579708221395E-2</v>
      </c>
    </row>
    <row r="1366" spans="1:2" ht="15" customHeight="1" x14ac:dyDescent="0.2">
      <c r="A1366" s="32" t="str">
        <f>'Returns  Stats'!A1366</f>
        <v>2026-06-11</v>
      </c>
      <c r="B1366" s="35">
        <f>'MPT Optimisation'!$B$16*'Returns  Stats'!B1366+'MPT Optimisation'!$B$17*'Returns  Stats'!C1366+'MPT Optimisation'!$B$18*'Returns  Stats'!D1366+'MPT Optimisation'!$B$19*'Returns  Stats'!E1366</f>
        <v>2.0077978867094667E-2</v>
      </c>
    </row>
    <row r="1367" spans="1:2" ht="15" customHeight="1" x14ac:dyDescent="0.2">
      <c r="A1367" s="32" t="str">
        <f>'Returns  Stats'!A1367</f>
        <v>2026-06-12</v>
      </c>
      <c r="B1367" s="35">
        <f>'MPT Optimisation'!$B$16*'Returns  Stats'!B1367+'MPT Optimisation'!$B$17*'Returns  Stats'!C1367+'MPT Optimisation'!$B$18*'Returns  Stats'!D1367+'MPT Optimisation'!$B$19*'Returns  Stats'!E1367</f>
        <v>4.6237918458025213E-3</v>
      </c>
    </row>
    <row r="1368" spans="1:2" ht="15" customHeight="1" x14ac:dyDescent="0.2">
      <c r="A1368" s="32" t="str">
        <f>'Returns  Stats'!A1368</f>
        <v>2026-06-15</v>
      </c>
      <c r="B1368" s="35">
        <f>'MPT Optimisation'!$B$16*'Returns  Stats'!B1368+'MPT Optimisation'!$B$17*'Returns  Stats'!C1368+'MPT Optimisation'!$B$18*'Returns  Stats'!D1368+'MPT Optimisation'!$B$19*'Returns  Stats'!E1368</f>
        <v>1.181990263973005E-2</v>
      </c>
    </row>
    <row r="1369" spans="1:2" ht="15" customHeight="1" x14ac:dyDescent="0.2">
      <c r="A1369" s="32" t="str">
        <f>'Returns  Stats'!A1369</f>
        <v>2026-06-16</v>
      </c>
      <c r="B1369" s="35">
        <f>'MPT Optimisation'!$B$16*'Returns  Stats'!B1369+'MPT Optimisation'!$B$17*'Returns  Stats'!C1369+'MPT Optimisation'!$B$18*'Returns  Stats'!D1369+'MPT Optimisation'!$B$19*'Returns  Stats'!E1369</f>
        <v>-2.6326112771589581E-3</v>
      </c>
    </row>
    <row r="1370" spans="1:2" ht="15" customHeight="1" x14ac:dyDescent="0.2">
      <c r="A1370" s="32" t="str">
        <f>'Returns  Stats'!A1370</f>
        <v>2026-06-17</v>
      </c>
      <c r="B1370" s="35">
        <f>'MPT Optimisation'!$B$16*'Returns  Stats'!B1370+'MPT Optimisation'!$B$17*'Returns  Stats'!C1370+'MPT Optimisation'!$B$18*'Returns  Stats'!D1370+'MPT Optimisation'!$B$19*'Returns  Stats'!E1370</f>
        <v>-1.0423601953652084E-2</v>
      </c>
    </row>
    <row r="1371" spans="1:2" ht="15" customHeight="1" x14ac:dyDescent="0.2">
      <c r="A1371" s="32" t="str">
        <f>'Returns  Stats'!A1371</f>
        <v>2026-06-18</v>
      </c>
      <c r="B1371" s="35">
        <f>'MPT Optimisation'!$B$16*'Returns  Stats'!B1371+'MPT Optimisation'!$B$17*'Returns  Stats'!C1371+'MPT Optimisation'!$B$18*'Returns  Stats'!D1371+'MPT Optimisation'!$B$19*'Returns  Stats'!E1371</f>
        <v>8.8809909598449206E-3</v>
      </c>
    </row>
    <row r="1372" spans="1:2" ht="15" customHeight="1" x14ac:dyDescent="0.2">
      <c r="A1372" s="32" t="str">
        <f>'Returns  Stats'!A1372</f>
        <v>2026-06-22</v>
      </c>
      <c r="B1372" s="35">
        <f>'MPT Optimisation'!$B$16*'Returns  Stats'!B1372+'MPT Optimisation'!$B$17*'Returns  Stats'!C1372+'MPT Optimisation'!$B$18*'Returns  Stats'!D1372+'MPT Optimisation'!$B$19*'Returns  Stats'!E1372</f>
        <v>-1.0226701695635163E-3</v>
      </c>
    </row>
    <row r="1373" spans="1:2" ht="15" customHeight="1" x14ac:dyDescent="0.2">
      <c r="A1373" s="32" t="str">
        <f>'Returns  Stats'!A1373</f>
        <v>2026-06-23</v>
      </c>
      <c r="B1373" s="35">
        <f>'MPT Optimisation'!$B$16*'Returns  Stats'!B1373+'MPT Optimisation'!$B$17*'Returns  Stats'!C1373+'MPT Optimisation'!$B$18*'Returns  Stats'!D1373+'MPT Optimisation'!$B$19*'Returns  Stats'!E1373</f>
        <v>-1.3696715859885199E-2</v>
      </c>
    </row>
    <row r="1374" spans="1:2" ht="15" customHeight="1" x14ac:dyDescent="0.2">
      <c r="A1374" s="32" t="str">
        <f>'Returns  Stats'!A1374</f>
        <v>2026-06-24</v>
      </c>
      <c r="B1374" s="35">
        <f>'MPT Optimisation'!$B$16*'Returns  Stats'!B1374+'MPT Optimisation'!$B$17*'Returns  Stats'!C1374+'MPT Optimisation'!$B$18*'Returns  Stats'!D1374+'MPT Optimisation'!$B$19*'Returns  Stats'!E1374</f>
        <v>-4.2236672428224147E-4</v>
      </c>
    </row>
    <row r="1375" spans="1:2" ht="15" customHeight="1" x14ac:dyDescent="0.2">
      <c r="A1375" s="32" t="str">
        <f>'Returns  Stats'!A1375</f>
        <v>2026-06-25</v>
      </c>
      <c r="B1375" s="35">
        <f>'MPT Optimisation'!$B$16*'Returns  Stats'!B1375+'MPT Optimisation'!$B$17*'Returns  Stats'!C1375+'MPT Optimisation'!$B$18*'Returns  Stats'!D1375+'MPT Optimisation'!$B$19*'Returns  Stats'!E1375</f>
        <v>3.2785174360029589E-3</v>
      </c>
    </row>
    <row r="1376" spans="1:2" ht="15" customHeight="1" x14ac:dyDescent="0.2">
      <c r="A1376" s="32" t="str">
        <f>'Returns  Stats'!A1376</f>
        <v>2026-06-26</v>
      </c>
      <c r="B1376" s="35">
        <f>'MPT Optimisation'!$B$16*'Returns  Stats'!B1376+'MPT Optimisation'!$B$17*'Returns  Stats'!C1376+'MPT Optimisation'!$B$18*'Returns  Stats'!D1376+'MPT Optimisation'!$B$19*'Returns  Stats'!E1376</f>
        <v>-2.1510734566254847E-3</v>
      </c>
    </row>
    <row r="1377" spans="1:2" ht="15" customHeight="1" x14ac:dyDescent="0.2">
      <c r="A1377" s="32" t="str">
        <f>'Returns  Stats'!A1377</f>
        <v>2026-06-29</v>
      </c>
      <c r="B1377" s="35">
        <f>'MPT Optimisation'!$B$16*'Returns  Stats'!B1377+'MPT Optimisation'!$B$17*'Returns  Stats'!C1377+'MPT Optimisation'!$B$18*'Returns  Stats'!D1377+'MPT Optimisation'!$B$19*'Returns  Stats'!E1377</f>
        <v>1.0530568658662486E-2</v>
      </c>
    </row>
    <row r="1378" spans="1:2" ht="15" customHeight="1" x14ac:dyDescent="0.2">
      <c r="A1378" s="32" t="str">
        <f>'Returns  Stats'!A1378</f>
        <v>2026-06-30</v>
      </c>
      <c r="B1378" s="35">
        <f>'MPT Optimisation'!$B$16*'Returns  Stats'!B1378+'MPT Optimisation'!$B$17*'Returns  Stats'!C1378+'MPT Optimisation'!$B$18*'Returns  Stats'!D1378+'MPT Optimisation'!$B$19*'Returns  Stats'!E1378</f>
        <v>4.946837434985518E-3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zoomScaleNormal="100" workbookViewId="0">
      <selection activeCell="D28" sqref="D28"/>
    </sheetView>
  </sheetViews>
  <sheetFormatPr baseColWidth="10" defaultColWidth="8.6640625" defaultRowHeight="15" x14ac:dyDescent="0.2"/>
  <cols>
    <col min="1" max="1" width="22" customWidth="1"/>
    <col min="2" max="2" width="14" customWidth="1"/>
    <col min="3" max="3" width="12" customWidth="1"/>
    <col min="4" max="4" width="14" customWidth="1"/>
    <col min="5" max="5" width="16" customWidth="1"/>
  </cols>
  <sheetData>
    <row r="1" spans="1:5" ht="15.75" customHeight="1" x14ac:dyDescent="0.2">
      <c r="A1" s="2"/>
      <c r="B1" s="2"/>
      <c r="C1" s="2"/>
      <c r="D1" s="2"/>
    </row>
    <row r="3" spans="1:5" ht="15" customHeight="1" x14ac:dyDescent="0.2">
      <c r="A3" s="5" t="s">
        <v>1413</v>
      </c>
      <c r="B3" s="17">
        <f>'MPT Optimisation'!B3</f>
        <v>20000000</v>
      </c>
    </row>
    <row r="4" spans="1:5" ht="15" customHeight="1" x14ac:dyDescent="0.2">
      <c r="A4" s="5" t="s">
        <v>1414</v>
      </c>
      <c r="B4" s="7">
        <f>AVERAGE('Portfolio Returns'!B4:B1378)</f>
        <v>4.890803514591911E-4</v>
      </c>
    </row>
    <row r="5" spans="1:5" ht="15" customHeight="1" x14ac:dyDescent="0.2">
      <c r="A5" s="5" t="s">
        <v>1415</v>
      </c>
      <c r="B5" s="7">
        <f>STDEV('Portfolio Returns'!B4:B1378)</f>
        <v>9.6587344293700451E-3</v>
      </c>
    </row>
    <row r="7" spans="1:5" ht="15" customHeight="1" x14ac:dyDescent="0.2">
      <c r="A7" s="6" t="s">
        <v>1416</v>
      </c>
      <c r="B7" s="6" t="s">
        <v>1417</v>
      </c>
      <c r="C7" s="6" t="s">
        <v>1418</v>
      </c>
      <c r="D7" s="6" t="s">
        <v>1419</v>
      </c>
      <c r="E7" s="6" t="s">
        <v>1420</v>
      </c>
    </row>
    <row r="8" spans="1:5" ht="15" customHeight="1" x14ac:dyDescent="0.2">
      <c r="A8" s="5" t="s">
        <v>1421</v>
      </c>
      <c r="B8" s="18">
        <v>0.95</v>
      </c>
      <c r="C8" s="10">
        <f>NORMSINV(B8)</f>
        <v>1.6448536269514715</v>
      </c>
      <c r="D8" s="7">
        <f>C8*$B$5-$B$4</f>
        <v>1.5398124006451179E-2</v>
      </c>
      <c r="E8" s="15">
        <f>D8*$B$3</f>
        <v>307962.48012902361</v>
      </c>
    </row>
    <row r="9" spans="1:5" ht="15" customHeight="1" x14ac:dyDescent="0.2">
      <c r="A9" s="5" t="s">
        <v>1422</v>
      </c>
      <c r="B9" s="18">
        <v>0.99</v>
      </c>
      <c r="C9" s="10">
        <f>NORMSINV(B9)</f>
        <v>2.3263478740408408</v>
      </c>
      <c r="D9" s="7">
        <f>C9*$B$5-$B$4</f>
        <v>2.1980495954230888E-2</v>
      </c>
      <c r="E9" s="15">
        <f>D9*$B$3</f>
        <v>439609.91908461775</v>
      </c>
    </row>
    <row r="11" spans="1:5" ht="30" customHeight="1" x14ac:dyDescent="0.2">
      <c r="A11" s="1"/>
      <c r="B11" s="1"/>
      <c r="C11" s="1"/>
      <c r="D11" s="1"/>
      <c r="E11" s="1"/>
    </row>
  </sheetData>
  <mergeCells count="2">
    <mergeCell ref="A1:D1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3" width="14" customWidth="1"/>
    <col min="4" max="4" width="16" customWidth="1"/>
  </cols>
  <sheetData>
    <row r="1" spans="1:5" ht="15.75" customHeight="1" x14ac:dyDescent="0.2">
      <c r="A1" s="2"/>
      <c r="B1" s="2"/>
      <c r="C1" s="2"/>
      <c r="D1" s="2"/>
    </row>
    <row r="3" spans="1:5" ht="15" customHeight="1" x14ac:dyDescent="0.2">
      <c r="A3" s="5" t="s">
        <v>1413</v>
      </c>
      <c r="B3" s="17">
        <f>'MPT Optimisation'!B3</f>
        <v>20000000</v>
      </c>
    </row>
    <row r="5" spans="1:5" ht="27.75" customHeight="1" x14ac:dyDescent="0.2">
      <c r="A5" s="1"/>
      <c r="B5" s="1"/>
      <c r="C5" s="1"/>
      <c r="D5" s="1"/>
      <c r="E5" s="1"/>
    </row>
    <row r="7" spans="1:5" ht="15" customHeight="1" x14ac:dyDescent="0.2">
      <c r="A7" s="6" t="s">
        <v>1416</v>
      </c>
      <c r="B7" s="6" t="s">
        <v>1423</v>
      </c>
      <c r="C7" s="6" t="s">
        <v>1419</v>
      </c>
      <c r="D7" s="6" t="s">
        <v>1420</v>
      </c>
    </row>
    <row r="8" spans="1:5" ht="15" customHeight="1" x14ac:dyDescent="0.2">
      <c r="A8" s="5" t="s">
        <v>1421</v>
      </c>
      <c r="B8" s="18">
        <v>0.05</v>
      </c>
      <c r="C8" s="7">
        <f>-PERCENTILE('Portfolio Returns'!B4:B1378,B8)</f>
        <v>1.4680100765435366E-2</v>
      </c>
      <c r="D8" s="15">
        <f>C8*$B$3</f>
        <v>293602.01530870731</v>
      </c>
    </row>
    <row r="9" spans="1:5" ht="15" customHeight="1" x14ac:dyDescent="0.2">
      <c r="A9" s="5" t="s">
        <v>1422</v>
      </c>
      <c r="B9" s="18">
        <v>0.01</v>
      </c>
      <c r="C9" s="7">
        <f>-PERCENTILE('Portfolio Returns'!B4:B1378,B9)</f>
        <v>2.6258658126963916E-2</v>
      </c>
      <c r="D9" s="15">
        <f>C9*$B$3</f>
        <v>525173.16253927827</v>
      </c>
    </row>
  </sheetData>
  <mergeCells count="2">
    <mergeCell ref="A1:D1"/>
    <mergeCell ref="A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1"/>
  <sheetViews>
    <sheetView zoomScaleNormal="100" workbookViewId="0">
      <selection activeCell="F9" sqref="F9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3" width="14" customWidth="1"/>
    <col min="4" max="4" width="16" customWidth="1"/>
    <col min="8" max="8" width="10" customWidth="1"/>
  </cols>
  <sheetData>
    <row r="1" spans="1:8" ht="15.75" customHeight="1" x14ac:dyDescent="0.2">
      <c r="A1" s="2"/>
      <c r="B1" s="2"/>
      <c r="C1" s="2"/>
      <c r="D1" s="2"/>
      <c r="H1" s="5" t="s">
        <v>1424</v>
      </c>
    </row>
    <row r="2" spans="1:8" ht="15" customHeight="1" x14ac:dyDescent="0.2">
      <c r="H2" s="19">
        <v>-3.9106696865210599E-3</v>
      </c>
    </row>
    <row r="3" spans="1:8" ht="15" customHeight="1" x14ac:dyDescent="0.2">
      <c r="A3" s="5" t="s">
        <v>1413</v>
      </c>
      <c r="B3" s="17">
        <f>'MPT Optimisation'!B3</f>
        <v>20000000</v>
      </c>
      <c r="H3" s="19">
        <v>2.00588703105884E-3</v>
      </c>
    </row>
    <row r="4" spans="1:8" ht="15" customHeight="1" x14ac:dyDescent="0.2">
      <c r="A4" s="5" t="s">
        <v>1425</v>
      </c>
      <c r="B4" s="20">
        <v>10000</v>
      </c>
      <c r="H4" s="19">
        <v>3.8814808570966901E-3</v>
      </c>
    </row>
    <row r="5" spans="1:8" ht="15" customHeight="1" x14ac:dyDescent="0.2">
      <c r="H5" s="19">
        <v>4.0862334592606398E-3</v>
      </c>
    </row>
    <row r="6" spans="1:8" ht="29" customHeight="1" x14ac:dyDescent="0.2">
      <c r="A6" s="1"/>
      <c r="B6" s="1"/>
      <c r="C6" s="1"/>
      <c r="D6" s="1"/>
      <c r="E6" s="1"/>
      <c r="H6" s="19">
        <v>9.5718985866679006E-3</v>
      </c>
    </row>
    <row r="7" spans="1:8" ht="15" customHeight="1" x14ac:dyDescent="0.2">
      <c r="H7" s="19">
        <v>-1.31947102618949E-2</v>
      </c>
    </row>
    <row r="8" spans="1:8" ht="15" customHeight="1" x14ac:dyDescent="0.2">
      <c r="A8" s="6" t="s">
        <v>1416</v>
      </c>
      <c r="B8" s="6" t="s">
        <v>1423</v>
      </c>
      <c r="C8" s="6" t="s">
        <v>1419</v>
      </c>
      <c r="D8" s="6" t="s">
        <v>1420</v>
      </c>
      <c r="H8" s="19">
        <v>6.5037356893195798E-3</v>
      </c>
    </row>
    <row r="9" spans="1:8" ht="15" customHeight="1" x14ac:dyDescent="0.2">
      <c r="A9" s="5" t="s">
        <v>1421</v>
      </c>
      <c r="B9" s="18">
        <v>0.05</v>
      </c>
      <c r="C9" s="7">
        <f>-PERCENTILE(H2:H10001,B9)</f>
        <v>1.5608655186320628E-2</v>
      </c>
      <c r="D9" s="15">
        <f>C9*$B$3</f>
        <v>312173.10372641258</v>
      </c>
      <c r="H9" s="19">
        <v>7.9488566110513092E-3</v>
      </c>
    </row>
    <row r="10" spans="1:8" ht="15" customHeight="1" x14ac:dyDescent="0.2">
      <c r="A10" s="5" t="s">
        <v>1422</v>
      </c>
      <c r="B10" s="18">
        <v>0.01</v>
      </c>
      <c r="C10" s="7">
        <f>-PERCENTILE(H2:H10001,B10)</f>
        <v>2.2220089999255014E-2</v>
      </c>
      <c r="D10" s="15">
        <f>C10*$B$3</f>
        <v>444401.79998510028</v>
      </c>
      <c r="H10" s="19">
        <v>1.89337498868292E-3</v>
      </c>
    </row>
    <row r="11" spans="1:8" ht="15" customHeight="1" x14ac:dyDescent="0.2">
      <c r="H11" s="19">
        <v>4.3892460653138302E-3</v>
      </c>
    </row>
    <row r="12" spans="1:8" ht="15" customHeight="1" x14ac:dyDescent="0.2">
      <c r="H12" s="19">
        <v>-6.7875971694932903E-3</v>
      </c>
    </row>
    <row r="13" spans="1:8" ht="15" customHeight="1" x14ac:dyDescent="0.2">
      <c r="H13" s="19">
        <v>1.6728505079691699E-2</v>
      </c>
    </row>
    <row r="14" spans="1:8" ht="15" customHeight="1" x14ac:dyDescent="0.2">
      <c r="H14" s="19">
        <v>9.4488341377743103E-4</v>
      </c>
    </row>
    <row r="15" spans="1:8" ht="15" customHeight="1" x14ac:dyDescent="0.2">
      <c r="H15" s="19">
        <v>4.7364666782744704E-3</v>
      </c>
    </row>
    <row r="16" spans="1:8" ht="15" customHeight="1" x14ac:dyDescent="0.2">
      <c r="H16" s="19">
        <v>9.05156161863758E-3</v>
      </c>
    </row>
    <row r="17" spans="8:8" ht="15" customHeight="1" x14ac:dyDescent="0.2">
      <c r="H17" s="19">
        <v>6.0131848370506297E-3</v>
      </c>
    </row>
    <row r="18" spans="8:8" ht="15" customHeight="1" x14ac:dyDescent="0.2">
      <c r="H18" s="19">
        <v>-9.8285213920078808E-3</v>
      </c>
    </row>
    <row r="19" spans="8:8" ht="15" customHeight="1" x14ac:dyDescent="0.2">
      <c r="H19" s="19">
        <v>-1.20410800921391E-3</v>
      </c>
    </row>
    <row r="20" spans="8:8" ht="15" customHeight="1" x14ac:dyDescent="0.2">
      <c r="H20" s="19">
        <v>-9.5221757398021405E-5</v>
      </c>
    </row>
    <row r="21" spans="8:8" ht="15" customHeight="1" x14ac:dyDescent="0.2">
      <c r="H21" s="19">
        <v>-3.8316944845820502E-4</v>
      </c>
    </row>
    <row r="22" spans="8:8" ht="15" customHeight="1" x14ac:dyDescent="0.2">
      <c r="H22" s="19">
        <v>1.60458682982248E-4</v>
      </c>
    </row>
    <row r="23" spans="8:8" ht="15" customHeight="1" x14ac:dyDescent="0.2">
      <c r="H23" s="19">
        <v>8.4511157858301201E-3</v>
      </c>
    </row>
    <row r="24" spans="8:8" ht="15" customHeight="1" x14ac:dyDescent="0.2">
      <c r="H24" s="19">
        <v>4.4733919200291902E-3</v>
      </c>
    </row>
    <row r="25" spans="8:8" ht="15" customHeight="1" x14ac:dyDescent="0.2">
      <c r="H25" s="19">
        <v>7.6668126542526298E-3</v>
      </c>
    </row>
    <row r="26" spans="8:8" ht="15" customHeight="1" x14ac:dyDescent="0.2">
      <c r="H26" s="19">
        <v>-2.9612513508445902E-3</v>
      </c>
    </row>
    <row r="27" spans="8:8" ht="15" customHeight="1" x14ac:dyDescent="0.2">
      <c r="H27" s="19">
        <v>1.4709967532394499E-2</v>
      </c>
    </row>
    <row r="28" spans="8:8" ht="15" customHeight="1" x14ac:dyDescent="0.2">
      <c r="H28" s="19">
        <v>-6.3910080327053904E-4</v>
      </c>
    </row>
    <row r="29" spans="8:8" ht="15" customHeight="1" x14ac:dyDescent="0.2">
      <c r="H29" s="19">
        <v>3.5130947938246498E-5</v>
      </c>
    </row>
    <row r="30" spans="8:8" ht="15" customHeight="1" x14ac:dyDescent="0.2">
      <c r="H30" s="19">
        <v>-5.50718887496599E-3</v>
      </c>
    </row>
    <row r="31" spans="8:8" ht="15" customHeight="1" x14ac:dyDescent="0.2">
      <c r="H31" s="19">
        <v>2.7150301391825199E-3</v>
      </c>
    </row>
    <row r="32" spans="8:8" ht="15" customHeight="1" x14ac:dyDescent="0.2">
      <c r="H32" s="19">
        <v>-6.5522148270999898E-3</v>
      </c>
    </row>
    <row r="33" spans="8:8" ht="15" customHeight="1" x14ac:dyDescent="0.2">
      <c r="H33" s="19">
        <v>-9.3346025641174099E-3</v>
      </c>
    </row>
    <row r="34" spans="8:8" ht="15" customHeight="1" x14ac:dyDescent="0.2">
      <c r="H34" s="19">
        <v>2.1925674218086998E-3</v>
      </c>
    </row>
    <row r="35" spans="8:8" ht="15" customHeight="1" x14ac:dyDescent="0.2">
      <c r="H35" s="19">
        <v>1.0671261811833799E-2</v>
      </c>
    </row>
    <row r="36" spans="8:8" ht="15" customHeight="1" x14ac:dyDescent="0.2">
      <c r="H36" s="19">
        <v>7.3685487616511596E-3</v>
      </c>
    </row>
    <row r="37" spans="8:8" ht="15" customHeight="1" x14ac:dyDescent="0.2">
      <c r="H37" s="19">
        <v>-3.1080425263172902E-3</v>
      </c>
    </row>
    <row r="38" spans="8:8" ht="15" customHeight="1" x14ac:dyDescent="0.2">
      <c r="H38" s="19">
        <v>-3.0426297804344599E-3</v>
      </c>
    </row>
    <row r="39" spans="8:8" ht="15" customHeight="1" x14ac:dyDescent="0.2">
      <c r="H39" s="19">
        <v>-5.1825859288949297E-3</v>
      </c>
    </row>
    <row r="40" spans="8:8" ht="15" customHeight="1" x14ac:dyDescent="0.2">
      <c r="H40" s="19">
        <v>5.7776507693541304E-3</v>
      </c>
    </row>
    <row r="41" spans="8:8" ht="15" customHeight="1" x14ac:dyDescent="0.2">
      <c r="H41" s="19">
        <v>-1.6677755318554199E-2</v>
      </c>
    </row>
    <row r="42" spans="8:8" ht="15" customHeight="1" x14ac:dyDescent="0.2">
      <c r="H42" s="19">
        <v>6.3973296885711196E-3</v>
      </c>
    </row>
    <row r="43" spans="8:8" ht="15" customHeight="1" x14ac:dyDescent="0.2">
      <c r="H43" s="19">
        <v>-9.5764260271508604E-3</v>
      </c>
    </row>
    <row r="44" spans="8:8" ht="15" customHeight="1" x14ac:dyDescent="0.2">
      <c r="H44" s="19">
        <v>5.0779614033291598E-3</v>
      </c>
    </row>
    <row r="45" spans="8:8" ht="15" customHeight="1" x14ac:dyDescent="0.2">
      <c r="H45" s="19">
        <v>4.3770389557114102E-4</v>
      </c>
    </row>
    <row r="46" spans="8:8" ht="15" customHeight="1" x14ac:dyDescent="0.2">
      <c r="H46" s="19">
        <v>-1.8428019208134301E-3</v>
      </c>
    </row>
    <row r="47" spans="8:8" ht="15" customHeight="1" x14ac:dyDescent="0.2">
      <c r="H47" s="19">
        <v>-2.1978741216404402E-3</v>
      </c>
    </row>
    <row r="48" spans="8:8" ht="15" customHeight="1" x14ac:dyDescent="0.2">
      <c r="H48" s="19">
        <v>4.5159719065787E-4</v>
      </c>
    </row>
    <row r="49" spans="8:8" ht="15" customHeight="1" x14ac:dyDescent="0.2">
      <c r="H49" s="19">
        <v>1.26022831276697E-2</v>
      </c>
    </row>
    <row r="50" spans="8:8" ht="15" customHeight="1" x14ac:dyDescent="0.2">
      <c r="H50" s="19">
        <v>1.3519406626966799E-3</v>
      </c>
    </row>
    <row r="51" spans="8:8" ht="15" customHeight="1" x14ac:dyDescent="0.2">
      <c r="H51" s="19">
        <v>7.9343408584175799E-3</v>
      </c>
    </row>
    <row r="52" spans="8:8" ht="15" customHeight="1" x14ac:dyDescent="0.2">
      <c r="H52" s="19">
        <v>-4.7998854627382204E-3</v>
      </c>
    </row>
    <row r="53" spans="8:8" ht="15" customHeight="1" x14ac:dyDescent="0.2">
      <c r="H53" s="19">
        <v>1.52040987914878E-2</v>
      </c>
    </row>
    <row r="54" spans="8:8" ht="15" customHeight="1" x14ac:dyDescent="0.2">
      <c r="H54" s="19">
        <v>-1.3400249461242301E-2</v>
      </c>
    </row>
    <row r="55" spans="8:8" ht="15" customHeight="1" x14ac:dyDescent="0.2">
      <c r="H55" s="19">
        <v>-9.3684726265603792E-3</v>
      </c>
    </row>
    <row r="56" spans="8:8" ht="15" customHeight="1" x14ac:dyDescent="0.2">
      <c r="H56" s="19">
        <v>8.7228205863909506E-3</v>
      </c>
    </row>
    <row r="57" spans="8:8" ht="15" customHeight="1" x14ac:dyDescent="0.2">
      <c r="H57" s="19">
        <v>-1.79405544730738E-2</v>
      </c>
    </row>
    <row r="58" spans="8:8" ht="15" customHeight="1" x14ac:dyDescent="0.2">
      <c r="H58" s="19">
        <v>1.9401597278086401E-3</v>
      </c>
    </row>
    <row r="59" spans="8:8" ht="15" customHeight="1" x14ac:dyDescent="0.2">
      <c r="H59" s="19">
        <v>6.3333570828799004E-3</v>
      </c>
    </row>
    <row r="60" spans="8:8" ht="15" customHeight="1" x14ac:dyDescent="0.2">
      <c r="H60" s="19">
        <v>-2.0349734917370299E-4</v>
      </c>
    </row>
    <row r="61" spans="8:8" ht="15" customHeight="1" x14ac:dyDescent="0.2">
      <c r="H61" s="19">
        <v>1.9840360541817498E-2</v>
      </c>
    </row>
    <row r="62" spans="8:8" ht="15" customHeight="1" x14ac:dyDescent="0.2">
      <c r="H62" s="19">
        <v>7.9665263659688505E-3</v>
      </c>
    </row>
    <row r="63" spans="8:8" ht="15" customHeight="1" x14ac:dyDescent="0.2">
      <c r="H63" s="19">
        <v>1.2677875435192601E-2</v>
      </c>
    </row>
    <row r="64" spans="8:8" ht="15" customHeight="1" x14ac:dyDescent="0.2">
      <c r="H64" s="19">
        <v>-1.5430015302173699E-2</v>
      </c>
    </row>
    <row r="65" spans="8:8" ht="15" customHeight="1" x14ac:dyDescent="0.2">
      <c r="H65" s="19">
        <v>-2.04433506858222E-2</v>
      </c>
    </row>
    <row r="66" spans="8:8" ht="15" customHeight="1" x14ac:dyDescent="0.2">
      <c r="H66" s="19">
        <v>-9.8330774724964595E-3</v>
      </c>
    </row>
    <row r="67" spans="8:8" ht="15" customHeight="1" x14ac:dyDescent="0.2">
      <c r="H67" s="19">
        <v>1.19376086975594E-2</v>
      </c>
    </row>
    <row r="68" spans="8:8" ht="15" customHeight="1" x14ac:dyDescent="0.2">
      <c r="H68" s="19">
        <v>3.7401265356533102E-3</v>
      </c>
    </row>
    <row r="69" spans="8:8" ht="15" customHeight="1" x14ac:dyDescent="0.2">
      <c r="H69" s="19">
        <v>2.4654951763265799E-3</v>
      </c>
    </row>
    <row r="70" spans="8:8" ht="15" customHeight="1" x14ac:dyDescent="0.2">
      <c r="H70" s="19">
        <v>-9.3117074603385301E-3</v>
      </c>
    </row>
    <row r="71" spans="8:8" ht="15" customHeight="1" x14ac:dyDescent="0.2">
      <c r="H71" s="19">
        <v>-1.6890498677591E-4</v>
      </c>
    </row>
    <row r="72" spans="8:8" ht="15" customHeight="1" x14ac:dyDescent="0.2">
      <c r="H72" s="19">
        <v>-3.9964968101454503E-3</v>
      </c>
    </row>
    <row r="73" spans="8:8" ht="15" customHeight="1" x14ac:dyDescent="0.2">
      <c r="H73" s="19">
        <v>-1.45303987186685E-2</v>
      </c>
    </row>
    <row r="74" spans="8:8" ht="15" customHeight="1" x14ac:dyDescent="0.2">
      <c r="H74" s="19">
        <v>-6.5856190131483505E-4</v>
      </c>
    </row>
    <row r="75" spans="8:8" ht="15" customHeight="1" x14ac:dyDescent="0.2">
      <c r="H75" s="19">
        <v>3.4478245792758898E-3</v>
      </c>
    </row>
    <row r="76" spans="8:8" ht="15" customHeight="1" x14ac:dyDescent="0.2">
      <c r="H76" s="19">
        <v>-9.1550925568625909E-3</v>
      </c>
    </row>
    <row r="77" spans="8:8" ht="15" customHeight="1" x14ac:dyDescent="0.2">
      <c r="H77" s="19">
        <v>9.0288814383014497E-3</v>
      </c>
    </row>
    <row r="78" spans="8:8" ht="15" customHeight="1" x14ac:dyDescent="0.2">
      <c r="H78" s="19">
        <v>-9.7503482641401399E-4</v>
      </c>
    </row>
    <row r="79" spans="8:8" ht="15" customHeight="1" x14ac:dyDescent="0.2">
      <c r="H79" s="19">
        <v>-3.5705316068520201E-3</v>
      </c>
    </row>
    <row r="80" spans="8:8" ht="15" customHeight="1" x14ac:dyDescent="0.2">
      <c r="H80" s="19">
        <v>-1.0300689894427501E-2</v>
      </c>
    </row>
    <row r="81" spans="8:8" ht="15" customHeight="1" x14ac:dyDescent="0.2">
      <c r="H81" s="19">
        <v>-5.4945029788073798E-3</v>
      </c>
    </row>
    <row r="82" spans="8:8" ht="15" customHeight="1" x14ac:dyDescent="0.2">
      <c r="H82" s="19">
        <v>-3.3117300914773301E-4</v>
      </c>
    </row>
    <row r="83" spans="8:8" ht="15" customHeight="1" x14ac:dyDescent="0.2">
      <c r="H83" s="19">
        <v>1.1875916980721799E-2</v>
      </c>
    </row>
    <row r="84" spans="8:8" ht="15" customHeight="1" x14ac:dyDescent="0.2">
      <c r="H84" s="19">
        <v>-7.0785105010669801E-3</v>
      </c>
    </row>
    <row r="85" spans="8:8" ht="15" customHeight="1" x14ac:dyDescent="0.2">
      <c r="H85" s="19">
        <v>3.9748698523753702E-4</v>
      </c>
    </row>
    <row r="86" spans="8:8" ht="15" customHeight="1" x14ac:dyDescent="0.2">
      <c r="H86" s="19">
        <v>8.3577925601799399E-3</v>
      </c>
    </row>
    <row r="87" spans="8:8" ht="15" customHeight="1" x14ac:dyDescent="0.2">
      <c r="H87" s="19">
        <v>7.1914467387182704E-3</v>
      </c>
    </row>
    <row r="88" spans="8:8" ht="15" customHeight="1" x14ac:dyDescent="0.2">
      <c r="H88" s="19">
        <v>5.2147439853463002E-3</v>
      </c>
    </row>
    <row r="89" spans="8:8" ht="15" customHeight="1" x14ac:dyDescent="0.2">
      <c r="H89" s="19">
        <v>7.8905008667693403E-3</v>
      </c>
    </row>
    <row r="90" spans="8:8" ht="15" customHeight="1" x14ac:dyDescent="0.2">
      <c r="H90" s="19">
        <v>-7.4561908474472596E-3</v>
      </c>
    </row>
    <row r="91" spans="8:8" ht="15" customHeight="1" x14ac:dyDescent="0.2">
      <c r="H91" s="19">
        <v>7.5295835727512298E-4</v>
      </c>
    </row>
    <row r="92" spans="8:8" ht="15" customHeight="1" x14ac:dyDescent="0.2">
      <c r="H92" s="19">
        <v>-7.6729481700386201E-3</v>
      </c>
    </row>
    <row r="93" spans="8:8" ht="15" customHeight="1" x14ac:dyDescent="0.2">
      <c r="H93" s="19">
        <v>-5.21877728066309E-3</v>
      </c>
    </row>
    <row r="94" spans="8:8" ht="15" customHeight="1" x14ac:dyDescent="0.2">
      <c r="H94" s="19">
        <v>1.5167191004636701E-3</v>
      </c>
    </row>
    <row r="95" spans="8:8" ht="15" customHeight="1" x14ac:dyDescent="0.2">
      <c r="H95" s="19">
        <v>-1.7526308002124801E-2</v>
      </c>
    </row>
    <row r="96" spans="8:8" ht="15" customHeight="1" x14ac:dyDescent="0.2">
      <c r="H96" s="19">
        <v>-1.0377129964157E-2</v>
      </c>
    </row>
    <row r="97" spans="8:8" ht="15" customHeight="1" x14ac:dyDescent="0.2">
      <c r="H97" s="19">
        <v>1.1506282917151001E-2</v>
      </c>
    </row>
    <row r="98" spans="8:8" ht="15" customHeight="1" x14ac:dyDescent="0.2">
      <c r="H98" s="19">
        <v>7.5319657289064298E-3</v>
      </c>
    </row>
    <row r="99" spans="8:8" ht="15" customHeight="1" x14ac:dyDescent="0.2">
      <c r="H99" s="19">
        <v>-6.0331638951173997E-3</v>
      </c>
    </row>
    <row r="100" spans="8:8" ht="15" customHeight="1" x14ac:dyDescent="0.2">
      <c r="H100" s="19">
        <v>7.29501770787275E-3</v>
      </c>
    </row>
    <row r="101" spans="8:8" ht="15" customHeight="1" x14ac:dyDescent="0.2">
      <c r="H101" s="19">
        <v>1.3843797235265E-2</v>
      </c>
    </row>
    <row r="102" spans="8:8" ht="15" customHeight="1" x14ac:dyDescent="0.2">
      <c r="H102" s="19">
        <v>1.6756561990983802E-2</v>
      </c>
    </row>
    <row r="103" spans="8:8" ht="15" customHeight="1" x14ac:dyDescent="0.2">
      <c r="H103" s="19">
        <v>4.1847164047283201E-3</v>
      </c>
    </row>
    <row r="104" spans="8:8" ht="15" customHeight="1" x14ac:dyDescent="0.2">
      <c r="H104" s="19">
        <v>-2.8661455572005002E-3</v>
      </c>
    </row>
    <row r="105" spans="8:8" ht="15" customHeight="1" x14ac:dyDescent="0.2">
      <c r="H105" s="19">
        <v>1.12674226580942E-2</v>
      </c>
    </row>
    <row r="106" spans="8:8" ht="15" customHeight="1" x14ac:dyDescent="0.2">
      <c r="H106" s="19">
        <v>-1.5315198425546401E-2</v>
      </c>
    </row>
    <row r="107" spans="8:8" ht="15" customHeight="1" x14ac:dyDescent="0.2">
      <c r="H107" s="19">
        <v>-2.2238769302475699E-2</v>
      </c>
    </row>
    <row r="108" spans="8:8" ht="15" customHeight="1" x14ac:dyDescent="0.2">
      <c r="H108" s="19">
        <v>-7.5757017673774296E-3</v>
      </c>
    </row>
    <row r="109" spans="8:8" ht="15" customHeight="1" x14ac:dyDescent="0.2">
      <c r="H109" s="19">
        <v>-4.8854310768703998E-3</v>
      </c>
    </row>
    <row r="110" spans="8:8" ht="15" customHeight="1" x14ac:dyDescent="0.2">
      <c r="H110" s="19">
        <v>-3.5396800302951999E-5</v>
      </c>
    </row>
    <row r="111" spans="8:8" ht="15" customHeight="1" x14ac:dyDescent="0.2">
      <c r="H111" s="19">
        <v>-9.9289341604825998E-3</v>
      </c>
    </row>
    <row r="112" spans="8:8" ht="15" customHeight="1" x14ac:dyDescent="0.2">
      <c r="H112" s="19">
        <v>-1.1242021002550199E-3</v>
      </c>
    </row>
    <row r="113" spans="8:8" ht="15" customHeight="1" x14ac:dyDescent="0.2">
      <c r="H113" s="19">
        <v>1.0440636790338499E-2</v>
      </c>
    </row>
    <row r="114" spans="8:8" ht="15" customHeight="1" x14ac:dyDescent="0.2">
      <c r="H114" s="19">
        <v>8.1175092889323106E-3</v>
      </c>
    </row>
    <row r="115" spans="8:8" ht="15" customHeight="1" x14ac:dyDescent="0.2">
      <c r="H115" s="19">
        <v>8.7361986238499098E-3</v>
      </c>
    </row>
    <row r="116" spans="8:8" ht="15" customHeight="1" x14ac:dyDescent="0.2">
      <c r="H116" s="19">
        <v>4.0002707726759798E-3</v>
      </c>
    </row>
    <row r="117" spans="8:8" ht="15" customHeight="1" x14ac:dyDescent="0.2">
      <c r="H117" s="19">
        <v>-1.7188730453341801E-2</v>
      </c>
    </row>
    <row r="118" spans="8:8" ht="15" customHeight="1" x14ac:dyDescent="0.2">
      <c r="H118" s="19">
        <v>1.7331815910008701E-3</v>
      </c>
    </row>
    <row r="119" spans="8:8" ht="15" customHeight="1" x14ac:dyDescent="0.2">
      <c r="H119" s="19">
        <v>6.2520240791686197E-3</v>
      </c>
    </row>
    <row r="120" spans="8:8" ht="15" customHeight="1" x14ac:dyDescent="0.2">
      <c r="H120" s="19">
        <v>9.8320154101028592E-3</v>
      </c>
    </row>
    <row r="121" spans="8:8" ht="15" customHeight="1" x14ac:dyDescent="0.2">
      <c r="H121" s="19">
        <v>-8.0937253627574902E-3</v>
      </c>
    </row>
    <row r="122" spans="8:8" ht="15" customHeight="1" x14ac:dyDescent="0.2">
      <c r="H122" s="19">
        <v>5.4604554053993698E-3</v>
      </c>
    </row>
    <row r="123" spans="8:8" ht="15" customHeight="1" x14ac:dyDescent="0.2">
      <c r="H123" s="19">
        <v>1.1077770145260899E-2</v>
      </c>
    </row>
    <row r="124" spans="8:8" ht="15" customHeight="1" x14ac:dyDescent="0.2">
      <c r="H124" s="19">
        <v>-1.6781167652362799E-2</v>
      </c>
    </row>
    <row r="125" spans="8:8" ht="15" customHeight="1" x14ac:dyDescent="0.2">
      <c r="H125" s="19">
        <v>5.3162606030893904E-4</v>
      </c>
    </row>
    <row r="126" spans="8:8" ht="15" customHeight="1" x14ac:dyDescent="0.2">
      <c r="H126" s="19">
        <v>1.0950046966211E-2</v>
      </c>
    </row>
    <row r="127" spans="8:8" ht="15" customHeight="1" x14ac:dyDescent="0.2">
      <c r="H127" s="19">
        <v>-1.1086836530051301E-2</v>
      </c>
    </row>
    <row r="128" spans="8:8" ht="15" customHeight="1" x14ac:dyDescent="0.2">
      <c r="H128" s="19">
        <v>7.9454471537753792E-3</v>
      </c>
    </row>
    <row r="129" spans="8:8" ht="15" customHeight="1" x14ac:dyDescent="0.2">
      <c r="H129" s="19">
        <v>1.6962745557658099E-3</v>
      </c>
    </row>
    <row r="130" spans="8:8" ht="15" customHeight="1" x14ac:dyDescent="0.2">
      <c r="H130" s="19">
        <v>5.6130340082705997E-3</v>
      </c>
    </row>
    <row r="131" spans="8:8" ht="15" customHeight="1" x14ac:dyDescent="0.2">
      <c r="H131" s="19">
        <v>-1.7526471605798001E-3</v>
      </c>
    </row>
    <row r="132" spans="8:8" ht="15" customHeight="1" x14ac:dyDescent="0.2">
      <c r="H132" s="19">
        <v>1.56014204242931E-2</v>
      </c>
    </row>
    <row r="133" spans="8:8" ht="15" customHeight="1" x14ac:dyDescent="0.2">
      <c r="H133" s="19">
        <v>1.3322049813989901E-2</v>
      </c>
    </row>
    <row r="134" spans="8:8" ht="15" customHeight="1" x14ac:dyDescent="0.2">
      <c r="H134" s="19">
        <v>-9.872867392630969E-4</v>
      </c>
    </row>
    <row r="135" spans="8:8" ht="15" customHeight="1" x14ac:dyDescent="0.2">
      <c r="H135" s="19">
        <v>4.5367529183419396E-3</v>
      </c>
    </row>
    <row r="136" spans="8:8" ht="15" customHeight="1" x14ac:dyDescent="0.2">
      <c r="H136" s="19">
        <v>8.2739172693380002E-3</v>
      </c>
    </row>
    <row r="137" spans="8:8" ht="15" customHeight="1" x14ac:dyDescent="0.2">
      <c r="H137" s="19">
        <v>-4.68876617214315E-3</v>
      </c>
    </row>
    <row r="138" spans="8:8" ht="15" customHeight="1" x14ac:dyDescent="0.2">
      <c r="H138" s="19">
        <v>2.4778010007901599E-2</v>
      </c>
    </row>
    <row r="139" spans="8:8" ht="15" customHeight="1" x14ac:dyDescent="0.2">
      <c r="H139" s="19">
        <v>-1.7029373838639401E-3</v>
      </c>
    </row>
    <row r="140" spans="8:8" ht="15" customHeight="1" x14ac:dyDescent="0.2">
      <c r="H140" s="19">
        <v>-1.14416887576785E-2</v>
      </c>
    </row>
    <row r="141" spans="8:8" ht="15" customHeight="1" x14ac:dyDescent="0.2">
      <c r="H141" s="19">
        <v>5.5305708059977402E-3</v>
      </c>
    </row>
    <row r="142" spans="8:8" ht="15" customHeight="1" x14ac:dyDescent="0.2">
      <c r="H142" s="19">
        <v>-7.9473607847319206E-3</v>
      </c>
    </row>
    <row r="143" spans="8:8" ht="15" customHeight="1" x14ac:dyDescent="0.2">
      <c r="H143" s="19">
        <v>-8.2087063731469106E-3</v>
      </c>
    </row>
    <row r="144" spans="8:8" ht="15" customHeight="1" x14ac:dyDescent="0.2">
      <c r="H144" s="19">
        <v>1.9294512070101601E-2</v>
      </c>
    </row>
    <row r="145" spans="8:8" ht="15" customHeight="1" x14ac:dyDescent="0.2">
      <c r="H145" s="19">
        <v>-3.5660562477743299E-3</v>
      </c>
    </row>
    <row r="146" spans="8:8" ht="15" customHeight="1" x14ac:dyDescent="0.2">
      <c r="H146" s="19">
        <v>-1.73678306444605E-3</v>
      </c>
    </row>
    <row r="147" spans="8:8" ht="15" customHeight="1" x14ac:dyDescent="0.2">
      <c r="H147" s="19">
        <v>-1.5272235104484501E-3</v>
      </c>
    </row>
    <row r="148" spans="8:8" ht="15" customHeight="1" x14ac:dyDescent="0.2">
      <c r="H148" s="19">
        <v>-1.64157936099959E-3</v>
      </c>
    </row>
    <row r="149" spans="8:8" ht="15" customHeight="1" x14ac:dyDescent="0.2">
      <c r="H149" s="19">
        <v>-5.4937990833147403E-3</v>
      </c>
    </row>
    <row r="150" spans="8:8" ht="15" customHeight="1" x14ac:dyDescent="0.2">
      <c r="H150" s="19">
        <v>-5.8870278163912996E-3</v>
      </c>
    </row>
    <row r="151" spans="8:8" ht="15" customHeight="1" x14ac:dyDescent="0.2">
      <c r="H151" s="19">
        <v>5.8161562296996303E-3</v>
      </c>
    </row>
    <row r="152" spans="8:8" ht="15" customHeight="1" x14ac:dyDescent="0.2">
      <c r="H152" s="19">
        <v>-4.7812678922020497E-3</v>
      </c>
    </row>
    <row r="153" spans="8:8" ht="15" customHeight="1" x14ac:dyDescent="0.2">
      <c r="H153" s="19">
        <v>-7.4197770299802204E-3</v>
      </c>
    </row>
    <row r="154" spans="8:8" ht="15" customHeight="1" x14ac:dyDescent="0.2">
      <c r="H154" s="19">
        <v>1.29753079216151E-2</v>
      </c>
    </row>
    <row r="155" spans="8:8" ht="15" customHeight="1" x14ac:dyDescent="0.2">
      <c r="H155" s="19">
        <v>-1.73989781657085E-3</v>
      </c>
    </row>
    <row r="156" spans="8:8" ht="15" customHeight="1" x14ac:dyDescent="0.2">
      <c r="H156" s="19">
        <v>-2.58649523541751E-3</v>
      </c>
    </row>
    <row r="157" spans="8:8" ht="15" customHeight="1" x14ac:dyDescent="0.2">
      <c r="H157" s="19">
        <v>5.4688481725053703E-3</v>
      </c>
    </row>
    <row r="158" spans="8:8" ht="15" customHeight="1" x14ac:dyDescent="0.2">
      <c r="H158" s="19">
        <v>-1.23016546251299E-2</v>
      </c>
    </row>
    <row r="159" spans="8:8" ht="15" customHeight="1" x14ac:dyDescent="0.2">
      <c r="H159" s="19">
        <v>-4.8102655829231501E-4</v>
      </c>
    </row>
    <row r="160" spans="8:8" ht="15" customHeight="1" x14ac:dyDescent="0.2">
      <c r="H160" s="19">
        <v>3.3364108988155399E-3</v>
      </c>
    </row>
    <row r="161" spans="8:8" ht="15" customHeight="1" x14ac:dyDescent="0.2">
      <c r="H161" s="19">
        <v>-6.5929037414184499E-3</v>
      </c>
    </row>
    <row r="162" spans="8:8" ht="15" customHeight="1" x14ac:dyDescent="0.2">
      <c r="H162" s="19">
        <v>-5.1722138926392795E-4</v>
      </c>
    </row>
    <row r="163" spans="8:8" ht="15" customHeight="1" x14ac:dyDescent="0.2">
      <c r="H163" s="19">
        <v>5.9016357494657799E-3</v>
      </c>
    </row>
    <row r="164" spans="8:8" ht="15" customHeight="1" x14ac:dyDescent="0.2">
      <c r="H164" s="19">
        <v>-3.1247351457019701E-4</v>
      </c>
    </row>
    <row r="165" spans="8:8" ht="15" customHeight="1" x14ac:dyDescent="0.2">
      <c r="H165" s="19">
        <v>3.1912883015966001E-3</v>
      </c>
    </row>
    <row r="166" spans="8:8" ht="15" customHeight="1" x14ac:dyDescent="0.2">
      <c r="H166" s="19">
        <v>1.82457274699225E-4</v>
      </c>
    </row>
    <row r="167" spans="8:8" ht="15" customHeight="1" x14ac:dyDescent="0.2">
      <c r="H167" s="19">
        <v>6.9540031272958399E-3</v>
      </c>
    </row>
    <row r="168" spans="8:8" ht="15" customHeight="1" x14ac:dyDescent="0.2">
      <c r="H168" s="19">
        <v>7.6317990998762001E-3</v>
      </c>
    </row>
    <row r="169" spans="8:8" ht="15" customHeight="1" x14ac:dyDescent="0.2">
      <c r="H169" s="19">
        <v>2.08171574962909E-2</v>
      </c>
    </row>
    <row r="170" spans="8:8" ht="15" customHeight="1" x14ac:dyDescent="0.2">
      <c r="H170" s="19">
        <v>5.5924653752596996E-3</v>
      </c>
    </row>
    <row r="171" spans="8:8" ht="15" customHeight="1" x14ac:dyDescent="0.2">
      <c r="H171" s="19">
        <v>6.3365486707775403E-3</v>
      </c>
    </row>
    <row r="172" spans="8:8" ht="15" customHeight="1" x14ac:dyDescent="0.2">
      <c r="H172" s="19">
        <v>-2.9677120738704202E-3</v>
      </c>
    </row>
    <row r="173" spans="8:8" ht="15" customHeight="1" x14ac:dyDescent="0.2">
      <c r="H173" s="19">
        <v>1.0326766259508201E-2</v>
      </c>
    </row>
    <row r="174" spans="8:8" ht="15" customHeight="1" x14ac:dyDescent="0.2">
      <c r="H174" s="19">
        <v>-6.4446157953533898E-3</v>
      </c>
    </row>
    <row r="175" spans="8:8" ht="15" customHeight="1" x14ac:dyDescent="0.2">
      <c r="H175" s="19">
        <v>8.4839986083757105E-3</v>
      </c>
    </row>
    <row r="176" spans="8:8" ht="15" customHeight="1" x14ac:dyDescent="0.2">
      <c r="H176" s="19">
        <v>-5.7010233835040505E-4</v>
      </c>
    </row>
    <row r="177" spans="8:8" ht="15" customHeight="1" x14ac:dyDescent="0.2">
      <c r="H177" s="19">
        <v>3.1095206009530202E-3</v>
      </c>
    </row>
    <row r="178" spans="8:8" ht="15" customHeight="1" x14ac:dyDescent="0.2">
      <c r="H178" s="19">
        <v>1.5377495392974E-2</v>
      </c>
    </row>
    <row r="179" spans="8:8" ht="15" customHeight="1" x14ac:dyDescent="0.2">
      <c r="H179" s="19">
        <v>1.57356126016889E-2</v>
      </c>
    </row>
    <row r="180" spans="8:8" ht="15" customHeight="1" x14ac:dyDescent="0.2">
      <c r="H180" s="19">
        <v>5.0500773583033202E-3</v>
      </c>
    </row>
    <row r="181" spans="8:8" ht="15" customHeight="1" x14ac:dyDescent="0.2">
      <c r="H181" s="19">
        <v>-6.0583820953557003E-4</v>
      </c>
    </row>
    <row r="182" spans="8:8" ht="15" customHeight="1" x14ac:dyDescent="0.2">
      <c r="H182" s="19">
        <v>3.0904346134393102E-3</v>
      </c>
    </row>
    <row r="183" spans="8:8" ht="15" customHeight="1" x14ac:dyDescent="0.2">
      <c r="H183" s="19">
        <v>-5.7727490827059395E-4</v>
      </c>
    </row>
    <row r="184" spans="8:8" ht="15" customHeight="1" x14ac:dyDescent="0.2">
      <c r="H184" s="19">
        <v>6.8159809797039396E-3</v>
      </c>
    </row>
    <row r="185" spans="8:8" ht="15" customHeight="1" x14ac:dyDescent="0.2">
      <c r="H185" s="19">
        <v>-1.6467615860895899E-4</v>
      </c>
    </row>
    <row r="186" spans="8:8" ht="15" customHeight="1" x14ac:dyDescent="0.2">
      <c r="H186" s="19">
        <v>-5.3846629932710202E-3</v>
      </c>
    </row>
    <row r="187" spans="8:8" ht="15" customHeight="1" x14ac:dyDescent="0.2">
      <c r="H187" s="19">
        <v>2.1211133297119399E-2</v>
      </c>
    </row>
    <row r="188" spans="8:8" ht="15" customHeight="1" x14ac:dyDescent="0.2">
      <c r="H188" s="19">
        <v>-3.0814843329831699E-3</v>
      </c>
    </row>
    <row r="189" spans="8:8" ht="15" customHeight="1" x14ac:dyDescent="0.2">
      <c r="H189" s="19">
        <v>9.8574465662839093E-3</v>
      </c>
    </row>
    <row r="190" spans="8:8" ht="15" customHeight="1" x14ac:dyDescent="0.2">
      <c r="H190" s="19">
        <v>8.9118825741971198E-3</v>
      </c>
    </row>
    <row r="191" spans="8:8" ht="15" customHeight="1" x14ac:dyDescent="0.2">
      <c r="H191" s="19">
        <v>-3.5056700750740301E-3</v>
      </c>
    </row>
    <row r="192" spans="8:8" ht="15" customHeight="1" x14ac:dyDescent="0.2">
      <c r="H192" s="19">
        <v>3.1610311146060498E-3</v>
      </c>
    </row>
    <row r="193" spans="8:8" ht="15" customHeight="1" x14ac:dyDescent="0.2">
      <c r="H193" s="19">
        <v>-7.9662693295579103E-3</v>
      </c>
    </row>
    <row r="194" spans="8:8" ht="15" customHeight="1" x14ac:dyDescent="0.2">
      <c r="H194" s="19">
        <v>1.2823848341499901E-3</v>
      </c>
    </row>
    <row r="195" spans="8:8" ht="15" customHeight="1" x14ac:dyDescent="0.2">
      <c r="H195" s="19">
        <v>-8.7703166988256104E-3</v>
      </c>
    </row>
    <row r="196" spans="8:8" ht="15" customHeight="1" x14ac:dyDescent="0.2">
      <c r="H196" s="19">
        <v>8.1210708609401206E-3</v>
      </c>
    </row>
    <row r="197" spans="8:8" ht="15" customHeight="1" x14ac:dyDescent="0.2">
      <c r="H197" s="19">
        <v>1.78255445751947E-3</v>
      </c>
    </row>
    <row r="198" spans="8:8" ht="15" customHeight="1" x14ac:dyDescent="0.2">
      <c r="H198" s="19">
        <v>-7.8583475123370702E-3</v>
      </c>
    </row>
    <row r="199" spans="8:8" ht="15" customHeight="1" x14ac:dyDescent="0.2">
      <c r="H199" s="19">
        <v>4.6674833684074296E-3</v>
      </c>
    </row>
    <row r="200" spans="8:8" ht="15" customHeight="1" x14ac:dyDescent="0.2">
      <c r="H200" s="19">
        <v>2.2785927674806201E-3</v>
      </c>
    </row>
    <row r="201" spans="8:8" ht="15" customHeight="1" x14ac:dyDescent="0.2">
      <c r="H201" s="19">
        <v>-7.3959086117874804E-4</v>
      </c>
    </row>
    <row r="202" spans="8:8" ht="15" customHeight="1" x14ac:dyDescent="0.2">
      <c r="H202" s="19">
        <v>-7.3068487059873297E-3</v>
      </c>
    </row>
    <row r="203" spans="8:8" ht="15" customHeight="1" x14ac:dyDescent="0.2">
      <c r="H203" s="19">
        <v>4.8898506504871202E-3</v>
      </c>
    </row>
    <row r="204" spans="8:8" ht="15" customHeight="1" x14ac:dyDescent="0.2">
      <c r="H204" s="19">
        <v>-9.1179037184861804E-3</v>
      </c>
    </row>
    <row r="205" spans="8:8" ht="15" customHeight="1" x14ac:dyDescent="0.2">
      <c r="H205" s="19">
        <v>-1.49173272263124E-2</v>
      </c>
    </row>
    <row r="206" spans="8:8" ht="15" customHeight="1" x14ac:dyDescent="0.2">
      <c r="H206" s="19">
        <v>-3.78266523015904E-3</v>
      </c>
    </row>
    <row r="207" spans="8:8" ht="15" customHeight="1" x14ac:dyDescent="0.2">
      <c r="H207" s="19">
        <v>-2.1680448859380801E-4</v>
      </c>
    </row>
    <row r="208" spans="8:8" ht="15" customHeight="1" x14ac:dyDescent="0.2">
      <c r="H208" s="19">
        <v>-3.7351370779899998E-4</v>
      </c>
    </row>
    <row r="209" spans="8:8" ht="15" customHeight="1" x14ac:dyDescent="0.2">
      <c r="H209" s="19">
        <v>6.0010010664176697E-3</v>
      </c>
    </row>
    <row r="210" spans="8:8" ht="15" customHeight="1" x14ac:dyDescent="0.2">
      <c r="H210" s="19">
        <v>1.1743827615654999E-2</v>
      </c>
    </row>
    <row r="211" spans="8:8" ht="15" customHeight="1" x14ac:dyDescent="0.2">
      <c r="H211" s="19">
        <v>-1.2637971986997501E-2</v>
      </c>
    </row>
    <row r="212" spans="8:8" ht="15" customHeight="1" x14ac:dyDescent="0.2">
      <c r="H212" s="19">
        <v>5.5694466704502596E-4</v>
      </c>
    </row>
    <row r="213" spans="8:8" ht="15" customHeight="1" x14ac:dyDescent="0.2">
      <c r="H213" s="19">
        <v>-1.6476587527478801E-3</v>
      </c>
    </row>
    <row r="214" spans="8:8" ht="15" customHeight="1" x14ac:dyDescent="0.2">
      <c r="H214" s="19">
        <v>8.0593724144525699E-3</v>
      </c>
    </row>
    <row r="215" spans="8:8" ht="15" customHeight="1" x14ac:dyDescent="0.2">
      <c r="H215" s="19">
        <v>2.1606599090359898E-3</v>
      </c>
    </row>
    <row r="216" spans="8:8" ht="15" customHeight="1" x14ac:dyDescent="0.2">
      <c r="H216" s="19">
        <v>7.8823275980948095E-3</v>
      </c>
    </row>
    <row r="217" spans="8:8" ht="15" customHeight="1" x14ac:dyDescent="0.2">
      <c r="H217" s="19">
        <v>1.2799011344142199E-3</v>
      </c>
    </row>
    <row r="218" spans="8:8" ht="15" customHeight="1" x14ac:dyDescent="0.2">
      <c r="H218" s="19">
        <v>6.9489031278721003E-3</v>
      </c>
    </row>
    <row r="219" spans="8:8" ht="15" customHeight="1" x14ac:dyDescent="0.2">
      <c r="H219" s="19">
        <v>-1.0419146033597801E-2</v>
      </c>
    </row>
    <row r="220" spans="8:8" ht="15" customHeight="1" x14ac:dyDescent="0.2">
      <c r="H220" s="19">
        <v>1.5680152440596E-2</v>
      </c>
    </row>
    <row r="221" spans="8:8" ht="15" customHeight="1" x14ac:dyDescent="0.2">
      <c r="H221" s="19">
        <v>5.2112254182443904E-3</v>
      </c>
    </row>
    <row r="222" spans="8:8" ht="15" customHeight="1" x14ac:dyDescent="0.2">
      <c r="H222" s="19">
        <v>-2.1033068480443399E-2</v>
      </c>
    </row>
    <row r="223" spans="8:8" ht="15" customHeight="1" x14ac:dyDescent="0.2">
      <c r="H223" s="19">
        <v>-1.0816970099751501E-2</v>
      </c>
    </row>
    <row r="224" spans="8:8" ht="15" customHeight="1" x14ac:dyDescent="0.2">
      <c r="H224" s="19">
        <v>-8.18221808680877E-3</v>
      </c>
    </row>
    <row r="225" spans="8:8" ht="15" customHeight="1" x14ac:dyDescent="0.2">
      <c r="H225" s="19">
        <v>-1.32355374106838E-2</v>
      </c>
    </row>
    <row r="226" spans="8:8" ht="15" customHeight="1" x14ac:dyDescent="0.2">
      <c r="H226" s="19">
        <v>3.10335622966259E-4</v>
      </c>
    </row>
    <row r="227" spans="8:8" ht="15" customHeight="1" x14ac:dyDescent="0.2">
      <c r="H227" s="19">
        <v>-1.6320586822457499E-3</v>
      </c>
    </row>
    <row r="228" spans="8:8" ht="15" customHeight="1" x14ac:dyDescent="0.2">
      <c r="H228" s="19">
        <v>1.14849750067436E-4</v>
      </c>
    </row>
    <row r="229" spans="8:8" ht="15" customHeight="1" x14ac:dyDescent="0.2">
      <c r="H229" s="19">
        <v>-1.01883499823747E-2</v>
      </c>
    </row>
    <row r="230" spans="8:8" ht="15" customHeight="1" x14ac:dyDescent="0.2">
      <c r="H230" s="19">
        <v>-5.3134645298602004E-3</v>
      </c>
    </row>
    <row r="231" spans="8:8" ht="15" customHeight="1" x14ac:dyDescent="0.2">
      <c r="H231" s="19">
        <v>-5.1313878175957102E-3</v>
      </c>
    </row>
    <row r="232" spans="8:8" ht="15" customHeight="1" x14ac:dyDescent="0.2">
      <c r="H232" s="19">
        <v>-7.4987545772449704E-3</v>
      </c>
    </row>
    <row r="233" spans="8:8" ht="15" customHeight="1" x14ac:dyDescent="0.2">
      <c r="H233" s="19">
        <v>-6.4726395521604203E-3</v>
      </c>
    </row>
    <row r="234" spans="8:8" ht="15" customHeight="1" x14ac:dyDescent="0.2">
      <c r="H234" s="19">
        <v>-1.2805454636544301E-2</v>
      </c>
    </row>
    <row r="235" spans="8:8" ht="15" customHeight="1" x14ac:dyDescent="0.2">
      <c r="H235" s="19">
        <v>1.8513361814135501E-2</v>
      </c>
    </row>
    <row r="236" spans="8:8" ht="15" customHeight="1" x14ac:dyDescent="0.2">
      <c r="H236" s="19">
        <v>7.9507335441521606E-3</v>
      </c>
    </row>
    <row r="237" spans="8:8" ht="15" customHeight="1" x14ac:dyDescent="0.2">
      <c r="H237" s="19">
        <v>9.7642372005556505E-3</v>
      </c>
    </row>
    <row r="238" spans="8:8" ht="15" customHeight="1" x14ac:dyDescent="0.2">
      <c r="H238" s="19">
        <v>-1.3060518167478E-2</v>
      </c>
    </row>
    <row r="239" spans="8:8" ht="15" customHeight="1" x14ac:dyDescent="0.2">
      <c r="H239" s="19">
        <v>6.9228490829278001E-4</v>
      </c>
    </row>
    <row r="240" spans="8:8" ht="15" customHeight="1" x14ac:dyDescent="0.2">
      <c r="H240" s="19">
        <v>9.2607977085570406E-3</v>
      </c>
    </row>
    <row r="241" spans="8:8" ht="15" customHeight="1" x14ac:dyDescent="0.2">
      <c r="H241" s="19">
        <v>-4.1450046211980399E-3</v>
      </c>
    </row>
    <row r="242" spans="8:8" ht="15" customHeight="1" x14ac:dyDescent="0.2">
      <c r="H242" s="19">
        <v>-8.5312464764003299E-3</v>
      </c>
    </row>
    <row r="243" spans="8:8" ht="15" customHeight="1" x14ac:dyDescent="0.2">
      <c r="H243" s="19">
        <v>-7.8050555421670901E-4</v>
      </c>
    </row>
    <row r="244" spans="8:8" ht="15" customHeight="1" x14ac:dyDescent="0.2">
      <c r="H244" s="19">
        <v>3.8347268756810499E-3</v>
      </c>
    </row>
    <row r="245" spans="8:8" ht="15" customHeight="1" x14ac:dyDescent="0.2">
      <c r="H245" s="19">
        <v>-6.0559822254992101E-3</v>
      </c>
    </row>
    <row r="246" spans="8:8" ht="15" customHeight="1" x14ac:dyDescent="0.2">
      <c r="H246" s="19">
        <v>1.20582092186049E-2</v>
      </c>
    </row>
    <row r="247" spans="8:8" ht="15" customHeight="1" x14ac:dyDescent="0.2">
      <c r="H247" s="19">
        <v>-6.9417963908157496E-3</v>
      </c>
    </row>
    <row r="248" spans="8:8" ht="15" customHeight="1" x14ac:dyDescent="0.2">
      <c r="H248" s="19">
        <v>2.1081058995348801E-3</v>
      </c>
    </row>
    <row r="249" spans="8:8" ht="15" customHeight="1" x14ac:dyDescent="0.2">
      <c r="H249" s="19">
        <v>1.6058752327117399E-3</v>
      </c>
    </row>
    <row r="250" spans="8:8" ht="15" customHeight="1" x14ac:dyDescent="0.2">
      <c r="H250" s="19">
        <v>5.2123803654935703E-3</v>
      </c>
    </row>
    <row r="251" spans="8:8" ht="15" customHeight="1" x14ac:dyDescent="0.2">
      <c r="H251" s="19">
        <v>-1.70351047375603E-2</v>
      </c>
    </row>
    <row r="252" spans="8:8" ht="15" customHeight="1" x14ac:dyDescent="0.2">
      <c r="H252" s="19">
        <v>-1.49765223969831E-2</v>
      </c>
    </row>
    <row r="253" spans="8:8" ht="15" customHeight="1" x14ac:dyDescent="0.2">
      <c r="H253" s="19">
        <v>-7.5521493932740203E-3</v>
      </c>
    </row>
    <row r="254" spans="8:8" ht="15" customHeight="1" x14ac:dyDescent="0.2">
      <c r="H254" s="19">
        <v>-9.2128382943666501E-3</v>
      </c>
    </row>
    <row r="255" spans="8:8" ht="15" customHeight="1" x14ac:dyDescent="0.2">
      <c r="H255" s="19">
        <v>-1.88079850027029E-2</v>
      </c>
    </row>
    <row r="256" spans="8:8" ht="15" customHeight="1" x14ac:dyDescent="0.2">
      <c r="H256" s="19">
        <v>8.1259254690655806E-3</v>
      </c>
    </row>
    <row r="257" spans="8:8" ht="15" customHeight="1" x14ac:dyDescent="0.2">
      <c r="H257" s="19">
        <v>-2.3108046122106399E-3</v>
      </c>
    </row>
    <row r="258" spans="8:8" ht="15" customHeight="1" x14ac:dyDescent="0.2">
      <c r="H258" s="19">
        <v>-1.6625204790003099E-2</v>
      </c>
    </row>
    <row r="259" spans="8:8" ht="15" customHeight="1" x14ac:dyDescent="0.2">
      <c r="H259" s="19">
        <v>-3.18062272726384E-3</v>
      </c>
    </row>
    <row r="260" spans="8:8" ht="15" customHeight="1" x14ac:dyDescent="0.2">
      <c r="H260" s="19">
        <v>-3.75571541079763E-3</v>
      </c>
    </row>
    <row r="261" spans="8:8" ht="15" customHeight="1" x14ac:dyDescent="0.2">
      <c r="H261" s="19">
        <v>1.5459099177826599E-2</v>
      </c>
    </row>
    <row r="262" spans="8:8" ht="15" customHeight="1" x14ac:dyDescent="0.2">
      <c r="H262" s="19">
        <v>-1.51622749806206E-2</v>
      </c>
    </row>
    <row r="263" spans="8:8" ht="15" customHeight="1" x14ac:dyDescent="0.2">
      <c r="H263" s="19">
        <v>-1.0886285539087801E-3</v>
      </c>
    </row>
    <row r="264" spans="8:8" ht="15" customHeight="1" x14ac:dyDescent="0.2">
      <c r="H264" s="19">
        <v>-1.5764949006254001E-2</v>
      </c>
    </row>
    <row r="265" spans="8:8" ht="15" customHeight="1" x14ac:dyDescent="0.2">
      <c r="H265" s="19">
        <v>-4.4364539184812701E-3</v>
      </c>
    </row>
    <row r="266" spans="8:8" ht="15" customHeight="1" x14ac:dyDescent="0.2">
      <c r="H266" s="19">
        <v>-2.6235945752839098E-3</v>
      </c>
    </row>
    <row r="267" spans="8:8" ht="15" customHeight="1" x14ac:dyDescent="0.2">
      <c r="H267" s="19">
        <v>-1.7504907452068599E-3</v>
      </c>
    </row>
    <row r="268" spans="8:8" ht="15" customHeight="1" x14ac:dyDescent="0.2">
      <c r="H268" s="19">
        <v>8.0603615806610907E-3</v>
      </c>
    </row>
    <row r="269" spans="8:8" ht="15" customHeight="1" x14ac:dyDescent="0.2">
      <c r="H269" s="19">
        <v>4.25004509417767E-3</v>
      </c>
    </row>
    <row r="270" spans="8:8" ht="15" customHeight="1" x14ac:dyDescent="0.2">
      <c r="H270" s="19">
        <v>1.6572332566434701E-3</v>
      </c>
    </row>
    <row r="271" spans="8:8" ht="15" customHeight="1" x14ac:dyDescent="0.2">
      <c r="H271" s="19">
        <v>1.4886621476428901E-2</v>
      </c>
    </row>
    <row r="272" spans="8:8" ht="15" customHeight="1" x14ac:dyDescent="0.2">
      <c r="H272" s="19">
        <v>5.5482007327524903E-3</v>
      </c>
    </row>
    <row r="273" spans="8:8" ht="15" customHeight="1" x14ac:dyDescent="0.2">
      <c r="H273" s="19">
        <v>-4.9470091993385201E-3</v>
      </c>
    </row>
    <row r="274" spans="8:8" ht="15" customHeight="1" x14ac:dyDescent="0.2">
      <c r="H274" s="19">
        <v>3.4138849569647898E-3</v>
      </c>
    </row>
    <row r="275" spans="8:8" ht="15" customHeight="1" x14ac:dyDescent="0.2">
      <c r="H275" s="19">
        <v>-7.1238059921975199E-3</v>
      </c>
    </row>
    <row r="276" spans="8:8" ht="15" customHeight="1" x14ac:dyDescent="0.2">
      <c r="H276" s="19">
        <v>3.6568615258979701E-3</v>
      </c>
    </row>
    <row r="277" spans="8:8" ht="15" customHeight="1" x14ac:dyDescent="0.2">
      <c r="H277" s="19">
        <v>-4.0845831452383996E-3</v>
      </c>
    </row>
    <row r="278" spans="8:8" ht="15" customHeight="1" x14ac:dyDescent="0.2">
      <c r="H278" s="19">
        <v>-8.3547571185100204E-3</v>
      </c>
    </row>
    <row r="279" spans="8:8" ht="15" customHeight="1" x14ac:dyDescent="0.2">
      <c r="H279" s="19">
        <v>2.11455311879304E-3</v>
      </c>
    </row>
    <row r="280" spans="8:8" ht="15" customHeight="1" x14ac:dyDescent="0.2">
      <c r="H280" s="19">
        <v>-8.7901466824295907E-3</v>
      </c>
    </row>
    <row r="281" spans="8:8" ht="15" customHeight="1" x14ac:dyDescent="0.2">
      <c r="H281" s="19">
        <v>-2.16191303166893E-2</v>
      </c>
    </row>
    <row r="282" spans="8:8" ht="15" customHeight="1" x14ac:dyDescent="0.2">
      <c r="H282" s="19">
        <v>-1.35510345386834E-2</v>
      </c>
    </row>
    <row r="283" spans="8:8" ht="15" customHeight="1" x14ac:dyDescent="0.2">
      <c r="H283" s="19">
        <v>-1.2616063800306099E-2</v>
      </c>
    </row>
    <row r="284" spans="8:8" ht="15" customHeight="1" x14ac:dyDescent="0.2">
      <c r="H284" s="19">
        <v>1.6763749378381101E-4</v>
      </c>
    </row>
    <row r="285" spans="8:8" ht="15" customHeight="1" x14ac:dyDescent="0.2">
      <c r="H285" s="19">
        <v>-1.50573856037679E-2</v>
      </c>
    </row>
    <row r="286" spans="8:8" ht="15" customHeight="1" x14ac:dyDescent="0.2">
      <c r="H286" s="19">
        <v>-8.0722147129443905E-3</v>
      </c>
    </row>
    <row r="287" spans="8:8" ht="15" customHeight="1" x14ac:dyDescent="0.2">
      <c r="H287" s="19">
        <v>2.5341304012384302E-4</v>
      </c>
    </row>
    <row r="288" spans="8:8" ht="15" customHeight="1" x14ac:dyDescent="0.2">
      <c r="H288" s="19">
        <v>2.6008520949230198E-3</v>
      </c>
    </row>
    <row r="289" spans="8:8" ht="15" customHeight="1" x14ac:dyDescent="0.2">
      <c r="H289" s="19">
        <v>-1.22158820652069E-2</v>
      </c>
    </row>
    <row r="290" spans="8:8" ht="15" customHeight="1" x14ac:dyDescent="0.2">
      <c r="H290" s="19">
        <v>8.3299076704611008E-3</v>
      </c>
    </row>
    <row r="291" spans="8:8" ht="15" customHeight="1" x14ac:dyDescent="0.2">
      <c r="H291" s="19">
        <v>6.5730513448712105E-4</v>
      </c>
    </row>
    <row r="292" spans="8:8" ht="15" customHeight="1" x14ac:dyDescent="0.2">
      <c r="H292" s="19">
        <v>1.92152045347895E-2</v>
      </c>
    </row>
    <row r="293" spans="8:8" ht="15" customHeight="1" x14ac:dyDescent="0.2">
      <c r="H293" s="19">
        <v>-1.5802450158854401E-2</v>
      </c>
    </row>
    <row r="294" spans="8:8" ht="15" customHeight="1" x14ac:dyDescent="0.2">
      <c r="H294" s="19">
        <v>-7.6470328922518399E-3</v>
      </c>
    </row>
    <row r="295" spans="8:8" ht="15" customHeight="1" x14ac:dyDescent="0.2">
      <c r="H295" s="19">
        <v>2.69119005138027E-4</v>
      </c>
    </row>
    <row r="296" spans="8:8" ht="15" customHeight="1" x14ac:dyDescent="0.2">
      <c r="H296" s="19">
        <v>1.7049232894199198E-2</v>
      </c>
    </row>
    <row r="297" spans="8:8" ht="15" customHeight="1" x14ac:dyDescent="0.2">
      <c r="H297" s="19">
        <v>-5.8001058337341302E-3</v>
      </c>
    </row>
    <row r="298" spans="8:8" ht="15" customHeight="1" x14ac:dyDescent="0.2">
      <c r="H298" s="19">
        <v>8.3709808092840895E-3</v>
      </c>
    </row>
    <row r="299" spans="8:8" ht="15" customHeight="1" x14ac:dyDescent="0.2">
      <c r="H299" s="19">
        <v>-2.93978033990238E-3</v>
      </c>
    </row>
    <row r="300" spans="8:8" ht="15" customHeight="1" x14ac:dyDescent="0.2">
      <c r="H300" s="19">
        <v>6.9831266511652303E-3</v>
      </c>
    </row>
    <row r="301" spans="8:8" ht="15" customHeight="1" x14ac:dyDescent="0.2">
      <c r="H301" s="19">
        <v>-3.5858274866861297E-4</v>
      </c>
    </row>
    <row r="302" spans="8:8" ht="15" customHeight="1" x14ac:dyDescent="0.2">
      <c r="H302" s="19">
        <v>3.8701596018191498E-4</v>
      </c>
    </row>
    <row r="303" spans="8:8" ht="15" customHeight="1" x14ac:dyDescent="0.2">
      <c r="H303" s="19">
        <v>3.6871699507557099E-4</v>
      </c>
    </row>
    <row r="304" spans="8:8" ht="15" customHeight="1" x14ac:dyDescent="0.2">
      <c r="H304" s="19">
        <v>1.0430236562864299E-2</v>
      </c>
    </row>
    <row r="305" spans="8:8" ht="15" customHeight="1" x14ac:dyDescent="0.2">
      <c r="H305" s="19">
        <v>5.8051424247327899E-3</v>
      </c>
    </row>
    <row r="306" spans="8:8" ht="15" customHeight="1" x14ac:dyDescent="0.2">
      <c r="H306" s="19">
        <v>7.6198072482675403E-3</v>
      </c>
    </row>
    <row r="307" spans="8:8" ht="15" customHeight="1" x14ac:dyDescent="0.2">
      <c r="H307" s="19">
        <v>1.03932161559012E-2</v>
      </c>
    </row>
    <row r="308" spans="8:8" ht="15" customHeight="1" x14ac:dyDescent="0.2">
      <c r="H308" s="19">
        <v>2.4276304367075101E-3</v>
      </c>
    </row>
    <row r="309" spans="8:8" ht="15" customHeight="1" x14ac:dyDescent="0.2">
      <c r="H309" s="19">
        <v>-1.35694108326039E-2</v>
      </c>
    </row>
    <row r="310" spans="8:8" ht="15" customHeight="1" x14ac:dyDescent="0.2">
      <c r="H310" s="19">
        <v>-3.37421357662909E-3</v>
      </c>
    </row>
    <row r="311" spans="8:8" ht="15" customHeight="1" x14ac:dyDescent="0.2">
      <c r="H311" s="19">
        <v>-1.3849567678896399E-2</v>
      </c>
    </row>
    <row r="312" spans="8:8" ht="15" customHeight="1" x14ac:dyDescent="0.2">
      <c r="H312" s="19">
        <v>4.6953619375518204E-3</v>
      </c>
    </row>
    <row r="313" spans="8:8" ht="15" customHeight="1" x14ac:dyDescent="0.2">
      <c r="H313" s="19">
        <v>9.0915366045786292E-3</v>
      </c>
    </row>
    <row r="314" spans="8:8" ht="15" customHeight="1" x14ac:dyDescent="0.2">
      <c r="H314" s="19">
        <v>1.8922366056143699E-3</v>
      </c>
    </row>
    <row r="315" spans="8:8" ht="15" customHeight="1" x14ac:dyDescent="0.2">
      <c r="H315" s="19">
        <v>1.66617836993979E-2</v>
      </c>
    </row>
    <row r="316" spans="8:8" ht="15" customHeight="1" x14ac:dyDescent="0.2">
      <c r="H316" s="19">
        <v>-1.54410477125945E-2</v>
      </c>
    </row>
    <row r="317" spans="8:8" ht="15" customHeight="1" x14ac:dyDescent="0.2">
      <c r="H317" s="19">
        <v>-5.7036437726434401E-3</v>
      </c>
    </row>
    <row r="318" spans="8:8" ht="15" customHeight="1" x14ac:dyDescent="0.2">
      <c r="H318" s="19">
        <v>1.9891049573791701E-3</v>
      </c>
    </row>
    <row r="319" spans="8:8" ht="15" customHeight="1" x14ac:dyDescent="0.2">
      <c r="H319" s="19">
        <v>3.6696787460579901E-3</v>
      </c>
    </row>
    <row r="320" spans="8:8" ht="15" customHeight="1" x14ac:dyDescent="0.2">
      <c r="H320" s="19">
        <v>1.03276391849849E-2</v>
      </c>
    </row>
    <row r="321" spans="8:8" ht="15" customHeight="1" x14ac:dyDescent="0.2">
      <c r="H321" s="19">
        <v>-2.2330705134405299E-2</v>
      </c>
    </row>
    <row r="322" spans="8:8" ht="15" customHeight="1" x14ac:dyDescent="0.2">
      <c r="H322" s="19">
        <v>-7.38413322438764E-4</v>
      </c>
    </row>
    <row r="323" spans="8:8" ht="15" customHeight="1" x14ac:dyDescent="0.2">
      <c r="H323" s="19">
        <v>1.2783837522486101E-2</v>
      </c>
    </row>
    <row r="324" spans="8:8" ht="15" customHeight="1" x14ac:dyDescent="0.2">
      <c r="H324" s="19">
        <v>1.6249513600251501E-2</v>
      </c>
    </row>
    <row r="325" spans="8:8" ht="15" customHeight="1" x14ac:dyDescent="0.2">
      <c r="H325" s="19">
        <v>-1.50907034802691E-3</v>
      </c>
    </row>
    <row r="326" spans="8:8" ht="15" customHeight="1" x14ac:dyDescent="0.2">
      <c r="H326" s="19">
        <v>-7.5468686624482698E-3</v>
      </c>
    </row>
    <row r="327" spans="8:8" ht="15" customHeight="1" x14ac:dyDescent="0.2">
      <c r="H327" s="19">
        <v>4.3246957818108903E-3</v>
      </c>
    </row>
    <row r="328" spans="8:8" ht="15" customHeight="1" x14ac:dyDescent="0.2">
      <c r="H328" s="19">
        <v>-2.4578706635185999E-3</v>
      </c>
    </row>
    <row r="329" spans="8:8" ht="15" customHeight="1" x14ac:dyDescent="0.2">
      <c r="H329" s="19">
        <v>-1.04382550755185E-2</v>
      </c>
    </row>
    <row r="330" spans="8:8" ht="15" customHeight="1" x14ac:dyDescent="0.2">
      <c r="H330" s="19">
        <v>-1.4218180259246699E-2</v>
      </c>
    </row>
    <row r="331" spans="8:8" ht="15" customHeight="1" x14ac:dyDescent="0.2">
      <c r="H331" s="19">
        <v>1.1631629357486101E-2</v>
      </c>
    </row>
    <row r="332" spans="8:8" ht="15" customHeight="1" x14ac:dyDescent="0.2">
      <c r="H332" s="19">
        <v>-1.03875062551544E-3</v>
      </c>
    </row>
    <row r="333" spans="8:8" ht="15" customHeight="1" x14ac:dyDescent="0.2">
      <c r="H333" s="19">
        <v>5.2959058972476599E-3</v>
      </c>
    </row>
    <row r="334" spans="8:8" ht="15" customHeight="1" x14ac:dyDescent="0.2">
      <c r="H334" s="19">
        <v>9.3633598696474703E-3</v>
      </c>
    </row>
    <row r="335" spans="8:8" ht="15" customHeight="1" x14ac:dyDescent="0.2">
      <c r="H335" s="19">
        <v>-1.2311822000548899E-3</v>
      </c>
    </row>
    <row r="336" spans="8:8" ht="15" customHeight="1" x14ac:dyDescent="0.2">
      <c r="H336" s="19">
        <v>7.3282037918947296E-3</v>
      </c>
    </row>
    <row r="337" spans="8:8" ht="15" customHeight="1" x14ac:dyDescent="0.2">
      <c r="H337" s="19">
        <v>-1.0204593879616199E-3</v>
      </c>
    </row>
    <row r="338" spans="8:8" ht="15" customHeight="1" x14ac:dyDescent="0.2">
      <c r="H338" s="19">
        <v>-2.2306158843390998E-3</v>
      </c>
    </row>
    <row r="339" spans="8:8" ht="15" customHeight="1" x14ac:dyDescent="0.2">
      <c r="H339" s="19">
        <v>1.42359379050177E-2</v>
      </c>
    </row>
    <row r="340" spans="8:8" ht="15" customHeight="1" x14ac:dyDescent="0.2">
      <c r="H340" s="19">
        <v>-6.65702627263327E-3</v>
      </c>
    </row>
    <row r="341" spans="8:8" ht="15" customHeight="1" x14ac:dyDescent="0.2">
      <c r="H341" s="19">
        <v>6.1094782132363103E-3</v>
      </c>
    </row>
    <row r="342" spans="8:8" ht="15" customHeight="1" x14ac:dyDescent="0.2">
      <c r="H342" s="19">
        <v>-1.1509281082088499E-3</v>
      </c>
    </row>
    <row r="343" spans="8:8" ht="15" customHeight="1" x14ac:dyDescent="0.2">
      <c r="H343" s="19">
        <v>-1.05883420588254E-2</v>
      </c>
    </row>
    <row r="344" spans="8:8" ht="15" customHeight="1" x14ac:dyDescent="0.2">
      <c r="H344" s="19">
        <v>7.4119324961889298E-3</v>
      </c>
    </row>
    <row r="345" spans="8:8" ht="15" customHeight="1" x14ac:dyDescent="0.2">
      <c r="H345" s="19">
        <v>1.55859202904815E-2</v>
      </c>
    </row>
    <row r="346" spans="8:8" ht="15" customHeight="1" x14ac:dyDescent="0.2">
      <c r="H346" s="19">
        <v>5.4922333440628303E-3</v>
      </c>
    </row>
    <row r="347" spans="8:8" ht="15" customHeight="1" x14ac:dyDescent="0.2">
      <c r="H347" s="19">
        <v>-6.9088655928996002E-3</v>
      </c>
    </row>
    <row r="348" spans="8:8" ht="15" customHeight="1" x14ac:dyDescent="0.2">
      <c r="H348" s="19">
        <v>-7.8087198957031197E-3</v>
      </c>
    </row>
    <row r="349" spans="8:8" ht="15" customHeight="1" x14ac:dyDescent="0.2">
      <c r="H349" s="19">
        <v>1.28300014422202E-3</v>
      </c>
    </row>
    <row r="350" spans="8:8" ht="15" customHeight="1" x14ac:dyDescent="0.2">
      <c r="H350" s="19">
        <v>-1.8198106752392099E-2</v>
      </c>
    </row>
    <row r="351" spans="8:8" ht="15" customHeight="1" x14ac:dyDescent="0.2">
      <c r="H351" s="19">
        <v>1.39665406916005E-2</v>
      </c>
    </row>
    <row r="352" spans="8:8" ht="15" customHeight="1" x14ac:dyDescent="0.2">
      <c r="H352" s="19">
        <v>8.1449048967558099E-3</v>
      </c>
    </row>
    <row r="353" spans="8:8" ht="15" customHeight="1" x14ac:dyDescent="0.2">
      <c r="H353" s="19">
        <v>-5.2148533341449602E-3</v>
      </c>
    </row>
    <row r="354" spans="8:8" ht="15" customHeight="1" x14ac:dyDescent="0.2">
      <c r="H354" s="19">
        <v>3.0322470154166901E-3</v>
      </c>
    </row>
    <row r="355" spans="8:8" ht="15" customHeight="1" x14ac:dyDescent="0.2">
      <c r="H355" s="19">
        <v>-7.8740162865159596E-3</v>
      </c>
    </row>
    <row r="356" spans="8:8" ht="15" customHeight="1" x14ac:dyDescent="0.2">
      <c r="H356" s="19">
        <v>-1.91546829569637E-3</v>
      </c>
    </row>
    <row r="357" spans="8:8" ht="15" customHeight="1" x14ac:dyDescent="0.2">
      <c r="H357" s="19">
        <v>-6.9614347306031299E-3</v>
      </c>
    </row>
    <row r="358" spans="8:8" ht="15" customHeight="1" x14ac:dyDescent="0.2">
      <c r="H358" s="19">
        <v>1.25100226335463E-2</v>
      </c>
    </row>
    <row r="359" spans="8:8" ht="15" customHeight="1" x14ac:dyDescent="0.2">
      <c r="H359" s="19">
        <v>3.18307866426053E-3</v>
      </c>
    </row>
    <row r="360" spans="8:8" ht="15" customHeight="1" x14ac:dyDescent="0.2">
      <c r="H360" s="19">
        <v>-5.9304073345629003E-3</v>
      </c>
    </row>
    <row r="361" spans="8:8" ht="15" customHeight="1" x14ac:dyDescent="0.2">
      <c r="H361" s="19">
        <v>-1.1304344855642601E-3</v>
      </c>
    </row>
    <row r="362" spans="8:8" ht="15" customHeight="1" x14ac:dyDescent="0.2">
      <c r="H362" s="19">
        <v>-9.0188362404987898E-3</v>
      </c>
    </row>
    <row r="363" spans="8:8" ht="15" customHeight="1" x14ac:dyDescent="0.2">
      <c r="H363" s="19">
        <v>-1.03749059042977E-3</v>
      </c>
    </row>
    <row r="364" spans="8:8" ht="15" customHeight="1" x14ac:dyDescent="0.2">
      <c r="H364" s="19">
        <v>-1.08196573597776E-2</v>
      </c>
    </row>
    <row r="365" spans="8:8" ht="15" customHeight="1" x14ac:dyDescent="0.2">
      <c r="H365" s="19">
        <v>-8.9102444510623796E-3</v>
      </c>
    </row>
    <row r="366" spans="8:8" ht="15" customHeight="1" x14ac:dyDescent="0.2">
      <c r="H366" s="19">
        <v>-8.3914161328646104E-3</v>
      </c>
    </row>
    <row r="367" spans="8:8" ht="15" customHeight="1" x14ac:dyDescent="0.2">
      <c r="H367" s="19">
        <v>4.52849673473542E-3</v>
      </c>
    </row>
    <row r="368" spans="8:8" ht="15" customHeight="1" x14ac:dyDescent="0.2">
      <c r="H368" s="19">
        <v>3.1167403984775099E-3</v>
      </c>
    </row>
    <row r="369" spans="8:8" ht="15" customHeight="1" x14ac:dyDescent="0.2">
      <c r="H369" s="19">
        <v>9.2899791088119302E-3</v>
      </c>
    </row>
    <row r="370" spans="8:8" ht="15" customHeight="1" x14ac:dyDescent="0.2">
      <c r="H370" s="19">
        <v>2.65236072168083E-3</v>
      </c>
    </row>
    <row r="371" spans="8:8" ht="15" customHeight="1" x14ac:dyDescent="0.2">
      <c r="H371" s="19">
        <v>1.32108604080012E-3</v>
      </c>
    </row>
    <row r="372" spans="8:8" ht="15" customHeight="1" x14ac:dyDescent="0.2">
      <c r="H372" s="19">
        <v>-7.1209549162856997E-3</v>
      </c>
    </row>
    <row r="373" spans="8:8" ht="15" customHeight="1" x14ac:dyDescent="0.2">
      <c r="H373" s="19">
        <v>-3.0438617914848301E-3</v>
      </c>
    </row>
    <row r="374" spans="8:8" ht="15" customHeight="1" x14ac:dyDescent="0.2">
      <c r="H374" s="19">
        <v>1.31586056616405E-2</v>
      </c>
    </row>
    <row r="375" spans="8:8" ht="15" customHeight="1" x14ac:dyDescent="0.2">
      <c r="H375" s="19">
        <v>4.5636361574635997E-3</v>
      </c>
    </row>
    <row r="376" spans="8:8" ht="15" customHeight="1" x14ac:dyDescent="0.2">
      <c r="H376" s="19">
        <v>-2.22876920160438E-2</v>
      </c>
    </row>
    <row r="377" spans="8:8" ht="15" customHeight="1" x14ac:dyDescent="0.2">
      <c r="H377" s="19">
        <v>-4.7298740731631901E-3</v>
      </c>
    </row>
    <row r="378" spans="8:8" ht="15" customHeight="1" x14ac:dyDescent="0.2">
      <c r="H378" s="19">
        <v>2.8016439099936602E-3</v>
      </c>
    </row>
    <row r="379" spans="8:8" ht="15" customHeight="1" x14ac:dyDescent="0.2">
      <c r="H379" s="19">
        <v>-2.7671973207149098E-3</v>
      </c>
    </row>
    <row r="380" spans="8:8" ht="15" customHeight="1" x14ac:dyDescent="0.2">
      <c r="H380" s="19">
        <v>1.15389570425864E-2</v>
      </c>
    </row>
    <row r="381" spans="8:8" ht="15" customHeight="1" x14ac:dyDescent="0.2">
      <c r="H381" s="19">
        <v>-1.35092098076957E-2</v>
      </c>
    </row>
    <row r="382" spans="8:8" ht="15" customHeight="1" x14ac:dyDescent="0.2">
      <c r="H382" s="19">
        <v>-1.23584304328985E-2</v>
      </c>
    </row>
    <row r="383" spans="8:8" ht="15" customHeight="1" x14ac:dyDescent="0.2">
      <c r="H383" s="19">
        <v>2.0110654005857099E-4</v>
      </c>
    </row>
    <row r="384" spans="8:8" ht="15" customHeight="1" x14ac:dyDescent="0.2">
      <c r="H384" s="19">
        <v>6.91831791640547E-3</v>
      </c>
    </row>
    <row r="385" spans="8:8" ht="15" customHeight="1" x14ac:dyDescent="0.2">
      <c r="H385" s="19">
        <v>-2.28521176105068E-3</v>
      </c>
    </row>
    <row r="386" spans="8:8" ht="15" customHeight="1" x14ac:dyDescent="0.2">
      <c r="H386" s="19">
        <v>-2.94305770919149E-3</v>
      </c>
    </row>
    <row r="387" spans="8:8" ht="15" customHeight="1" x14ac:dyDescent="0.2">
      <c r="H387" s="19">
        <v>-5.0642953867966302E-3</v>
      </c>
    </row>
    <row r="388" spans="8:8" ht="15" customHeight="1" x14ac:dyDescent="0.2">
      <c r="H388" s="19">
        <v>6.0459235897826098E-3</v>
      </c>
    </row>
    <row r="389" spans="8:8" ht="15" customHeight="1" x14ac:dyDescent="0.2">
      <c r="H389" s="19">
        <v>-9.4757010698632103E-3</v>
      </c>
    </row>
    <row r="390" spans="8:8" ht="15" customHeight="1" x14ac:dyDescent="0.2">
      <c r="H390" s="19">
        <v>1.09277526406087E-2</v>
      </c>
    </row>
    <row r="391" spans="8:8" ht="15" customHeight="1" x14ac:dyDescent="0.2">
      <c r="H391" s="19">
        <v>-7.6441870074711402E-3</v>
      </c>
    </row>
    <row r="392" spans="8:8" ht="15" customHeight="1" x14ac:dyDescent="0.2">
      <c r="H392" s="19">
        <v>4.9729459594886997E-3</v>
      </c>
    </row>
    <row r="393" spans="8:8" ht="15" customHeight="1" x14ac:dyDescent="0.2">
      <c r="H393" s="19">
        <v>-5.61688076385771E-3</v>
      </c>
    </row>
    <row r="394" spans="8:8" ht="15" customHeight="1" x14ac:dyDescent="0.2">
      <c r="H394" s="19">
        <v>1.5124670371271499E-2</v>
      </c>
    </row>
    <row r="395" spans="8:8" ht="15" customHeight="1" x14ac:dyDescent="0.2">
      <c r="H395" s="19">
        <v>4.5391594036560298E-4</v>
      </c>
    </row>
    <row r="396" spans="8:8" ht="15" customHeight="1" x14ac:dyDescent="0.2">
      <c r="H396" s="19">
        <v>1.32557678500083E-2</v>
      </c>
    </row>
    <row r="397" spans="8:8" ht="15" customHeight="1" x14ac:dyDescent="0.2">
      <c r="H397" s="19">
        <v>-3.0809320216631199E-3</v>
      </c>
    </row>
    <row r="398" spans="8:8" ht="15" customHeight="1" x14ac:dyDescent="0.2">
      <c r="H398" s="19">
        <v>-5.4047166580550102E-3</v>
      </c>
    </row>
    <row r="399" spans="8:8" ht="15" customHeight="1" x14ac:dyDescent="0.2">
      <c r="H399" s="19">
        <v>8.0185504448421294E-3</v>
      </c>
    </row>
    <row r="400" spans="8:8" ht="15" customHeight="1" x14ac:dyDescent="0.2">
      <c r="H400" s="19">
        <v>-3.8219797164859401E-3</v>
      </c>
    </row>
    <row r="401" spans="8:8" ht="15" customHeight="1" x14ac:dyDescent="0.2">
      <c r="H401" s="19">
        <v>-1.03217509498195E-2</v>
      </c>
    </row>
    <row r="402" spans="8:8" ht="15" customHeight="1" x14ac:dyDescent="0.2">
      <c r="H402" s="19">
        <v>-6.6412485522479895E-4</v>
      </c>
    </row>
    <row r="403" spans="8:8" ht="15" customHeight="1" x14ac:dyDescent="0.2">
      <c r="H403" s="19">
        <v>7.6347610665627504E-3</v>
      </c>
    </row>
    <row r="404" spans="8:8" ht="15" customHeight="1" x14ac:dyDescent="0.2">
      <c r="H404" s="19">
        <v>-2.1926927721844201E-3</v>
      </c>
    </row>
    <row r="405" spans="8:8" ht="15" customHeight="1" x14ac:dyDescent="0.2">
      <c r="H405" s="19">
        <v>-6.3214699485647802E-3</v>
      </c>
    </row>
    <row r="406" spans="8:8" ht="15" customHeight="1" x14ac:dyDescent="0.2">
      <c r="H406" s="19">
        <v>2.3077811772439301E-4</v>
      </c>
    </row>
    <row r="407" spans="8:8" ht="15" customHeight="1" x14ac:dyDescent="0.2">
      <c r="H407" s="19">
        <v>1.6905852662663201E-3</v>
      </c>
    </row>
    <row r="408" spans="8:8" ht="15" customHeight="1" x14ac:dyDescent="0.2">
      <c r="H408" s="19">
        <v>-1.86357329665113E-2</v>
      </c>
    </row>
    <row r="409" spans="8:8" ht="15" customHeight="1" x14ac:dyDescent="0.2">
      <c r="H409" s="19">
        <v>-2.8576127394704699E-3</v>
      </c>
    </row>
    <row r="410" spans="8:8" ht="15" customHeight="1" x14ac:dyDescent="0.2">
      <c r="H410" s="19">
        <v>4.2749949708626202E-3</v>
      </c>
    </row>
    <row r="411" spans="8:8" ht="15" customHeight="1" x14ac:dyDescent="0.2">
      <c r="H411" s="19">
        <v>6.1349635598407703E-3</v>
      </c>
    </row>
    <row r="412" spans="8:8" ht="15" customHeight="1" x14ac:dyDescent="0.2">
      <c r="H412" s="19">
        <v>-2.7869424484577398E-3</v>
      </c>
    </row>
    <row r="413" spans="8:8" ht="15" customHeight="1" x14ac:dyDescent="0.2">
      <c r="H413" s="19">
        <v>9.9065535700398593E-3</v>
      </c>
    </row>
    <row r="414" spans="8:8" ht="15" customHeight="1" x14ac:dyDescent="0.2">
      <c r="H414" s="19">
        <v>-1.7018932846281799E-2</v>
      </c>
    </row>
    <row r="415" spans="8:8" ht="15" customHeight="1" x14ac:dyDescent="0.2">
      <c r="H415" s="19">
        <v>-9.1798218801606801E-4</v>
      </c>
    </row>
    <row r="416" spans="8:8" ht="15" customHeight="1" x14ac:dyDescent="0.2">
      <c r="H416" s="19">
        <v>-2.8192370977424201E-3</v>
      </c>
    </row>
    <row r="417" spans="8:8" ht="15" customHeight="1" x14ac:dyDescent="0.2">
      <c r="H417" s="19">
        <v>-9.7496071979788802E-3</v>
      </c>
    </row>
    <row r="418" spans="8:8" ht="15" customHeight="1" x14ac:dyDescent="0.2">
      <c r="H418" s="19">
        <v>-1.0791650685506001E-2</v>
      </c>
    </row>
    <row r="419" spans="8:8" ht="15" customHeight="1" x14ac:dyDescent="0.2">
      <c r="H419" s="19">
        <v>-8.5184625878904803E-3</v>
      </c>
    </row>
    <row r="420" spans="8:8" ht="15" customHeight="1" x14ac:dyDescent="0.2">
      <c r="H420" s="19">
        <v>4.6717524415313301E-3</v>
      </c>
    </row>
    <row r="421" spans="8:8" ht="15" customHeight="1" x14ac:dyDescent="0.2">
      <c r="H421" s="19">
        <v>-1.54622081409314E-2</v>
      </c>
    </row>
    <row r="422" spans="8:8" ht="15" customHeight="1" x14ac:dyDescent="0.2">
      <c r="H422" s="19">
        <v>-2.26981392802107E-3</v>
      </c>
    </row>
    <row r="423" spans="8:8" ht="15" customHeight="1" x14ac:dyDescent="0.2">
      <c r="H423" s="19">
        <v>9.2260942930265603E-3</v>
      </c>
    </row>
    <row r="424" spans="8:8" ht="15" customHeight="1" x14ac:dyDescent="0.2">
      <c r="H424" s="19">
        <v>-2.2567348039535099E-3</v>
      </c>
    </row>
    <row r="425" spans="8:8" ht="15" customHeight="1" x14ac:dyDescent="0.2">
      <c r="H425" s="19">
        <v>-3.9765299986828304E-3</v>
      </c>
    </row>
    <row r="426" spans="8:8" ht="15" customHeight="1" x14ac:dyDescent="0.2">
      <c r="H426" s="19">
        <v>1.0971048315356301E-2</v>
      </c>
    </row>
    <row r="427" spans="8:8" ht="15" customHeight="1" x14ac:dyDescent="0.2">
      <c r="H427" s="19">
        <v>-4.1314827764990601E-3</v>
      </c>
    </row>
    <row r="428" spans="8:8" ht="15" customHeight="1" x14ac:dyDescent="0.2">
      <c r="H428" s="19">
        <v>-2.75779678996463E-3</v>
      </c>
    </row>
    <row r="429" spans="8:8" ht="15" customHeight="1" x14ac:dyDescent="0.2">
      <c r="H429" s="19">
        <v>2.91714368528269E-3</v>
      </c>
    </row>
    <row r="430" spans="8:8" ht="15" customHeight="1" x14ac:dyDescent="0.2">
      <c r="H430" s="19">
        <v>1.9247343166688399E-2</v>
      </c>
    </row>
    <row r="431" spans="8:8" ht="15" customHeight="1" x14ac:dyDescent="0.2">
      <c r="H431" s="19">
        <v>-3.8542393682595801E-3</v>
      </c>
    </row>
    <row r="432" spans="8:8" ht="15" customHeight="1" x14ac:dyDescent="0.2">
      <c r="H432" s="19">
        <v>-4.1723643986388299E-3</v>
      </c>
    </row>
    <row r="433" spans="8:8" ht="15" customHeight="1" x14ac:dyDescent="0.2">
      <c r="H433" s="19">
        <v>7.4614116062388103E-3</v>
      </c>
    </row>
    <row r="434" spans="8:8" ht="15" customHeight="1" x14ac:dyDescent="0.2">
      <c r="H434" s="19">
        <v>-7.1100684185805103E-3</v>
      </c>
    </row>
    <row r="435" spans="8:8" ht="15" customHeight="1" x14ac:dyDescent="0.2">
      <c r="H435" s="19">
        <v>8.5870641442906199E-5</v>
      </c>
    </row>
    <row r="436" spans="8:8" ht="15" customHeight="1" x14ac:dyDescent="0.2">
      <c r="H436" s="19">
        <v>1.2483211348202201E-2</v>
      </c>
    </row>
    <row r="437" spans="8:8" ht="15" customHeight="1" x14ac:dyDescent="0.2">
      <c r="H437" s="19">
        <v>2.1806330346985101E-3</v>
      </c>
    </row>
    <row r="438" spans="8:8" ht="15" customHeight="1" x14ac:dyDescent="0.2">
      <c r="H438" s="19">
        <v>7.8445754884718007E-3</v>
      </c>
    </row>
    <row r="439" spans="8:8" ht="15" customHeight="1" x14ac:dyDescent="0.2">
      <c r="H439" s="19">
        <v>-8.6011406536607804E-4</v>
      </c>
    </row>
    <row r="440" spans="8:8" ht="15" customHeight="1" x14ac:dyDescent="0.2">
      <c r="H440" s="19">
        <v>1.0822000691603001E-2</v>
      </c>
    </row>
    <row r="441" spans="8:8" ht="15" customHeight="1" x14ac:dyDescent="0.2">
      <c r="H441" s="19">
        <v>-1.49620157454624E-3</v>
      </c>
    </row>
    <row r="442" spans="8:8" ht="15" customHeight="1" x14ac:dyDescent="0.2">
      <c r="H442" s="19">
        <v>-1.71326338753231E-2</v>
      </c>
    </row>
    <row r="443" spans="8:8" ht="15" customHeight="1" x14ac:dyDescent="0.2">
      <c r="H443" s="19">
        <v>2.66254068933166E-3</v>
      </c>
    </row>
    <row r="444" spans="8:8" ht="15" customHeight="1" x14ac:dyDescent="0.2">
      <c r="H444" s="19">
        <v>-1.40906618249222E-3</v>
      </c>
    </row>
    <row r="445" spans="8:8" ht="15" customHeight="1" x14ac:dyDescent="0.2">
      <c r="H445" s="19">
        <v>6.0887289835058998E-3</v>
      </c>
    </row>
    <row r="446" spans="8:8" ht="15" customHeight="1" x14ac:dyDescent="0.2">
      <c r="H446" s="19">
        <v>6.44490057574695E-3</v>
      </c>
    </row>
    <row r="447" spans="8:8" ht="15" customHeight="1" x14ac:dyDescent="0.2">
      <c r="H447" s="19">
        <v>1.54484909352498E-2</v>
      </c>
    </row>
    <row r="448" spans="8:8" ht="15" customHeight="1" x14ac:dyDescent="0.2">
      <c r="H448" s="19">
        <v>3.13635306771944E-3</v>
      </c>
    </row>
    <row r="449" spans="8:8" ht="15" customHeight="1" x14ac:dyDescent="0.2">
      <c r="H449" s="19">
        <v>-3.8150425976151499E-3</v>
      </c>
    </row>
    <row r="450" spans="8:8" ht="15" customHeight="1" x14ac:dyDescent="0.2">
      <c r="H450" s="19">
        <v>-2.67999305981693E-5</v>
      </c>
    </row>
    <row r="451" spans="8:8" ht="15" customHeight="1" x14ac:dyDescent="0.2">
      <c r="H451" s="19">
        <v>4.3176974026492296E-3</v>
      </c>
    </row>
    <row r="452" spans="8:8" ht="15" customHeight="1" x14ac:dyDescent="0.2">
      <c r="H452" s="19">
        <v>-1.6947337063134602E-2</v>
      </c>
    </row>
    <row r="453" spans="8:8" ht="15" customHeight="1" x14ac:dyDescent="0.2">
      <c r="H453" s="19">
        <v>2.08992998254884E-2</v>
      </c>
    </row>
    <row r="454" spans="8:8" ht="15" customHeight="1" x14ac:dyDescent="0.2">
      <c r="H454" s="19">
        <v>1.3653421884990901E-2</v>
      </c>
    </row>
    <row r="455" spans="8:8" ht="15" customHeight="1" x14ac:dyDescent="0.2">
      <c r="H455" s="19">
        <v>-1.6673908862487902E-2</v>
      </c>
    </row>
    <row r="456" spans="8:8" ht="15" customHeight="1" x14ac:dyDescent="0.2">
      <c r="H456" s="19">
        <v>2.2084352049749598E-2</v>
      </c>
    </row>
    <row r="457" spans="8:8" ht="15" customHeight="1" x14ac:dyDescent="0.2">
      <c r="H457" s="19">
        <v>1.52476789008469E-3</v>
      </c>
    </row>
    <row r="458" spans="8:8" ht="15" customHeight="1" x14ac:dyDescent="0.2">
      <c r="H458" s="19">
        <v>-6.2021806293501003E-4</v>
      </c>
    </row>
    <row r="459" spans="8:8" ht="15" customHeight="1" x14ac:dyDescent="0.2">
      <c r="H459" s="19">
        <v>7.84748433711586E-4</v>
      </c>
    </row>
    <row r="460" spans="8:8" ht="15" customHeight="1" x14ac:dyDescent="0.2">
      <c r="H460" s="19">
        <v>-8.3728357808759805E-3</v>
      </c>
    </row>
    <row r="461" spans="8:8" ht="15" customHeight="1" x14ac:dyDescent="0.2">
      <c r="H461" s="19">
        <v>1.08617630282743E-2</v>
      </c>
    </row>
    <row r="462" spans="8:8" ht="15" customHeight="1" x14ac:dyDescent="0.2">
      <c r="H462" s="19">
        <v>6.5949551052660498E-3</v>
      </c>
    </row>
    <row r="463" spans="8:8" ht="15" customHeight="1" x14ac:dyDescent="0.2">
      <c r="H463" s="19">
        <v>-8.5144850275880395E-5</v>
      </c>
    </row>
    <row r="464" spans="8:8" ht="15" customHeight="1" x14ac:dyDescent="0.2">
      <c r="H464" s="19">
        <v>-8.3426337969608102E-3</v>
      </c>
    </row>
    <row r="465" spans="8:8" ht="15" customHeight="1" x14ac:dyDescent="0.2">
      <c r="H465" s="19">
        <v>8.3297735004347392E-3</v>
      </c>
    </row>
    <row r="466" spans="8:8" ht="15" customHeight="1" x14ac:dyDescent="0.2">
      <c r="H466" s="19">
        <v>-1.2094385534099099E-2</v>
      </c>
    </row>
    <row r="467" spans="8:8" ht="15" customHeight="1" x14ac:dyDescent="0.2">
      <c r="H467" s="19">
        <v>-1.4660409089494301E-3</v>
      </c>
    </row>
    <row r="468" spans="8:8" ht="15" customHeight="1" x14ac:dyDescent="0.2">
      <c r="H468" s="19">
        <v>-8.3954722255044894E-3</v>
      </c>
    </row>
    <row r="469" spans="8:8" ht="15" customHeight="1" x14ac:dyDescent="0.2">
      <c r="H469" s="19">
        <v>1.2569472678381099E-2</v>
      </c>
    </row>
    <row r="470" spans="8:8" ht="15" customHeight="1" x14ac:dyDescent="0.2">
      <c r="H470" s="19">
        <v>8.04043047733945E-4</v>
      </c>
    </row>
    <row r="471" spans="8:8" ht="15" customHeight="1" x14ac:dyDescent="0.2">
      <c r="H471" s="19">
        <v>7.5095006049522E-3</v>
      </c>
    </row>
    <row r="472" spans="8:8" ht="15" customHeight="1" x14ac:dyDescent="0.2">
      <c r="H472" s="19">
        <v>-1.1307300165018901E-2</v>
      </c>
    </row>
    <row r="473" spans="8:8" ht="15" customHeight="1" x14ac:dyDescent="0.2">
      <c r="H473" s="19">
        <v>9.8058162664163193E-4</v>
      </c>
    </row>
    <row r="474" spans="8:8" ht="15" customHeight="1" x14ac:dyDescent="0.2">
      <c r="H474" s="19">
        <v>4.4349040766786503E-3</v>
      </c>
    </row>
    <row r="475" spans="8:8" ht="15" customHeight="1" x14ac:dyDescent="0.2">
      <c r="H475" s="19">
        <v>4.7696835170246803E-3</v>
      </c>
    </row>
    <row r="476" spans="8:8" ht="15" customHeight="1" x14ac:dyDescent="0.2">
      <c r="H476" s="19">
        <v>-1.4279110858771301E-3</v>
      </c>
    </row>
    <row r="477" spans="8:8" ht="15" customHeight="1" x14ac:dyDescent="0.2">
      <c r="H477" s="19">
        <v>-6.2006172927127103E-3</v>
      </c>
    </row>
    <row r="478" spans="8:8" ht="15" customHeight="1" x14ac:dyDescent="0.2">
      <c r="H478" s="19">
        <v>1.5316466996554E-3</v>
      </c>
    </row>
    <row r="479" spans="8:8" ht="15" customHeight="1" x14ac:dyDescent="0.2">
      <c r="H479" s="19">
        <v>1.0429901471626399E-2</v>
      </c>
    </row>
    <row r="480" spans="8:8" ht="15" customHeight="1" x14ac:dyDescent="0.2">
      <c r="H480" s="19">
        <v>-5.1304535163210598E-3</v>
      </c>
    </row>
    <row r="481" spans="8:8" ht="15" customHeight="1" x14ac:dyDescent="0.2">
      <c r="H481" s="19">
        <v>9.2719305063222908E-3</v>
      </c>
    </row>
    <row r="482" spans="8:8" ht="15" customHeight="1" x14ac:dyDescent="0.2">
      <c r="H482" s="19">
        <v>1.82858690753482E-2</v>
      </c>
    </row>
    <row r="483" spans="8:8" ht="15" customHeight="1" x14ac:dyDescent="0.2">
      <c r="H483" s="19">
        <v>-1.44601838367539E-2</v>
      </c>
    </row>
    <row r="484" spans="8:8" ht="15" customHeight="1" x14ac:dyDescent="0.2">
      <c r="H484" s="19">
        <v>-1.30093898013887E-2</v>
      </c>
    </row>
    <row r="485" spans="8:8" ht="15" customHeight="1" x14ac:dyDescent="0.2">
      <c r="H485" s="19">
        <v>2.1093254582063401E-3</v>
      </c>
    </row>
    <row r="486" spans="8:8" ht="15" customHeight="1" x14ac:dyDescent="0.2">
      <c r="H486" s="19">
        <v>-3.9381025585529797E-3</v>
      </c>
    </row>
    <row r="487" spans="8:8" ht="15" customHeight="1" x14ac:dyDescent="0.2">
      <c r="H487" s="19">
        <v>-1.84010357219193E-3</v>
      </c>
    </row>
    <row r="488" spans="8:8" ht="15" customHeight="1" x14ac:dyDescent="0.2">
      <c r="H488" s="19">
        <v>-4.8090894215513103E-3</v>
      </c>
    </row>
    <row r="489" spans="8:8" ht="15" customHeight="1" x14ac:dyDescent="0.2">
      <c r="H489" s="19">
        <v>-7.8176929918423992E-3</v>
      </c>
    </row>
    <row r="490" spans="8:8" ht="15" customHeight="1" x14ac:dyDescent="0.2">
      <c r="H490" s="19">
        <v>1.14670230194101E-2</v>
      </c>
    </row>
    <row r="491" spans="8:8" ht="15" customHeight="1" x14ac:dyDescent="0.2">
      <c r="H491" s="19">
        <v>1.2214951456288601E-2</v>
      </c>
    </row>
    <row r="492" spans="8:8" ht="15" customHeight="1" x14ac:dyDescent="0.2">
      <c r="H492" s="19">
        <v>7.1175239841866103E-5</v>
      </c>
    </row>
    <row r="493" spans="8:8" ht="15" customHeight="1" x14ac:dyDescent="0.2">
      <c r="H493" s="19">
        <v>-4.76652149600852E-3</v>
      </c>
    </row>
    <row r="494" spans="8:8" ht="15" customHeight="1" x14ac:dyDescent="0.2">
      <c r="H494" s="19">
        <v>-1.8657210240624099E-3</v>
      </c>
    </row>
    <row r="495" spans="8:8" ht="15" customHeight="1" x14ac:dyDescent="0.2">
      <c r="H495" s="19">
        <v>-6.1915331435473397E-3</v>
      </c>
    </row>
    <row r="496" spans="8:8" ht="15" customHeight="1" x14ac:dyDescent="0.2">
      <c r="H496" s="19">
        <v>-1.13347055457453E-2</v>
      </c>
    </row>
    <row r="497" spans="8:8" ht="15" customHeight="1" x14ac:dyDescent="0.2">
      <c r="H497" s="19">
        <v>1.3622239420493201E-2</v>
      </c>
    </row>
    <row r="498" spans="8:8" ht="15" customHeight="1" x14ac:dyDescent="0.2">
      <c r="H498" s="19">
        <v>-1.00882016072022E-2</v>
      </c>
    </row>
    <row r="499" spans="8:8" ht="15" customHeight="1" x14ac:dyDescent="0.2">
      <c r="H499" s="19">
        <v>4.9778432950419796E-3</v>
      </c>
    </row>
    <row r="500" spans="8:8" ht="15" customHeight="1" x14ac:dyDescent="0.2">
      <c r="H500" s="19">
        <v>-1.22057379863026E-2</v>
      </c>
    </row>
    <row r="501" spans="8:8" ht="15" customHeight="1" x14ac:dyDescent="0.2">
      <c r="H501" s="19">
        <v>2.68322679815308E-3</v>
      </c>
    </row>
    <row r="502" spans="8:8" ht="15" customHeight="1" x14ac:dyDescent="0.2">
      <c r="H502" s="19">
        <v>7.7524324209903702E-3</v>
      </c>
    </row>
    <row r="503" spans="8:8" ht="15" customHeight="1" x14ac:dyDescent="0.2">
      <c r="H503" s="19">
        <v>1.7373468306470598E-2</v>
      </c>
    </row>
    <row r="504" spans="8:8" ht="15" customHeight="1" x14ac:dyDescent="0.2">
      <c r="H504" s="19">
        <v>-6.5952619977328597E-3</v>
      </c>
    </row>
    <row r="505" spans="8:8" ht="15" customHeight="1" x14ac:dyDescent="0.2">
      <c r="H505" s="19">
        <v>9.0047232745981802E-3</v>
      </c>
    </row>
    <row r="506" spans="8:8" ht="15" customHeight="1" x14ac:dyDescent="0.2">
      <c r="H506" s="19">
        <v>6.5967089521033499E-3</v>
      </c>
    </row>
    <row r="507" spans="8:8" ht="15" customHeight="1" x14ac:dyDescent="0.2">
      <c r="H507" s="19">
        <v>-2.4186394149449501E-3</v>
      </c>
    </row>
    <row r="508" spans="8:8" ht="15" customHeight="1" x14ac:dyDescent="0.2">
      <c r="H508" s="19">
        <v>2.6958897496427998E-2</v>
      </c>
    </row>
    <row r="509" spans="8:8" ht="15" customHeight="1" x14ac:dyDescent="0.2">
      <c r="H509" s="19">
        <v>-1.4030409630198201E-3</v>
      </c>
    </row>
    <row r="510" spans="8:8" ht="15" customHeight="1" x14ac:dyDescent="0.2">
      <c r="H510" s="19">
        <v>-5.1815732792407703E-3</v>
      </c>
    </row>
    <row r="511" spans="8:8" ht="15" customHeight="1" x14ac:dyDescent="0.2">
      <c r="H511" s="19">
        <v>-2.5605840825256702E-3</v>
      </c>
    </row>
    <row r="512" spans="8:8" ht="15" customHeight="1" x14ac:dyDescent="0.2">
      <c r="H512" s="19">
        <v>8.45438895656404E-3</v>
      </c>
    </row>
    <row r="513" spans="8:8" ht="15" customHeight="1" x14ac:dyDescent="0.2">
      <c r="H513" s="19">
        <v>5.5528017027575002E-3</v>
      </c>
    </row>
    <row r="514" spans="8:8" ht="15" customHeight="1" x14ac:dyDescent="0.2">
      <c r="H514" s="19">
        <v>2.1273339956908001E-3</v>
      </c>
    </row>
    <row r="515" spans="8:8" ht="15" customHeight="1" x14ac:dyDescent="0.2">
      <c r="H515" s="19">
        <v>8.3050656914752299E-3</v>
      </c>
    </row>
    <row r="516" spans="8:8" ht="15" customHeight="1" x14ac:dyDescent="0.2">
      <c r="H516" s="19">
        <v>2.7216267716613902E-3</v>
      </c>
    </row>
    <row r="517" spans="8:8" ht="15" customHeight="1" x14ac:dyDescent="0.2">
      <c r="H517" s="19">
        <v>-7.5233918297906103E-3</v>
      </c>
    </row>
    <row r="518" spans="8:8" ht="15" customHeight="1" x14ac:dyDescent="0.2">
      <c r="H518" s="19">
        <v>1.58876593776319E-3</v>
      </c>
    </row>
    <row r="519" spans="8:8" ht="15" customHeight="1" x14ac:dyDescent="0.2">
      <c r="H519" s="19">
        <v>-1.54063303787083E-2</v>
      </c>
    </row>
    <row r="520" spans="8:8" ht="15" customHeight="1" x14ac:dyDescent="0.2">
      <c r="H520" s="19">
        <v>-3.2760232259464297E-4</v>
      </c>
    </row>
    <row r="521" spans="8:8" ht="15" customHeight="1" x14ac:dyDescent="0.2">
      <c r="H521" s="19">
        <v>-8.0672551792795501E-3</v>
      </c>
    </row>
    <row r="522" spans="8:8" ht="15" customHeight="1" x14ac:dyDescent="0.2">
      <c r="H522" s="19">
        <v>-3.4157995253903198E-4</v>
      </c>
    </row>
    <row r="523" spans="8:8" ht="15" customHeight="1" x14ac:dyDescent="0.2">
      <c r="H523" s="19">
        <v>8.8768919442920799E-3</v>
      </c>
    </row>
    <row r="524" spans="8:8" ht="15" customHeight="1" x14ac:dyDescent="0.2">
      <c r="H524" s="19">
        <v>1.14254748876229E-3</v>
      </c>
    </row>
    <row r="525" spans="8:8" ht="15" customHeight="1" x14ac:dyDescent="0.2">
      <c r="H525" s="19">
        <v>-3.6613396735702998E-3</v>
      </c>
    </row>
    <row r="526" spans="8:8" ht="15" customHeight="1" x14ac:dyDescent="0.2">
      <c r="H526" s="19">
        <v>-1.55581319052781E-3</v>
      </c>
    </row>
    <row r="527" spans="8:8" ht="15" customHeight="1" x14ac:dyDescent="0.2">
      <c r="H527" s="19">
        <v>2.5967826817796503E-4</v>
      </c>
    </row>
    <row r="528" spans="8:8" ht="15" customHeight="1" x14ac:dyDescent="0.2">
      <c r="H528" s="19">
        <v>8.8196297106099691E-3</v>
      </c>
    </row>
    <row r="529" spans="8:8" ht="15" customHeight="1" x14ac:dyDescent="0.2">
      <c r="H529" s="19">
        <v>2.6045139374787098E-3</v>
      </c>
    </row>
    <row r="530" spans="8:8" ht="15" customHeight="1" x14ac:dyDescent="0.2">
      <c r="H530" s="19">
        <v>1.5713702220291801E-3</v>
      </c>
    </row>
    <row r="531" spans="8:8" ht="15" customHeight="1" x14ac:dyDescent="0.2">
      <c r="H531" s="19">
        <v>7.2449570136327596E-3</v>
      </c>
    </row>
    <row r="532" spans="8:8" ht="15" customHeight="1" x14ac:dyDescent="0.2">
      <c r="H532" s="19">
        <v>-2.3896322939211199E-2</v>
      </c>
    </row>
    <row r="533" spans="8:8" ht="15" customHeight="1" x14ac:dyDescent="0.2">
      <c r="H533" s="19">
        <v>4.8296364583969801E-4</v>
      </c>
    </row>
    <row r="534" spans="8:8" ht="15" customHeight="1" x14ac:dyDescent="0.2">
      <c r="H534" s="19">
        <v>-8.2481526498765691E-3</v>
      </c>
    </row>
    <row r="535" spans="8:8" ht="15" customHeight="1" x14ac:dyDescent="0.2">
      <c r="H535" s="19">
        <v>-7.0215387320670597E-3</v>
      </c>
    </row>
    <row r="536" spans="8:8" ht="15" customHeight="1" x14ac:dyDescent="0.2">
      <c r="H536" s="19">
        <v>-3.3967382137757101E-3</v>
      </c>
    </row>
    <row r="537" spans="8:8" ht="15" customHeight="1" x14ac:dyDescent="0.2">
      <c r="H537" s="19">
        <v>-1.24416462133748E-3</v>
      </c>
    </row>
    <row r="538" spans="8:8" ht="15" customHeight="1" x14ac:dyDescent="0.2">
      <c r="H538" s="19">
        <v>3.2267540826957502E-4</v>
      </c>
    </row>
    <row r="539" spans="8:8" ht="15" customHeight="1" x14ac:dyDescent="0.2">
      <c r="H539" s="19">
        <v>5.9869676276275404E-3</v>
      </c>
    </row>
    <row r="540" spans="8:8" ht="15" customHeight="1" x14ac:dyDescent="0.2">
      <c r="H540" s="19">
        <v>7.2296601698486698E-4</v>
      </c>
    </row>
    <row r="541" spans="8:8" ht="15" customHeight="1" x14ac:dyDescent="0.2">
      <c r="H541" s="19">
        <v>3.7208305629620698E-3</v>
      </c>
    </row>
    <row r="542" spans="8:8" ht="15" customHeight="1" x14ac:dyDescent="0.2">
      <c r="H542" s="19">
        <v>1.02007282598822E-2</v>
      </c>
    </row>
    <row r="543" spans="8:8" ht="15" customHeight="1" x14ac:dyDescent="0.2">
      <c r="H543" s="19">
        <v>-1.1561843926994801E-2</v>
      </c>
    </row>
    <row r="544" spans="8:8" ht="15" customHeight="1" x14ac:dyDescent="0.2">
      <c r="H544" s="19">
        <v>6.4566496310996201E-4</v>
      </c>
    </row>
    <row r="545" spans="8:8" ht="15" customHeight="1" x14ac:dyDescent="0.2">
      <c r="H545" s="19">
        <v>4.5988487186916401E-3</v>
      </c>
    </row>
    <row r="546" spans="8:8" ht="15" customHeight="1" x14ac:dyDescent="0.2">
      <c r="H546" s="19">
        <v>1.31710344716361E-2</v>
      </c>
    </row>
    <row r="547" spans="8:8" ht="15" customHeight="1" x14ac:dyDescent="0.2">
      <c r="H547" s="19">
        <v>3.7200912642211402E-3</v>
      </c>
    </row>
    <row r="548" spans="8:8" ht="15" customHeight="1" x14ac:dyDescent="0.2">
      <c r="H548" s="19">
        <v>1.8787853134795598E-2</v>
      </c>
    </row>
    <row r="549" spans="8:8" ht="15" customHeight="1" x14ac:dyDescent="0.2">
      <c r="H549" s="19">
        <v>4.7667977466159797E-3</v>
      </c>
    </row>
    <row r="550" spans="8:8" ht="15" customHeight="1" x14ac:dyDescent="0.2">
      <c r="H550" s="19">
        <v>-1.5621372038783001E-2</v>
      </c>
    </row>
    <row r="551" spans="8:8" ht="15" customHeight="1" x14ac:dyDescent="0.2">
      <c r="H551" s="19">
        <v>-2.76565520105074E-3</v>
      </c>
    </row>
    <row r="552" spans="8:8" ht="15" customHeight="1" x14ac:dyDescent="0.2">
      <c r="H552" s="19">
        <v>-1.69955513598317E-2</v>
      </c>
    </row>
    <row r="553" spans="8:8" ht="15" customHeight="1" x14ac:dyDescent="0.2">
      <c r="H553" s="19">
        <v>7.0507106583704701E-3</v>
      </c>
    </row>
    <row r="554" spans="8:8" ht="15" customHeight="1" x14ac:dyDescent="0.2">
      <c r="H554" s="19">
        <v>4.7753760156792396E-3</v>
      </c>
    </row>
    <row r="555" spans="8:8" ht="15" customHeight="1" x14ac:dyDescent="0.2">
      <c r="H555" s="19">
        <v>-6.16217169530053E-3</v>
      </c>
    </row>
    <row r="556" spans="8:8" ht="15" customHeight="1" x14ac:dyDescent="0.2">
      <c r="H556" s="19">
        <v>2.6794211235588402E-3</v>
      </c>
    </row>
    <row r="557" spans="8:8" ht="15" customHeight="1" x14ac:dyDescent="0.2">
      <c r="H557" s="19">
        <v>4.5797411657748296E-3</v>
      </c>
    </row>
    <row r="558" spans="8:8" ht="15" customHeight="1" x14ac:dyDescent="0.2">
      <c r="H558" s="19">
        <v>1.95633675781496E-3</v>
      </c>
    </row>
    <row r="559" spans="8:8" ht="15" customHeight="1" x14ac:dyDescent="0.2">
      <c r="H559" s="19">
        <v>1.6457071236144899E-2</v>
      </c>
    </row>
    <row r="560" spans="8:8" ht="15" customHeight="1" x14ac:dyDescent="0.2">
      <c r="H560" s="19">
        <v>1.8158574843063002E-2</v>
      </c>
    </row>
    <row r="561" spans="8:8" ht="15" customHeight="1" x14ac:dyDescent="0.2">
      <c r="H561" s="19">
        <v>3.1786539333110799E-3</v>
      </c>
    </row>
    <row r="562" spans="8:8" ht="15" customHeight="1" x14ac:dyDescent="0.2">
      <c r="H562" s="19">
        <v>-4.2179092835713397E-3</v>
      </c>
    </row>
    <row r="563" spans="8:8" ht="15" customHeight="1" x14ac:dyDescent="0.2">
      <c r="H563" s="19">
        <v>-1.4443775619925501E-2</v>
      </c>
    </row>
    <row r="564" spans="8:8" ht="15" customHeight="1" x14ac:dyDescent="0.2">
      <c r="H564" s="19">
        <v>7.4130899862623301E-4</v>
      </c>
    </row>
    <row r="565" spans="8:8" ht="15" customHeight="1" x14ac:dyDescent="0.2">
      <c r="H565" s="19">
        <v>1.53339688136551E-2</v>
      </c>
    </row>
    <row r="566" spans="8:8" ht="15" customHeight="1" x14ac:dyDescent="0.2">
      <c r="H566" s="19">
        <v>-4.3160619047103999E-3</v>
      </c>
    </row>
    <row r="567" spans="8:8" ht="15" customHeight="1" x14ac:dyDescent="0.2">
      <c r="H567" s="19">
        <v>-6.0301999601956001E-3</v>
      </c>
    </row>
    <row r="568" spans="8:8" ht="15" customHeight="1" x14ac:dyDescent="0.2">
      <c r="H568" s="19">
        <v>-6.85892419419143E-3</v>
      </c>
    </row>
    <row r="569" spans="8:8" ht="15" customHeight="1" x14ac:dyDescent="0.2">
      <c r="H569" s="19">
        <v>4.8918320022375596E-3</v>
      </c>
    </row>
    <row r="570" spans="8:8" ht="15" customHeight="1" x14ac:dyDescent="0.2">
      <c r="H570" s="19">
        <v>7.3550269645570798E-3</v>
      </c>
    </row>
    <row r="571" spans="8:8" ht="15" customHeight="1" x14ac:dyDescent="0.2">
      <c r="H571" s="19">
        <v>-3.6434662521176399E-3</v>
      </c>
    </row>
    <row r="572" spans="8:8" ht="15" customHeight="1" x14ac:dyDescent="0.2">
      <c r="H572" s="19">
        <v>1.6711700270652E-2</v>
      </c>
    </row>
    <row r="573" spans="8:8" ht="15" customHeight="1" x14ac:dyDescent="0.2">
      <c r="H573" s="19">
        <v>2.9341277198043901E-3</v>
      </c>
    </row>
    <row r="574" spans="8:8" ht="15" customHeight="1" x14ac:dyDescent="0.2">
      <c r="H574" s="19">
        <v>1.47314717796323E-3</v>
      </c>
    </row>
    <row r="575" spans="8:8" ht="15" customHeight="1" x14ac:dyDescent="0.2">
      <c r="H575" s="19">
        <v>2.51670290961176E-3</v>
      </c>
    </row>
    <row r="576" spans="8:8" ht="15" customHeight="1" x14ac:dyDescent="0.2">
      <c r="H576" s="19">
        <v>-7.7744158550407802E-3</v>
      </c>
    </row>
    <row r="577" spans="8:8" ht="15" customHeight="1" x14ac:dyDescent="0.2">
      <c r="H577" s="19">
        <v>-6.5621681900754599E-3</v>
      </c>
    </row>
    <row r="578" spans="8:8" ht="15" customHeight="1" x14ac:dyDescent="0.2">
      <c r="H578" s="19">
        <v>-2.5958896104737499E-2</v>
      </c>
    </row>
    <row r="579" spans="8:8" ht="15" customHeight="1" x14ac:dyDescent="0.2">
      <c r="H579" s="19">
        <v>-5.65153497657973E-3</v>
      </c>
    </row>
    <row r="580" spans="8:8" ht="15" customHeight="1" x14ac:dyDescent="0.2">
      <c r="H580" s="19">
        <v>-3.28792691802442E-3</v>
      </c>
    </row>
    <row r="581" spans="8:8" ht="15" customHeight="1" x14ac:dyDescent="0.2">
      <c r="H581" s="19">
        <v>-5.7522130130879404E-3</v>
      </c>
    </row>
    <row r="582" spans="8:8" ht="15" customHeight="1" x14ac:dyDescent="0.2">
      <c r="H582" s="19">
        <v>-5.2777311935738704E-3</v>
      </c>
    </row>
    <row r="583" spans="8:8" ht="15" customHeight="1" x14ac:dyDescent="0.2">
      <c r="H583" s="19">
        <v>-1.2584285487188799E-4</v>
      </c>
    </row>
    <row r="584" spans="8:8" ht="15" customHeight="1" x14ac:dyDescent="0.2">
      <c r="H584" s="19">
        <v>-7.7167544349277797E-3</v>
      </c>
    </row>
    <row r="585" spans="8:8" ht="15" customHeight="1" x14ac:dyDescent="0.2">
      <c r="H585" s="19">
        <v>1.4835577660755E-2</v>
      </c>
    </row>
    <row r="586" spans="8:8" ht="15" customHeight="1" x14ac:dyDescent="0.2">
      <c r="H586" s="19">
        <v>-4.5232969450069802E-3</v>
      </c>
    </row>
    <row r="587" spans="8:8" ht="15" customHeight="1" x14ac:dyDescent="0.2">
      <c r="H587" s="19">
        <v>-7.6377061033334297E-3</v>
      </c>
    </row>
    <row r="588" spans="8:8" ht="15" customHeight="1" x14ac:dyDescent="0.2">
      <c r="H588" s="19">
        <v>1.8175265803410699E-2</v>
      </c>
    </row>
    <row r="589" spans="8:8" ht="15" customHeight="1" x14ac:dyDescent="0.2">
      <c r="H589" s="19">
        <v>-5.8447132733031697E-3</v>
      </c>
    </row>
    <row r="590" spans="8:8" ht="15" customHeight="1" x14ac:dyDescent="0.2">
      <c r="H590" s="19">
        <v>-3.75371034867099E-3</v>
      </c>
    </row>
    <row r="591" spans="8:8" ht="15" customHeight="1" x14ac:dyDescent="0.2">
      <c r="H591" s="19">
        <v>5.3880628157677701E-3</v>
      </c>
    </row>
    <row r="592" spans="8:8" ht="15" customHeight="1" x14ac:dyDescent="0.2">
      <c r="H592" s="19">
        <v>1.50146209043078E-2</v>
      </c>
    </row>
    <row r="593" spans="8:8" ht="15" customHeight="1" x14ac:dyDescent="0.2">
      <c r="H593" s="19">
        <v>2.7209761466250098E-3</v>
      </c>
    </row>
    <row r="594" spans="8:8" ht="15" customHeight="1" x14ac:dyDescent="0.2">
      <c r="H594" s="19">
        <v>7.9922916329252299E-3</v>
      </c>
    </row>
    <row r="595" spans="8:8" ht="15" customHeight="1" x14ac:dyDescent="0.2">
      <c r="H595" s="19">
        <v>-2.7181174400634201E-3</v>
      </c>
    </row>
    <row r="596" spans="8:8" ht="15" customHeight="1" x14ac:dyDescent="0.2">
      <c r="H596" s="19">
        <v>7.3919874277050502E-3</v>
      </c>
    </row>
    <row r="597" spans="8:8" ht="15" customHeight="1" x14ac:dyDescent="0.2">
      <c r="H597" s="19">
        <v>1.1359615635325599E-2</v>
      </c>
    </row>
    <row r="598" spans="8:8" ht="15" customHeight="1" x14ac:dyDescent="0.2">
      <c r="H598" s="19">
        <v>1.84612774837079E-3</v>
      </c>
    </row>
    <row r="599" spans="8:8" ht="15" customHeight="1" x14ac:dyDescent="0.2">
      <c r="H599" s="19">
        <v>-8.8095498504558497E-3</v>
      </c>
    </row>
    <row r="600" spans="8:8" ht="15" customHeight="1" x14ac:dyDescent="0.2">
      <c r="H600" s="19">
        <v>1.5539913764396399E-2</v>
      </c>
    </row>
    <row r="601" spans="8:8" ht="15" customHeight="1" x14ac:dyDescent="0.2">
      <c r="H601" s="19">
        <v>1.12441817085028E-2</v>
      </c>
    </row>
    <row r="602" spans="8:8" ht="15" customHeight="1" x14ac:dyDescent="0.2">
      <c r="H602" s="19">
        <v>7.22478696350028E-3</v>
      </c>
    </row>
    <row r="603" spans="8:8" ht="15" customHeight="1" x14ac:dyDescent="0.2">
      <c r="H603" s="19">
        <v>-1.6736340605288599E-2</v>
      </c>
    </row>
    <row r="604" spans="8:8" ht="15" customHeight="1" x14ac:dyDescent="0.2">
      <c r="H604" s="19">
        <v>-4.6553610523858598E-3</v>
      </c>
    </row>
    <row r="605" spans="8:8" ht="15" customHeight="1" x14ac:dyDescent="0.2">
      <c r="H605" s="19">
        <v>1.2229478138601899E-2</v>
      </c>
    </row>
    <row r="606" spans="8:8" ht="15" customHeight="1" x14ac:dyDescent="0.2">
      <c r="H606" s="19">
        <v>-6.2526171073359E-3</v>
      </c>
    </row>
    <row r="607" spans="8:8" ht="15" customHeight="1" x14ac:dyDescent="0.2">
      <c r="H607" s="19">
        <v>-1.17907643887305E-2</v>
      </c>
    </row>
    <row r="608" spans="8:8" ht="15" customHeight="1" x14ac:dyDescent="0.2">
      <c r="H608" s="19">
        <v>1.30188040481498E-2</v>
      </c>
    </row>
    <row r="609" spans="8:8" ht="15" customHeight="1" x14ac:dyDescent="0.2">
      <c r="H609" s="19">
        <v>-1.00869985239269E-2</v>
      </c>
    </row>
    <row r="610" spans="8:8" ht="15" customHeight="1" x14ac:dyDescent="0.2">
      <c r="H610" s="19">
        <v>7.7936743242856398E-4</v>
      </c>
    </row>
    <row r="611" spans="8:8" ht="15" customHeight="1" x14ac:dyDescent="0.2">
      <c r="H611" s="19">
        <v>-3.3648821180777799E-4</v>
      </c>
    </row>
    <row r="612" spans="8:8" ht="15" customHeight="1" x14ac:dyDescent="0.2">
      <c r="H612" s="19">
        <v>-1.7595217705412398E-2</v>
      </c>
    </row>
    <row r="613" spans="8:8" ht="15" customHeight="1" x14ac:dyDescent="0.2">
      <c r="H613" s="19">
        <v>4.2149263562693299E-3</v>
      </c>
    </row>
    <row r="614" spans="8:8" ht="15" customHeight="1" x14ac:dyDescent="0.2">
      <c r="H614" s="19">
        <v>9.9704031966449808E-3</v>
      </c>
    </row>
    <row r="615" spans="8:8" ht="15" customHeight="1" x14ac:dyDescent="0.2">
      <c r="H615" s="19">
        <v>2.6427493646525402E-3</v>
      </c>
    </row>
    <row r="616" spans="8:8" ht="15" customHeight="1" x14ac:dyDescent="0.2">
      <c r="H616" s="19">
        <v>5.0362760524851804E-3</v>
      </c>
    </row>
    <row r="617" spans="8:8" ht="15" customHeight="1" x14ac:dyDescent="0.2">
      <c r="H617" s="19">
        <v>-2.8071264284620298E-3</v>
      </c>
    </row>
    <row r="618" spans="8:8" ht="15" customHeight="1" x14ac:dyDescent="0.2">
      <c r="H618" s="19">
        <v>-8.9509932730359107E-3</v>
      </c>
    </row>
    <row r="619" spans="8:8" ht="15" customHeight="1" x14ac:dyDescent="0.2">
      <c r="H619" s="19">
        <v>-5.5980242879896504E-3</v>
      </c>
    </row>
    <row r="620" spans="8:8" ht="15" customHeight="1" x14ac:dyDescent="0.2">
      <c r="H620" s="19">
        <v>1.0982040779591E-2</v>
      </c>
    </row>
    <row r="621" spans="8:8" ht="15" customHeight="1" x14ac:dyDescent="0.2">
      <c r="H621" s="19">
        <v>7.4740580004954401E-4</v>
      </c>
    </row>
    <row r="622" spans="8:8" ht="15" customHeight="1" x14ac:dyDescent="0.2">
      <c r="H622" s="19">
        <v>3.8560330556356298E-5</v>
      </c>
    </row>
    <row r="623" spans="8:8" ht="15" customHeight="1" x14ac:dyDescent="0.2">
      <c r="H623" s="19">
        <v>3.9631862283675597E-3</v>
      </c>
    </row>
    <row r="624" spans="8:8" ht="15" customHeight="1" x14ac:dyDescent="0.2">
      <c r="H624" s="19">
        <v>4.4869167542266599E-3</v>
      </c>
    </row>
    <row r="625" spans="8:8" ht="15" customHeight="1" x14ac:dyDescent="0.2">
      <c r="H625" s="19">
        <v>3.1791171175004798E-3</v>
      </c>
    </row>
    <row r="626" spans="8:8" ht="15" customHeight="1" x14ac:dyDescent="0.2">
      <c r="H626" s="19">
        <v>3.11891093565534E-3</v>
      </c>
    </row>
    <row r="627" spans="8:8" ht="15" customHeight="1" x14ac:dyDescent="0.2">
      <c r="H627" s="19">
        <v>-6.9755717734827499E-3</v>
      </c>
    </row>
    <row r="628" spans="8:8" ht="15" customHeight="1" x14ac:dyDescent="0.2">
      <c r="H628" s="19">
        <v>1.0199434142785299E-2</v>
      </c>
    </row>
    <row r="629" spans="8:8" ht="15" customHeight="1" x14ac:dyDescent="0.2">
      <c r="H629" s="19">
        <v>1.5890633121169399E-2</v>
      </c>
    </row>
    <row r="630" spans="8:8" ht="15" customHeight="1" x14ac:dyDescent="0.2">
      <c r="H630" s="19">
        <v>-3.8100121988499601E-3</v>
      </c>
    </row>
    <row r="631" spans="8:8" ht="15" customHeight="1" x14ac:dyDescent="0.2">
      <c r="H631" s="19">
        <v>4.7642808530592804E-3</v>
      </c>
    </row>
    <row r="632" spans="8:8" ht="15" customHeight="1" x14ac:dyDescent="0.2">
      <c r="H632" s="19">
        <v>-8.5178303857734398E-3</v>
      </c>
    </row>
    <row r="633" spans="8:8" ht="15" customHeight="1" x14ac:dyDescent="0.2">
      <c r="H633" s="19">
        <v>-9.4115917867493293E-3</v>
      </c>
    </row>
    <row r="634" spans="8:8" ht="15" customHeight="1" x14ac:dyDescent="0.2">
      <c r="H634" s="19">
        <v>-1.6813767460663102E-2</v>
      </c>
    </row>
    <row r="635" spans="8:8" ht="15" customHeight="1" x14ac:dyDescent="0.2">
      <c r="H635" s="19">
        <v>-2.27025259157152E-3</v>
      </c>
    </row>
    <row r="636" spans="8:8" ht="15" customHeight="1" x14ac:dyDescent="0.2">
      <c r="H636" s="19">
        <v>-9.5636064362727095E-3</v>
      </c>
    </row>
    <row r="637" spans="8:8" ht="15" customHeight="1" x14ac:dyDescent="0.2">
      <c r="H637" s="19">
        <v>1.01227316227149E-2</v>
      </c>
    </row>
    <row r="638" spans="8:8" ht="15" customHeight="1" x14ac:dyDescent="0.2">
      <c r="H638" s="19">
        <v>-2.20509216518593E-2</v>
      </c>
    </row>
    <row r="639" spans="8:8" ht="15" customHeight="1" x14ac:dyDescent="0.2">
      <c r="H639" s="19">
        <v>-1.30380256187403E-2</v>
      </c>
    </row>
    <row r="640" spans="8:8" ht="15" customHeight="1" x14ac:dyDescent="0.2">
      <c r="H640" s="19">
        <v>-1.6872048216613599E-2</v>
      </c>
    </row>
    <row r="641" spans="8:8" ht="15" customHeight="1" x14ac:dyDescent="0.2">
      <c r="H641" s="19">
        <v>2.5062513394452399E-2</v>
      </c>
    </row>
    <row r="642" spans="8:8" ht="15" customHeight="1" x14ac:dyDescent="0.2">
      <c r="H642" s="19">
        <v>1.06896945849291E-2</v>
      </c>
    </row>
    <row r="643" spans="8:8" ht="15" customHeight="1" x14ac:dyDescent="0.2">
      <c r="H643" s="19">
        <v>1.09286810265544E-2</v>
      </c>
    </row>
    <row r="644" spans="8:8" ht="15" customHeight="1" x14ac:dyDescent="0.2">
      <c r="H644" s="19">
        <v>-7.4936800987075699E-3</v>
      </c>
    </row>
    <row r="645" spans="8:8" ht="15" customHeight="1" x14ac:dyDescent="0.2">
      <c r="H645" s="19">
        <v>5.8919538433181305E-4</v>
      </c>
    </row>
    <row r="646" spans="8:8" ht="15" customHeight="1" x14ac:dyDescent="0.2">
      <c r="H646" s="19">
        <v>-1.51441029967724E-2</v>
      </c>
    </row>
    <row r="647" spans="8:8" ht="15" customHeight="1" x14ac:dyDescent="0.2">
      <c r="H647" s="19">
        <v>-3.4219283124799502E-3</v>
      </c>
    </row>
    <row r="648" spans="8:8" ht="15" customHeight="1" x14ac:dyDescent="0.2">
      <c r="H648" s="19">
        <v>-7.1244324149299298E-3</v>
      </c>
    </row>
    <row r="649" spans="8:8" ht="15" customHeight="1" x14ac:dyDescent="0.2">
      <c r="H649" s="19">
        <v>6.7915722326143298E-3</v>
      </c>
    </row>
    <row r="650" spans="8:8" ht="15" customHeight="1" x14ac:dyDescent="0.2">
      <c r="H650" s="19">
        <v>-7.9130271070453095E-4</v>
      </c>
    </row>
    <row r="651" spans="8:8" ht="15" customHeight="1" x14ac:dyDescent="0.2">
      <c r="H651" s="19">
        <v>4.3744401826175498E-3</v>
      </c>
    </row>
    <row r="652" spans="8:8" ht="15" customHeight="1" x14ac:dyDescent="0.2">
      <c r="H652" s="19">
        <v>1.6737738850887501E-2</v>
      </c>
    </row>
    <row r="653" spans="8:8" ht="15" customHeight="1" x14ac:dyDescent="0.2">
      <c r="H653" s="19">
        <v>6.5580480727660297E-3</v>
      </c>
    </row>
    <row r="654" spans="8:8" ht="15" customHeight="1" x14ac:dyDescent="0.2">
      <c r="H654" s="19">
        <v>-1.18213349577602E-2</v>
      </c>
    </row>
    <row r="655" spans="8:8" ht="15" customHeight="1" x14ac:dyDescent="0.2">
      <c r="H655" s="19">
        <v>2.05123850171918E-3</v>
      </c>
    </row>
    <row r="656" spans="8:8" ht="15" customHeight="1" x14ac:dyDescent="0.2">
      <c r="H656" s="19">
        <v>7.2090605444103499E-3</v>
      </c>
    </row>
    <row r="657" spans="8:8" ht="15" customHeight="1" x14ac:dyDescent="0.2">
      <c r="H657" s="19">
        <v>-7.5133202203401797E-3</v>
      </c>
    </row>
    <row r="658" spans="8:8" ht="15" customHeight="1" x14ac:dyDescent="0.2">
      <c r="H658" s="19">
        <v>-2.4031270504077701E-3</v>
      </c>
    </row>
    <row r="659" spans="8:8" ht="15" customHeight="1" x14ac:dyDescent="0.2">
      <c r="H659" s="19">
        <v>5.6126062455512703E-3</v>
      </c>
    </row>
    <row r="660" spans="8:8" ht="15" customHeight="1" x14ac:dyDescent="0.2">
      <c r="H660" s="19">
        <v>-3.2921321440889302E-3</v>
      </c>
    </row>
    <row r="661" spans="8:8" ht="15" customHeight="1" x14ac:dyDescent="0.2">
      <c r="H661" s="19">
        <v>-2.3785724545365402E-3</v>
      </c>
    </row>
    <row r="662" spans="8:8" ht="15" customHeight="1" x14ac:dyDescent="0.2">
      <c r="H662" s="19">
        <v>-1.5306013204428001E-2</v>
      </c>
    </row>
    <row r="663" spans="8:8" ht="15" customHeight="1" x14ac:dyDescent="0.2">
      <c r="H663" s="19">
        <v>1.2340436622067401E-2</v>
      </c>
    </row>
    <row r="664" spans="8:8" ht="15" customHeight="1" x14ac:dyDescent="0.2">
      <c r="H664" s="19">
        <v>-3.9469246271210001E-4</v>
      </c>
    </row>
    <row r="665" spans="8:8" ht="15" customHeight="1" x14ac:dyDescent="0.2">
      <c r="H665" s="19">
        <v>-5.7653025876663096E-3</v>
      </c>
    </row>
    <row r="666" spans="8:8" ht="15" customHeight="1" x14ac:dyDescent="0.2">
      <c r="H666" s="19">
        <v>8.6309435167241204E-3</v>
      </c>
    </row>
    <row r="667" spans="8:8" ht="15" customHeight="1" x14ac:dyDescent="0.2">
      <c r="H667" s="19">
        <v>1.26522127653248E-2</v>
      </c>
    </row>
    <row r="668" spans="8:8" ht="15" customHeight="1" x14ac:dyDescent="0.2">
      <c r="H668" s="19">
        <v>-1.8610985303085699E-3</v>
      </c>
    </row>
    <row r="669" spans="8:8" ht="15" customHeight="1" x14ac:dyDescent="0.2">
      <c r="H669" s="19">
        <v>-5.2683152930410402E-3</v>
      </c>
    </row>
    <row r="670" spans="8:8" ht="15" customHeight="1" x14ac:dyDescent="0.2">
      <c r="H670" s="19">
        <v>-4.12223863056466E-4</v>
      </c>
    </row>
    <row r="671" spans="8:8" ht="15" customHeight="1" x14ac:dyDescent="0.2">
      <c r="H671" s="19">
        <v>6.8227895149975196E-4</v>
      </c>
    </row>
    <row r="672" spans="8:8" ht="15" customHeight="1" x14ac:dyDescent="0.2">
      <c r="H672" s="19">
        <v>-4.5896318025873597E-3</v>
      </c>
    </row>
    <row r="673" spans="8:8" ht="15" customHeight="1" x14ac:dyDescent="0.2">
      <c r="H673" s="19">
        <v>-4.3215427468950999E-3</v>
      </c>
    </row>
    <row r="674" spans="8:8" ht="15" customHeight="1" x14ac:dyDescent="0.2">
      <c r="H674" s="19">
        <v>-7.1250924836305596E-3</v>
      </c>
    </row>
    <row r="675" spans="8:8" ht="15" customHeight="1" x14ac:dyDescent="0.2">
      <c r="H675" s="19">
        <v>1.33913411465569E-3</v>
      </c>
    </row>
    <row r="676" spans="8:8" ht="15" customHeight="1" x14ac:dyDescent="0.2">
      <c r="H676" s="19">
        <v>-6.6833155658270003E-3</v>
      </c>
    </row>
    <row r="677" spans="8:8" ht="15" customHeight="1" x14ac:dyDescent="0.2">
      <c r="H677" s="19">
        <v>-7.1744613711292298E-3</v>
      </c>
    </row>
    <row r="678" spans="8:8" ht="15" customHeight="1" x14ac:dyDescent="0.2">
      <c r="H678" s="19">
        <v>-4.3867549302630798E-3</v>
      </c>
    </row>
    <row r="679" spans="8:8" ht="15" customHeight="1" x14ac:dyDescent="0.2">
      <c r="H679" s="19">
        <v>1.4148531181984801E-3</v>
      </c>
    </row>
    <row r="680" spans="8:8" ht="15" customHeight="1" x14ac:dyDescent="0.2">
      <c r="H680" s="19">
        <v>-1.9736182331937802E-3</v>
      </c>
    </row>
    <row r="681" spans="8:8" ht="15" customHeight="1" x14ac:dyDescent="0.2">
      <c r="H681" s="19">
        <v>-6.8045875964722899E-3</v>
      </c>
    </row>
    <row r="682" spans="8:8" ht="15" customHeight="1" x14ac:dyDescent="0.2">
      <c r="H682" s="19">
        <v>-1.50743686410919E-2</v>
      </c>
    </row>
    <row r="683" spans="8:8" ht="15" customHeight="1" x14ac:dyDescent="0.2">
      <c r="H683" s="19">
        <v>-1.8306610137393601E-2</v>
      </c>
    </row>
    <row r="684" spans="8:8" ht="15" customHeight="1" x14ac:dyDescent="0.2">
      <c r="H684" s="19">
        <v>7.9608233029107803E-3</v>
      </c>
    </row>
    <row r="685" spans="8:8" ht="15" customHeight="1" x14ac:dyDescent="0.2">
      <c r="H685" s="19">
        <v>-4.7435488786685001E-3</v>
      </c>
    </row>
    <row r="686" spans="8:8" ht="15" customHeight="1" x14ac:dyDescent="0.2">
      <c r="H686" s="19">
        <v>1.6623608378303E-3</v>
      </c>
    </row>
    <row r="687" spans="8:8" ht="15" customHeight="1" x14ac:dyDescent="0.2">
      <c r="H687" s="19">
        <v>-4.3064322457749297E-3</v>
      </c>
    </row>
    <row r="688" spans="8:8" ht="15" customHeight="1" x14ac:dyDescent="0.2">
      <c r="H688" s="19">
        <v>2.4150237459642902E-2</v>
      </c>
    </row>
    <row r="689" spans="8:8" ht="15" customHeight="1" x14ac:dyDescent="0.2">
      <c r="H689" s="19">
        <v>-3.7407137478285401E-3</v>
      </c>
    </row>
    <row r="690" spans="8:8" ht="15" customHeight="1" x14ac:dyDescent="0.2">
      <c r="H690" s="19">
        <v>5.0987510990934898E-3</v>
      </c>
    </row>
    <row r="691" spans="8:8" ht="15" customHeight="1" x14ac:dyDescent="0.2">
      <c r="H691" s="19">
        <v>1.69061422888522E-3</v>
      </c>
    </row>
    <row r="692" spans="8:8" ht="15" customHeight="1" x14ac:dyDescent="0.2">
      <c r="H692" s="19">
        <v>-4.5592134999976799E-3</v>
      </c>
    </row>
    <row r="693" spans="8:8" ht="15" customHeight="1" x14ac:dyDescent="0.2">
      <c r="H693" s="19">
        <v>-3.5903197619772701E-3</v>
      </c>
    </row>
    <row r="694" spans="8:8" ht="15" customHeight="1" x14ac:dyDescent="0.2">
      <c r="H694" s="19">
        <v>5.6999539359459204E-3</v>
      </c>
    </row>
    <row r="695" spans="8:8" ht="15" customHeight="1" x14ac:dyDescent="0.2">
      <c r="H695" s="19">
        <v>6.0908925720883304E-3</v>
      </c>
    </row>
    <row r="696" spans="8:8" ht="15" customHeight="1" x14ac:dyDescent="0.2">
      <c r="H696" s="19">
        <v>3.6567293162558701E-3</v>
      </c>
    </row>
    <row r="697" spans="8:8" ht="15" customHeight="1" x14ac:dyDescent="0.2">
      <c r="H697" s="19">
        <v>-5.3894663092504203E-3</v>
      </c>
    </row>
    <row r="698" spans="8:8" ht="15" customHeight="1" x14ac:dyDescent="0.2">
      <c r="H698" s="19">
        <v>6.1275178046763003E-3</v>
      </c>
    </row>
    <row r="699" spans="8:8" ht="15" customHeight="1" x14ac:dyDescent="0.2">
      <c r="H699" s="19">
        <v>3.5801177089275602E-3</v>
      </c>
    </row>
    <row r="700" spans="8:8" ht="15" customHeight="1" x14ac:dyDescent="0.2">
      <c r="H700" s="19">
        <v>6.2333995741510302E-3</v>
      </c>
    </row>
    <row r="701" spans="8:8" ht="15" customHeight="1" x14ac:dyDescent="0.2">
      <c r="H701" s="19">
        <v>-2.7549404557750801E-4</v>
      </c>
    </row>
    <row r="702" spans="8:8" ht="15" customHeight="1" x14ac:dyDescent="0.2">
      <c r="H702" s="19">
        <v>-8.1362517861387901E-3</v>
      </c>
    </row>
    <row r="703" spans="8:8" ht="15" customHeight="1" x14ac:dyDescent="0.2">
      <c r="H703" s="19">
        <v>5.2947475267403604E-3</v>
      </c>
    </row>
    <row r="704" spans="8:8" ht="15" customHeight="1" x14ac:dyDescent="0.2">
      <c r="H704" s="19">
        <v>-6.8761307293206597E-3</v>
      </c>
    </row>
    <row r="705" spans="8:8" ht="15" customHeight="1" x14ac:dyDescent="0.2">
      <c r="H705" s="19">
        <v>-1.6407428018203E-2</v>
      </c>
    </row>
    <row r="706" spans="8:8" ht="15" customHeight="1" x14ac:dyDescent="0.2">
      <c r="H706" s="19">
        <v>-5.8760321418076201E-3</v>
      </c>
    </row>
    <row r="707" spans="8:8" ht="15" customHeight="1" x14ac:dyDescent="0.2">
      <c r="H707" s="19">
        <v>7.0084005208986703E-4</v>
      </c>
    </row>
    <row r="708" spans="8:8" ht="15" customHeight="1" x14ac:dyDescent="0.2">
      <c r="H708" s="19">
        <v>-4.1559538189570502E-3</v>
      </c>
    </row>
    <row r="709" spans="8:8" ht="15" customHeight="1" x14ac:dyDescent="0.2">
      <c r="H709" s="19">
        <v>-6.2589773649781404E-3</v>
      </c>
    </row>
    <row r="710" spans="8:8" ht="15" customHeight="1" x14ac:dyDescent="0.2">
      <c r="H710" s="19">
        <v>-1.3321784177045499E-2</v>
      </c>
    </row>
    <row r="711" spans="8:8" ht="15" customHeight="1" x14ac:dyDescent="0.2">
      <c r="H711" s="19">
        <v>-2.3152860729327499E-2</v>
      </c>
    </row>
    <row r="712" spans="8:8" ht="15" customHeight="1" x14ac:dyDescent="0.2">
      <c r="H712" s="19">
        <v>-5.1441215361758101E-4</v>
      </c>
    </row>
    <row r="713" spans="8:8" ht="15" customHeight="1" x14ac:dyDescent="0.2">
      <c r="H713" s="19">
        <v>1.279331014111E-3</v>
      </c>
    </row>
    <row r="714" spans="8:8" ht="15" customHeight="1" x14ac:dyDescent="0.2">
      <c r="H714" s="19">
        <v>8.1977060961116698E-3</v>
      </c>
    </row>
    <row r="715" spans="8:8" ht="15" customHeight="1" x14ac:dyDescent="0.2">
      <c r="H715" s="19">
        <v>8.9738752805535692E-3</v>
      </c>
    </row>
    <row r="716" spans="8:8" ht="15" customHeight="1" x14ac:dyDescent="0.2">
      <c r="H716" s="19">
        <v>6.6863109200268099E-3</v>
      </c>
    </row>
    <row r="717" spans="8:8" ht="15" customHeight="1" x14ac:dyDescent="0.2">
      <c r="H717" s="19">
        <v>5.5732861741243601E-3</v>
      </c>
    </row>
    <row r="718" spans="8:8" ht="15" customHeight="1" x14ac:dyDescent="0.2">
      <c r="H718" s="19">
        <v>-2.1254803659160799E-3</v>
      </c>
    </row>
    <row r="719" spans="8:8" ht="15" customHeight="1" x14ac:dyDescent="0.2">
      <c r="H719" s="19">
        <v>-6.6020534722688803E-3</v>
      </c>
    </row>
    <row r="720" spans="8:8" ht="15" customHeight="1" x14ac:dyDescent="0.2">
      <c r="H720" s="19">
        <v>2.1026852897278799E-2</v>
      </c>
    </row>
    <row r="721" spans="8:8" ht="15" customHeight="1" x14ac:dyDescent="0.2">
      <c r="H721" s="19">
        <v>1.04354209065504E-2</v>
      </c>
    </row>
    <row r="722" spans="8:8" ht="15" customHeight="1" x14ac:dyDescent="0.2">
      <c r="H722" s="19">
        <v>2.6996069844614199E-2</v>
      </c>
    </row>
    <row r="723" spans="8:8" ht="15" customHeight="1" x14ac:dyDescent="0.2">
      <c r="H723" s="19">
        <v>2.8221876810148799E-2</v>
      </c>
    </row>
    <row r="724" spans="8:8" ht="15" customHeight="1" x14ac:dyDescent="0.2">
      <c r="H724" s="19">
        <v>2.3417836220370799E-3</v>
      </c>
    </row>
    <row r="725" spans="8:8" ht="15" customHeight="1" x14ac:dyDescent="0.2">
      <c r="H725" s="19">
        <v>-6.3239119500313997E-3</v>
      </c>
    </row>
    <row r="726" spans="8:8" ht="15" customHeight="1" x14ac:dyDescent="0.2">
      <c r="H726" s="19">
        <v>1.6283074450632401E-2</v>
      </c>
    </row>
    <row r="727" spans="8:8" ht="15" customHeight="1" x14ac:dyDescent="0.2">
      <c r="H727" s="19">
        <v>2.5383067488051799E-3</v>
      </c>
    </row>
    <row r="728" spans="8:8" ht="15" customHeight="1" x14ac:dyDescent="0.2">
      <c r="H728" s="19">
        <v>1.2899716596229901E-2</v>
      </c>
    </row>
    <row r="729" spans="8:8" ht="15" customHeight="1" x14ac:dyDescent="0.2">
      <c r="H729" s="19">
        <v>2.38639501384986E-3</v>
      </c>
    </row>
    <row r="730" spans="8:8" ht="15" customHeight="1" x14ac:dyDescent="0.2">
      <c r="H730" s="19">
        <v>5.5309112805768104E-3</v>
      </c>
    </row>
    <row r="731" spans="8:8" ht="15" customHeight="1" x14ac:dyDescent="0.2">
      <c r="H731" s="19">
        <v>9.1970181565244498E-4</v>
      </c>
    </row>
    <row r="732" spans="8:8" ht="15" customHeight="1" x14ac:dyDescent="0.2">
      <c r="H732" s="19">
        <v>5.62210352508038E-3</v>
      </c>
    </row>
    <row r="733" spans="8:8" ht="15" customHeight="1" x14ac:dyDescent="0.2">
      <c r="H733" s="19">
        <v>-7.7129832989753302E-4</v>
      </c>
    </row>
    <row r="734" spans="8:8" ht="15" customHeight="1" x14ac:dyDescent="0.2">
      <c r="H734" s="19">
        <v>-1.7472397277667698E-2</v>
      </c>
    </row>
    <row r="735" spans="8:8" ht="15" customHeight="1" x14ac:dyDescent="0.2">
      <c r="H735" s="19">
        <v>6.2450938053533901E-3</v>
      </c>
    </row>
    <row r="736" spans="8:8" ht="15" customHeight="1" x14ac:dyDescent="0.2">
      <c r="H736" s="19">
        <v>8.0448167917935003E-3</v>
      </c>
    </row>
    <row r="737" spans="8:8" ht="15" customHeight="1" x14ac:dyDescent="0.2">
      <c r="H737" s="19">
        <v>-8.3797679930940304E-3</v>
      </c>
    </row>
    <row r="738" spans="8:8" ht="15" customHeight="1" x14ac:dyDescent="0.2">
      <c r="H738" s="19">
        <v>-9.5567049192246396E-4</v>
      </c>
    </row>
    <row r="739" spans="8:8" ht="15" customHeight="1" x14ac:dyDescent="0.2">
      <c r="H739" s="19">
        <v>5.1552234254080799E-3</v>
      </c>
    </row>
    <row r="740" spans="8:8" ht="15" customHeight="1" x14ac:dyDescent="0.2">
      <c r="H740" s="19">
        <v>-5.9206451407684503E-3</v>
      </c>
    </row>
    <row r="741" spans="8:8" ht="15" customHeight="1" x14ac:dyDescent="0.2">
      <c r="H741" s="19">
        <v>-9.0815491628126292E-3</v>
      </c>
    </row>
    <row r="742" spans="8:8" ht="15" customHeight="1" x14ac:dyDescent="0.2">
      <c r="H742" s="19">
        <v>9.7246076671791502E-3</v>
      </c>
    </row>
    <row r="743" spans="8:8" ht="15" customHeight="1" x14ac:dyDescent="0.2">
      <c r="H743" s="19">
        <v>-1.08336367569082E-2</v>
      </c>
    </row>
    <row r="744" spans="8:8" ht="15" customHeight="1" x14ac:dyDescent="0.2">
      <c r="H744" s="19">
        <v>1.8591624579248799E-2</v>
      </c>
    </row>
    <row r="745" spans="8:8" ht="15" customHeight="1" x14ac:dyDescent="0.2">
      <c r="H745" s="19">
        <v>7.8245323553218192E-3</v>
      </c>
    </row>
    <row r="746" spans="8:8" ht="15" customHeight="1" x14ac:dyDescent="0.2">
      <c r="H746" s="19">
        <v>-9.7676679566555194E-3</v>
      </c>
    </row>
    <row r="747" spans="8:8" ht="15" customHeight="1" x14ac:dyDescent="0.2">
      <c r="H747" s="19">
        <v>-5.5082534197882001E-3</v>
      </c>
    </row>
    <row r="748" spans="8:8" ht="15" customHeight="1" x14ac:dyDescent="0.2">
      <c r="H748" s="19">
        <v>1.8291624044944398E-2</v>
      </c>
    </row>
    <row r="749" spans="8:8" ht="15" customHeight="1" x14ac:dyDescent="0.2">
      <c r="H749" s="19">
        <v>4.2244961439755497E-3</v>
      </c>
    </row>
    <row r="750" spans="8:8" ht="15" customHeight="1" x14ac:dyDescent="0.2">
      <c r="H750" s="19">
        <v>1.2207086247196699E-3</v>
      </c>
    </row>
    <row r="751" spans="8:8" ht="15" customHeight="1" x14ac:dyDescent="0.2">
      <c r="H751" s="19">
        <v>6.0402112575159701E-4</v>
      </c>
    </row>
    <row r="752" spans="8:8" ht="15" customHeight="1" x14ac:dyDescent="0.2">
      <c r="H752" s="19">
        <v>2.12929741530699E-2</v>
      </c>
    </row>
    <row r="753" spans="8:8" ht="15" customHeight="1" x14ac:dyDescent="0.2">
      <c r="H753" s="19">
        <v>-2.57422654023558E-3</v>
      </c>
    </row>
    <row r="754" spans="8:8" ht="15" customHeight="1" x14ac:dyDescent="0.2">
      <c r="H754" s="19">
        <v>-7.9791563560578892E-3</v>
      </c>
    </row>
    <row r="755" spans="8:8" ht="15" customHeight="1" x14ac:dyDescent="0.2">
      <c r="H755" s="19">
        <v>1.66236868446702E-2</v>
      </c>
    </row>
    <row r="756" spans="8:8" ht="15" customHeight="1" x14ac:dyDescent="0.2">
      <c r="H756" s="19">
        <v>2.1831012439897102E-2</v>
      </c>
    </row>
    <row r="757" spans="8:8" ht="15" customHeight="1" x14ac:dyDescent="0.2">
      <c r="H757" s="19">
        <v>-8.8562914130956294E-3</v>
      </c>
    </row>
    <row r="758" spans="8:8" ht="15" customHeight="1" x14ac:dyDescent="0.2">
      <c r="H758" s="19">
        <v>1.8797568491069901E-2</v>
      </c>
    </row>
    <row r="759" spans="8:8" ht="15" customHeight="1" x14ac:dyDescent="0.2">
      <c r="H759" s="19">
        <v>7.2538419338907404E-3</v>
      </c>
    </row>
    <row r="760" spans="8:8" ht="15" customHeight="1" x14ac:dyDescent="0.2">
      <c r="H760" s="19">
        <v>-1.3646376241927599E-3</v>
      </c>
    </row>
    <row r="761" spans="8:8" ht="15" customHeight="1" x14ac:dyDescent="0.2">
      <c r="H761" s="19">
        <v>4.1127411716726696E-3</v>
      </c>
    </row>
    <row r="762" spans="8:8" ht="15" customHeight="1" x14ac:dyDescent="0.2">
      <c r="H762" s="19">
        <v>-4.9438885299811696E-3</v>
      </c>
    </row>
    <row r="763" spans="8:8" ht="15" customHeight="1" x14ac:dyDescent="0.2">
      <c r="H763" s="19">
        <v>-2.60818986633337E-3</v>
      </c>
    </row>
    <row r="764" spans="8:8" ht="15" customHeight="1" x14ac:dyDescent="0.2">
      <c r="H764" s="19">
        <v>-5.2196097974058003E-3</v>
      </c>
    </row>
    <row r="765" spans="8:8" ht="15" customHeight="1" x14ac:dyDescent="0.2">
      <c r="H765" s="19">
        <v>3.0967086253505002E-3</v>
      </c>
    </row>
    <row r="766" spans="8:8" ht="15" customHeight="1" x14ac:dyDescent="0.2">
      <c r="H766" s="19">
        <v>6.1788484993044197E-3</v>
      </c>
    </row>
    <row r="767" spans="8:8" ht="15" customHeight="1" x14ac:dyDescent="0.2">
      <c r="H767" s="19">
        <v>-1.78985904211519E-3</v>
      </c>
    </row>
    <row r="768" spans="8:8" ht="15" customHeight="1" x14ac:dyDescent="0.2">
      <c r="H768" s="19">
        <v>1.22382872463792E-2</v>
      </c>
    </row>
    <row r="769" spans="8:8" ht="15" customHeight="1" x14ac:dyDescent="0.2">
      <c r="H769" s="19">
        <v>-1.46539008058966E-3</v>
      </c>
    </row>
    <row r="770" spans="8:8" ht="15" customHeight="1" x14ac:dyDescent="0.2">
      <c r="H770" s="19">
        <v>-3.89006458077862E-3</v>
      </c>
    </row>
    <row r="771" spans="8:8" ht="15" customHeight="1" x14ac:dyDescent="0.2">
      <c r="H771" s="19">
        <v>-8.3225322552930407E-3</v>
      </c>
    </row>
    <row r="772" spans="8:8" ht="15" customHeight="1" x14ac:dyDescent="0.2">
      <c r="H772" s="19">
        <v>-9.5775568646442408E-3</v>
      </c>
    </row>
    <row r="773" spans="8:8" ht="15" customHeight="1" x14ac:dyDescent="0.2">
      <c r="H773" s="19">
        <v>1.9655617457798999E-3</v>
      </c>
    </row>
    <row r="774" spans="8:8" ht="15" customHeight="1" x14ac:dyDescent="0.2">
      <c r="H774" s="19">
        <v>2.0292994226192702E-2</v>
      </c>
    </row>
    <row r="775" spans="8:8" ht="15" customHeight="1" x14ac:dyDescent="0.2">
      <c r="H775" s="19">
        <v>1.6299624244952701E-3</v>
      </c>
    </row>
    <row r="776" spans="8:8" ht="15" customHeight="1" x14ac:dyDescent="0.2">
      <c r="H776" s="19">
        <v>-1.02619178439019E-2</v>
      </c>
    </row>
    <row r="777" spans="8:8" ht="15" customHeight="1" x14ac:dyDescent="0.2">
      <c r="H777" s="19">
        <v>3.92207553669422E-3</v>
      </c>
    </row>
    <row r="778" spans="8:8" ht="15" customHeight="1" x14ac:dyDescent="0.2">
      <c r="H778" s="19">
        <v>7.8478309411460796E-3</v>
      </c>
    </row>
    <row r="779" spans="8:8" ht="15" customHeight="1" x14ac:dyDescent="0.2">
      <c r="H779" s="19">
        <v>1.6106091496655599E-3</v>
      </c>
    </row>
    <row r="780" spans="8:8" ht="15" customHeight="1" x14ac:dyDescent="0.2">
      <c r="H780" s="19">
        <v>5.8234165335444097E-3</v>
      </c>
    </row>
    <row r="781" spans="8:8" ht="15" customHeight="1" x14ac:dyDescent="0.2">
      <c r="H781" s="19">
        <v>3.6363705123084902E-3</v>
      </c>
    </row>
    <row r="782" spans="8:8" ht="15" customHeight="1" x14ac:dyDescent="0.2">
      <c r="H782" s="19">
        <v>5.8408283500178404E-3</v>
      </c>
    </row>
    <row r="783" spans="8:8" ht="15" customHeight="1" x14ac:dyDescent="0.2">
      <c r="H783" s="19">
        <v>2.2912942715913901E-3</v>
      </c>
    </row>
    <row r="784" spans="8:8" ht="15" customHeight="1" x14ac:dyDescent="0.2">
      <c r="H784" s="19">
        <v>8.3644395256058702E-4</v>
      </c>
    </row>
    <row r="785" spans="8:8" ht="15" customHeight="1" x14ac:dyDescent="0.2">
      <c r="H785" s="19">
        <v>1.3272509124355999E-2</v>
      </c>
    </row>
    <row r="786" spans="8:8" ht="15" customHeight="1" x14ac:dyDescent="0.2">
      <c r="H786" s="19">
        <v>-6.5438420296161396E-3</v>
      </c>
    </row>
    <row r="787" spans="8:8" ht="15" customHeight="1" x14ac:dyDescent="0.2">
      <c r="H787" s="19">
        <v>-2.5813249625618998E-3</v>
      </c>
    </row>
    <row r="788" spans="8:8" ht="15" customHeight="1" x14ac:dyDescent="0.2">
      <c r="H788" s="19">
        <v>-4.2137369070170197E-3</v>
      </c>
    </row>
    <row r="789" spans="8:8" ht="15" customHeight="1" x14ac:dyDescent="0.2">
      <c r="H789" s="19">
        <v>2.6942633842378899E-3</v>
      </c>
    </row>
    <row r="790" spans="8:8" ht="15" customHeight="1" x14ac:dyDescent="0.2">
      <c r="H790" s="19">
        <v>2.88787278927062E-2</v>
      </c>
    </row>
    <row r="791" spans="8:8" ht="15" customHeight="1" x14ac:dyDescent="0.2">
      <c r="H791" s="19">
        <v>1.0643006899440199E-2</v>
      </c>
    </row>
    <row r="792" spans="8:8" ht="15" customHeight="1" x14ac:dyDescent="0.2">
      <c r="H792" s="19">
        <v>5.2790772985424001E-3</v>
      </c>
    </row>
    <row r="793" spans="8:8" ht="15" customHeight="1" x14ac:dyDescent="0.2">
      <c r="H793" s="19">
        <v>1.57320878532443E-2</v>
      </c>
    </row>
    <row r="794" spans="8:8" ht="15" customHeight="1" x14ac:dyDescent="0.2">
      <c r="H794" s="19">
        <v>3.4389251410483399E-3</v>
      </c>
    </row>
    <row r="795" spans="8:8" ht="15" customHeight="1" x14ac:dyDescent="0.2">
      <c r="H795" s="19">
        <v>1.1647403933463399E-2</v>
      </c>
    </row>
    <row r="796" spans="8:8" ht="15" customHeight="1" x14ac:dyDescent="0.2">
      <c r="H796" s="19">
        <v>1.45952069244723E-2</v>
      </c>
    </row>
    <row r="797" spans="8:8" ht="15" customHeight="1" x14ac:dyDescent="0.2">
      <c r="H797" s="19">
        <v>-8.9302937245126501E-3</v>
      </c>
    </row>
    <row r="798" spans="8:8" ht="15" customHeight="1" x14ac:dyDescent="0.2">
      <c r="H798" s="19">
        <v>6.0896146239794004E-3</v>
      </c>
    </row>
    <row r="799" spans="8:8" ht="15" customHeight="1" x14ac:dyDescent="0.2">
      <c r="H799" s="19">
        <v>-1.1460855445584801E-2</v>
      </c>
    </row>
    <row r="800" spans="8:8" ht="15" customHeight="1" x14ac:dyDescent="0.2">
      <c r="H800" s="19">
        <v>-1.8557290998012801E-2</v>
      </c>
    </row>
    <row r="801" spans="8:8" ht="15" customHeight="1" x14ac:dyDescent="0.2">
      <c r="H801" s="19">
        <v>-1.2935739449788501E-3</v>
      </c>
    </row>
    <row r="802" spans="8:8" ht="15" customHeight="1" x14ac:dyDescent="0.2">
      <c r="H802" s="19">
        <v>-2.0006314666560199E-3</v>
      </c>
    </row>
    <row r="803" spans="8:8" ht="15" customHeight="1" x14ac:dyDescent="0.2">
      <c r="H803" s="19">
        <v>1.1936563784855201E-2</v>
      </c>
    </row>
    <row r="804" spans="8:8" ht="15" customHeight="1" x14ac:dyDescent="0.2">
      <c r="H804" s="19">
        <v>-1.0449509606310199E-2</v>
      </c>
    </row>
    <row r="805" spans="8:8" ht="15" customHeight="1" x14ac:dyDescent="0.2">
      <c r="H805" s="19">
        <v>-1.86736332001766E-2</v>
      </c>
    </row>
    <row r="806" spans="8:8" ht="15" customHeight="1" x14ac:dyDescent="0.2">
      <c r="H806" s="19">
        <v>1.80780402549903E-2</v>
      </c>
    </row>
    <row r="807" spans="8:8" ht="15" customHeight="1" x14ac:dyDescent="0.2">
      <c r="H807" s="19">
        <v>7.4828335520729199E-3</v>
      </c>
    </row>
    <row r="808" spans="8:8" ht="15" customHeight="1" x14ac:dyDescent="0.2">
      <c r="H808" s="19">
        <v>1.3433128923336301E-3</v>
      </c>
    </row>
    <row r="809" spans="8:8" ht="15" customHeight="1" x14ac:dyDescent="0.2">
      <c r="H809" s="19">
        <v>-6.9802832963230298E-3</v>
      </c>
    </row>
    <row r="810" spans="8:8" ht="15" customHeight="1" x14ac:dyDescent="0.2">
      <c r="H810" s="19">
        <v>7.2926462186530304E-3</v>
      </c>
    </row>
    <row r="811" spans="8:8" ht="15" customHeight="1" x14ac:dyDescent="0.2">
      <c r="H811" s="19">
        <v>-5.8483793135201603E-3</v>
      </c>
    </row>
    <row r="812" spans="8:8" ht="15" customHeight="1" x14ac:dyDescent="0.2">
      <c r="H812" s="19">
        <v>-4.3750718950759703E-3</v>
      </c>
    </row>
    <row r="813" spans="8:8" ht="15" customHeight="1" x14ac:dyDescent="0.2">
      <c r="H813" s="19">
        <v>-3.4774071132854899E-4</v>
      </c>
    </row>
    <row r="814" spans="8:8" ht="15" customHeight="1" x14ac:dyDescent="0.2">
      <c r="H814" s="19">
        <v>2.2041816902726901E-3</v>
      </c>
    </row>
    <row r="815" spans="8:8" ht="15" customHeight="1" x14ac:dyDescent="0.2">
      <c r="H815" s="19">
        <v>-8.2124030858355505E-3</v>
      </c>
    </row>
    <row r="816" spans="8:8" ht="15" customHeight="1" x14ac:dyDescent="0.2">
      <c r="H816" s="19">
        <v>9.7367210122110293E-3</v>
      </c>
    </row>
    <row r="817" spans="8:8" ht="15" customHeight="1" x14ac:dyDescent="0.2">
      <c r="H817" s="19">
        <v>3.83807727237952E-3</v>
      </c>
    </row>
    <row r="818" spans="8:8" ht="15" customHeight="1" x14ac:dyDescent="0.2">
      <c r="H818" s="19">
        <v>-9.5297255412920105E-3</v>
      </c>
    </row>
    <row r="819" spans="8:8" ht="15" customHeight="1" x14ac:dyDescent="0.2">
      <c r="H819" s="19">
        <v>-3.26217990370917E-3</v>
      </c>
    </row>
    <row r="820" spans="8:8" ht="15" customHeight="1" x14ac:dyDescent="0.2">
      <c r="H820" s="19">
        <v>-8.0939915990574096E-3</v>
      </c>
    </row>
    <row r="821" spans="8:8" ht="15" customHeight="1" x14ac:dyDescent="0.2">
      <c r="H821" s="19">
        <v>-1.06205230806545E-2</v>
      </c>
    </row>
    <row r="822" spans="8:8" ht="15" customHeight="1" x14ac:dyDescent="0.2">
      <c r="H822" s="19">
        <v>1.07494051877636E-2</v>
      </c>
    </row>
    <row r="823" spans="8:8" ht="15" customHeight="1" x14ac:dyDescent="0.2">
      <c r="H823" s="19">
        <v>1.1795414768737701E-2</v>
      </c>
    </row>
    <row r="824" spans="8:8" ht="15" customHeight="1" x14ac:dyDescent="0.2">
      <c r="H824" s="19">
        <v>4.8540835467363397E-3</v>
      </c>
    </row>
    <row r="825" spans="8:8" ht="15" customHeight="1" x14ac:dyDescent="0.2">
      <c r="H825" s="19">
        <v>-1.14411992033857E-2</v>
      </c>
    </row>
    <row r="826" spans="8:8" ht="15" customHeight="1" x14ac:dyDescent="0.2">
      <c r="H826" s="19">
        <v>-1.1492420458431501E-2</v>
      </c>
    </row>
    <row r="827" spans="8:8" ht="15" customHeight="1" x14ac:dyDescent="0.2">
      <c r="H827" s="19">
        <v>-1.0380411084964299E-3</v>
      </c>
    </row>
    <row r="828" spans="8:8" ht="15" customHeight="1" x14ac:dyDescent="0.2">
      <c r="H828" s="19">
        <v>-1.26098953189758E-2</v>
      </c>
    </row>
    <row r="829" spans="8:8" ht="15" customHeight="1" x14ac:dyDescent="0.2">
      <c r="H829" s="19">
        <v>-1.4681024322023801E-2</v>
      </c>
    </row>
    <row r="830" spans="8:8" ht="15" customHeight="1" x14ac:dyDescent="0.2">
      <c r="H830" s="19">
        <v>-1.6129984642242599E-2</v>
      </c>
    </row>
    <row r="831" spans="8:8" ht="15" customHeight="1" x14ac:dyDescent="0.2">
      <c r="H831" s="19">
        <v>3.0089401090444201E-3</v>
      </c>
    </row>
    <row r="832" spans="8:8" ht="15" customHeight="1" x14ac:dyDescent="0.2">
      <c r="H832" s="19">
        <v>2.2846230779397202E-3</v>
      </c>
    </row>
    <row r="833" spans="8:8" ht="15" customHeight="1" x14ac:dyDescent="0.2">
      <c r="H833" s="19">
        <v>-1.11016912163583E-2</v>
      </c>
    </row>
    <row r="834" spans="8:8" ht="15" customHeight="1" x14ac:dyDescent="0.2">
      <c r="H834" s="19">
        <v>7.3655947895362398E-3</v>
      </c>
    </row>
    <row r="835" spans="8:8" ht="15" customHeight="1" x14ac:dyDescent="0.2">
      <c r="H835" s="19">
        <v>-1.7418753267709499E-2</v>
      </c>
    </row>
    <row r="836" spans="8:8" ht="15" customHeight="1" x14ac:dyDescent="0.2">
      <c r="H836" s="19">
        <v>1.37065670282668E-2</v>
      </c>
    </row>
    <row r="837" spans="8:8" ht="15" customHeight="1" x14ac:dyDescent="0.2">
      <c r="H837" s="19">
        <v>-4.1630047806221803E-3</v>
      </c>
    </row>
    <row r="838" spans="8:8" ht="15" customHeight="1" x14ac:dyDescent="0.2">
      <c r="H838" s="19">
        <v>6.5052257218390398E-3</v>
      </c>
    </row>
    <row r="839" spans="8:8" ht="15" customHeight="1" x14ac:dyDescent="0.2">
      <c r="H839" s="19">
        <v>-5.15516940157417E-3</v>
      </c>
    </row>
    <row r="840" spans="8:8" ht="15" customHeight="1" x14ac:dyDescent="0.2">
      <c r="H840" s="19">
        <v>-3.18720412385037E-3</v>
      </c>
    </row>
    <row r="841" spans="8:8" ht="15" customHeight="1" x14ac:dyDescent="0.2">
      <c r="H841" s="19">
        <v>3.93968128567078E-3</v>
      </c>
    </row>
    <row r="842" spans="8:8" ht="15" customHeight="1" x14ac:dyDescent="0.2">
      <c r="H842" s="19">
        <v>1.6368409054795599E-2</v>
      </c>
    </row>
    <row r="843" spans="8:8" ht="15" customHeight="1" x14ac:dyDescent="0.2">
      <c r="H843" s="19">
        <v>3.1166207085655301E-3</v>
      </c>
    </row>
    <row r="844" spans="8:8" ht="15" customHeight="1" x14ac:dyDescent="0.2">
      <c r="H844" s="19">
        <v>-3.8793572624920801E-3</v>
      </c>
    </row>
    <row r="845" spans="8:8" ht="15" customHeight="1" x14ac:dyDescent="0.2">
      <c r="H845" s="19">
        <v>-1.6012439467092101E-2</v>
      </c>
    </row>
    <row r="846" spans="8:8" ht="15" customHeight="1" x14ac:dyDescent="0.2">
      <c r="H846" s="19">
        <v>4.6203076254394404E-3</v>
      </c>
    </row>
    <row r="847" spans="8:8" ht="15" customHeight="1" x14ac:dyDescent="0.2">
      <c r="H847" s="19">
        <v>-2.2311278933493502E-2</v>
      </c>
    </row>
    <row r="848" spans="8:8" ht="15" customHeight="1" x14ac:dyDescent="0.2">
      <c r="H848" s="19">
        <v>-7.7285341935711604E-3</v>
      </c>
    </row>
    <row r="849" spans="8:8" ht="15" customHeight="1" x14ac:dyDescent="0.2">
      <c r="H849" s="19">
        <v>-6.6715529664312101E-3</v>
      </c>
    </row>
    <row r="850" spans="8:8" ht="15" customHeight="1" x14ac:dyDescent="0.2">
      <c r="H850" s="19">
        <v>-9.4579260852387505E-4</v>
      </c>
    </row>
    <row r="851" spans="8:8" ht="15" customHeight="1" x14ac:dyDescent="0.2">
      <c r="H851" s="19">
        <v>-9.9273206925741802E-3</v>
      </c>
    </row>
    <row r="852" spans="8:8" ht="15" customHeight="1" x14ac:dyDescent="0.2">
      <c r="H852" s="19">
        <v>-5.6297414108102198E-3</v>
      </c>
    </row>
    <row r="853" spans="8:8" ht="15" customHeight="1" x14ac:dyDescent="0.2">
      <c r="H853" s="19">
        <v>1.7077763637457499E-3</v>
      </c>
    </row>
    <row r="854" spans="8:8" ht="15" customHeight="1" x14ac:dyDescent="0.2">
      <c r="H854" s="19">
        <v>-1.6939211125960099E-3</v>
      </c>
    </row>
    <row r="855" spans="8:8" ht="15" customHeight="1" x14ac:dyDescent="0.2">
      <c r="H855" s="19">
        <v>-1.5687164356954001E-2</v>
      </c>
    </row>
    <row r="856" spans="8:8" ht="15" customHeight="1" x14ac:dyDescent="0.2">
      <c r="H856" s="19">
        <v>-6.8093833863892899E-3</v>
      </c>
    </row>
    <row r="857" spans="8:8" ht="15" customHeight="1" x14ac:dyDescent="0.2">
      <c r="H857" s="19">
        <v>6.0759615147853397E-3</v>
      </c>
    </row>
    <row r="858" spans="8:8" ht="15" customHeight="1" x14ac:dyDescent="0.2">
      <c r="H858" s="19">
        <v>1.48108689717928E-2</v>
      </c>
    </row>
    <row r="859" spans="8:8" ht="15" customHeight="1" x14ac:dyDescent="0.2">
      <c r="H859" s="19">
        <v>-6.1881623075112297E-3</v>
      </c>
    </row>
    <row r="860" spans="8:8" ht="15" customHeight="1" x14ac:dyDescent="0.2">
      <c r="H860" s="19">
        <v>-5.9660643517414997E-3</v>
      </c>
    </row>
    <row r="861" spans="8:8" ht="15" customHeight="1" x14ac:dyDescent="0.2">
      <c r="H861" s="19">
        <v>-6.0307424248407199E-4</v>
      </c>
    </row>
    <row r="862" spans="8:8" ht="15" customHeight="1" x14ac:dyDescent="0.2">
      <c r="H862" s="19">
        <v>9.6087049619590203E-4</v>
      </c>
    </row>
    <row r="863" spans="8:8" ht="15" customHeight="1" x14ac:dyDescent="0.2">
      <c r="H863" s="19">
        <v>-3.5146747617335501E-3</v>
      </c>
    </row>
    <row r="864" spans="8:8" ht="15" customHeight="1" x14ac:dyDescent="0.2">
      <c r="H864" s="19">
        <v>5.0849684594572002E-3</v>
      </c>
    </row>
    <row r="865" spans="8:8" ht="15" customHeight="1" x14ac:dyDescent="0.2">
      <c r="H865" s="19">
        <v>6.3941044459128503E-3</v>
      </c>
    </row>
    <row r="866" spans="8:8" ht="15" customHeight="1" x14ac:dyDescent="0.2">
      <c r="H866" s="19">
        <v>-9.2011009745939908E-3</v>
      </c>
    </row>
    <row r="867" spans="8:8" ht="15" customHeight="1" x14ac:dyDescent="0.2">
      <c r="H867" s="19">
        <v>-1.9524314601395702E-2</v>
      </c>
    </row>
    <row r="868" spans="8:8" ht="15" customHeight="1" x14ac:dyDescent="0.2">
      <c r="H868" s="19">
        <v>2.3833464743987899E-3</v>
      </c>
    </row>
    <row r="869" spans="8:8" ht="15" customHeight="1" x14ac:dyDescent="0.2">
      <c r="H869" s="19">
        <v>5.2921679915201797E-3</v>
      </c>
    </row>
    <row r="870" spans="8:8" ht="15" customHeight="1" x14ac:dyDescent="0.2">
      <c r="H870" s="19">
        <v>2.6966255287426198E-3</v>
      </c>
    </row>
    <row r="871" spans="8:8" ht="15" customHeight="1" x14ac:dyDescent="0.2">
      <c r="H871" s="19">
        <v>-4.3479992678493997E-3</v>
      </c>
    </row>
    <row r="872" spans="8:8" ht="15" customHeight="1" x14ac:dyDescent="0.2">
      <c r="H872" s="19">
        <v>9.6603515307496692E-3</v>
      </c>
    </row>
    <row r="873" spans="8:8" ht="15" customHeight="1" x14ac:dyDescent="0.2">
      <c r="H873" s="19">
        <v>9.9084014986644594E-3</v>
      </c>
    </row>
    <row r="874" spans="8:8" ht="15" customHeight="1" x14ac:dyDescent="0.2">
      <c r="H874" s="19">
        <v>1.30481524017562E-2</v>
      </c>
    </row>
    <row r="875" spans="8:8" ht="15" customHeight="1" x14ac:dyDescent="0.2">
      <c r="H875" s="19">
        <v>-2.7193294310080799E-3</v>
      </c>
    </row>
    <row r="876" spans="8:8" ht="15" customHeight="1" x14ac:dyDescent="0.2">
      <c r="H876" s="19">
        <v>-6.9526354807941003E-3</v>
      </c>
    </row>
    <row r="877" spans="8:8" ht="15" customHeight="1" x14ac:dyDescent="0.2">
      <c r="H877" s="19">
        <v>-9.0881835596519998E-3</v>
      </c>
    </row>
    <row r="878" spans="8:8" ht="15" customHeight="1" x14ac:dyDescent="0.2">
      <c r="H878" s="19">
        <v>8.0310848522371706E-3</v>
      </c>
    </row>
    <row r="879" spans="8:8" ht="15" customHeight="1" x14ac:dyDescent="0.2">
      <c r="H879" s="19">
        <v>-4.3669317194889503E-3</v>
      </c>
    </row>
    <row r="880" spans="8:8" ht="15" customHeight="1" x14ac:dyDescent="0.2">
      <c r="H880" s="19">
        <v>-1.1662776013338001E-2</v>
      </c>
    </row>
    <row r="881" spans="8:8" ht="15" customHeight="1" x14ac:dyDescent="0.2">
      <c r="H881" s="19">
        <v>4.98632322672154E-3</v>
      </c>
    </row>
    <row r="882" spans="8:8" ht="15" customHeight="1" x14ac:dyDescent="0.2">
      <c r="H882" s="19">
        <v>3.0324039658281899E-3</v>
      </c>
    </row>
    <row r="883" spans="8:8" ht="15" customHeight="1" x14ac:dyDescent="0.2">
      <c r="H883" s="19">
        <v>9.5170933425663996E-3</v>
      </c>
    </row>
    <row r="884" spans="8:8" ht="15" customHeight="1" x14ac:dyDescent="0.2">
      <c r="H884" s="19">
        <v>1.92397032523338E-2</v>
      </c>
    </row>
    <row r="885" spans="8:8" ht="15" customHeight="1" x14ac:dyDescent="0.2">
      <c r="H885" s="19">
        <v>2.9167783254411199E-3</v>
      </c>
    </row>
    <row r="886" spans="8:8" ht="15" customHeight="1" x14ac:dyDescent="0.2">
      <c r="H886" s="19">
        <v>-3.9647337904185004E-3</v>
      </c>
    </row>
    <row r="887" spans="8:8" ht="15" customHeight="1" x14ac:dyDescent="0.2">
      <c r="H887" s="19">
        <v>-7.1423030068582596E-3</v>
      </c>
    </row>
    <row r="888" spans="8:8" ht="15" customHeight="1" x14ac:dyDescent="0.2">
      <c r="H888" s="19">
        <v>-1.3216383115771699E-2</v>
      </c>
    </row>
    <row r="889" spans="8:8" ht="15" customHeight="1" x14ac:dyDescent="0.2">
      <c r="H889" s="19">
        <v>1.0902413699221999E-2</v>
      </c>
    </row>
    <row r="890" spans="8:8" ht="15" customHeight="1" x14ac:dyDescent="0.2">
      <c r="H890" s="19">
        <v>-6.8710935502455999E-3</v>
      </c>
    </row>
    <row r="891" spans="8:8" ht="15" customHeight="1" x14ac:dyDescent="0.2">
      <c r="H891" s="19">
        <v>-6.1008952831965299E-3</v>
      </c>
    </row>
    <row r="892" spans="8:8" ht="15" customHeight="1" x14ac:dyDescent="0.2">
      <c r="H892" s="19">
        <v>2.5121941417891101E-3</v>
      </c>
    </row>
    <row r="893" spans="8:8" ht="15" customHeight="1" x14ac:dyDescent="0.2">
      <c r="H893" s="19">
        <v>-8.4177301831554092E-3</v>
      </c>
    </row>
    <row r="894" spans="8:8" ht="15" customHeight="1" x14ac:dyDescent="0.2">
      <c r="H894" s="19">
        <v>-2.98183592100008E-3</v>
      </c>
    </row>
    <row r="895" spans="8:8" ht="15" customHeight="1" x14ac:dyDescent="0.2">
      <c r="H895" s="19">
        <v>-1.6748760931116699E-3</v>
      </c>
    </row>
    <row r="896" spans="8:8" ht="15" customHeight="1" x14ac:dyDescent="0.2">
      <c r="H896" s="19">
        <v>1.0125833719194101E-2</v>
      </c>
    </row>
    <row r="897" spans="8:8" ht="15" customHeight="1" x14ac:dyDescent="0.2">
      <c r="H897" s="19">
        <v>-2.46071792626773E-2</v>
      </c>
    </row>
    <row r="898" spans="8:8" ht="15" customHeight="1" x14ac:dyDescent="0.2">
      <c r="H898" s="19">
        <v>3.1634265971610398E-3</v>
      </c>
    </row>
    <row r="899" spans="8:8" ht="15" customHeight="1" x14ac:dyDescent="0.2">
      <c r="H899" s="19">
        <v>-1.0938818592843701E-2</v>
      </c>
    </row>
    <row r="900" spans="8:8" ht="15" customHeight="1" x14ac:dyDescent="0.2">
      <c r="H900" s="19">
        <v>-1.8341364964213101E-2</v>
      </c>
    </row>
    <row r="901" spans="8:8" ht="15" customHeight="1" x14ac:dyDescent="0.2">
      <c r="H901" s="19">
        <v>6.8388357429350396E-3</v>
      </c>
    </row>
    <row r="902" spans="8:8" ht="15" customHeight="1" x14ac:dyDescent="0.2">
      <c r="H902" s="19">
        <v>7.9344595372191403E-3</v>
      </c>
    </row>
    <row r="903" spans="8:8" ht="15" customHeight="1" x14ac:dyDescent="0.2">
      <c r="H903" s="19">
        <v>-3.8791208201460498E-3</v>
      </c>
    </row>
    <row r="904" spans="8:8" ht="15" customHeight="1" x14ac:dyDescent="0.2">
      <c r="H904" s="19">
        <v>1.4041292624269701E-2</v>
      </c>
    </row>
    <row r="905" spans="8:8" ht="15" customHeight="1" x14ac:dyDescent="0.2">
      <c r="H905" s="19">
        <v>8.4380896713701201E-4</v>
      </c>
    </row>
    <row r="906" spans="8:8" ht="15" customHeight="1" x14ac:dyDescent="0.2">
      <c r="H906" s="19">
        <v>9.5302605296760101E-3</v>
      </c>
    </row>
    <row r="907" spans="8:8" ht="15" customHeight="1" x14ac:dyDescent="0.2">
      <c r="H907" s="19">
        <v>1.4328325041219701E-2</v>
      </c>
    </row>
    <row r="908" spans="8:8" ht="15" customHeight="1" x14ac:dyDescent="0.2">
      <c r="H908" s="19">
        <v>-1.3973112298589E-2</v>
      </c>
    </row>
    <row r="909" spans="8:8" ht="15" customHeight="1" x14ac:dyDescent="0.2">
      <c r="H909" s="19">
        <v>1.5573783282401501E-2</v>
      </c>
    </row>
    <row r="910" spans="8:8" ht="15" customHeight="1" x14ac:dyDescent="0.2">
      <c r="H910" s="19">
        <v>6.6056400323172304E-4</v>
      </c>
    </row>
    <row r="911" spans="8:8" ht="15" customHeight="1" x14ac:dyDescent="0.2">
      <c r="H911" s="19">
        <v>3.06148633796488E-3</v>
      </c>
    </row>
    <row r="912" spans="8:8" ht="15" customHeight="1" x14ac:dyDescent="0.2">
      <c r="H912" s="19">
        <v>6.4543096477778401E-3</v>
      </c>
    </row>
    <row r="913" spans="8:8" ht="15" customHeight="1" x14ac:dyDescent="0.2">
      <c r="H913" s="19">
        <v>1.0466489337840199E-2</v>
      </c>
    </row>
    <row r="914" spans="8:8" ht="15" customHeight="1" x14ac:dyDescent="0.2">
      <c r="H914" s="19">
        <v>-6.0037931782673101E-3</v>
      </c>
    </row>
    <row r="915" spans="8:8" ht="15" customHeight="1" x14ac:dyDescent="0.2">
      <c r="H915" s="19">
        <v>-1.75848247621585E-3</v>
      </c>
    </row>
    <row r="916" spans="8:8" ht="15" customHeight="1" x14ac:dyDescent="0.2">
      <c r="H916" s="19">
        <v>5.8586724217050898E-3</v>
      </c>
    </row>
    <row r="917" spans="8:8" ht="15" customHeight="1" x14ac:dyDescent="0.2">
      <c r="H917" s="19">
        <v>5.29331228532561E-3</v>
      </c>
    </row>
    <row r="918" spans="8:8" ht="15" customHeight="1" x14ac:dyDescent="0.2">
      <c r="H918" s="19">
        <v>-8.1942680747400104E-3</v>
      </c>
    </row>
    <row r="919" spans="8:8" ht="15" customHeight="1" x14ac:dyDescent="0.2">
      <c r="H919" s="19">
        <v>3.6534793546620398E-4</v>
      </c>
    </row>
    <row r="920" spans="8:8" ht="15" customHeight="1" x14ac:dyDescent="0.2">
      <c r="H920" s="19">
        <v>9.3280111590474998E-3</v>
      </c>
    </row>
    <row r="921" spans="8:8" ht="15" customHeight="1" x14ac:dyDescent="0.2">
      <c r="H921" s="19">
        <v>-9.8072019390208691E-4</v>
      </c>
    </row>
    <row r="922" spans="8:8" ht="15" customHeight="1" x14ac:dyDescent="0.2">
      <c r="H922" s="19">
        <v>1.2088092716274401E-2</v>
      </c>
    </row>
    <row r="923" spans="8:8" ht="15" customHeight="1" x14ac:dyDescent="0.2">
      <c r="H923" s="19">
        <v>-5.3815711644197304E-3</v>
      </c>
    </row>
    <row r="924" spans="8:8" ht="15" customHeight="1" x14ac:dyDescent="0.2">
      <c r="H924" s="19">
        <v>-1.1263426445987801E-2</v>
      </c>
    </row>
    <row r="925" spans="8:8" ht="15" customHeight="1" x14ac:dyDescent="0.2">
      <c r="H925" s="19">
        <v>-1.42389970447296E-2</v>
      </c>
    </row>
    <row r="926" spans="8:8" ht="15" customHeight="1" x14ac:dyDescent="0.2">
      <c r="H926" s="19">
        <v>4.1058094335512402E-3</v>
      </c>
    </row>
    <row r="927" spans="8:8" ht="15" customHeight="1" x14ac:dyDescent="0.2">
      <c r="H927" s="19">
        <v>-1.2242464442138E-2</v>
      </c>
    </row>
    <row r="928" spans="8:8" ht="15" customHeight="1" x14ac:dyDescent="0.2">
      <c r="H928" s="19">
        <v>2.0269984017131002E-3</v>
      </c>
    </row>
    <row r="929" spans="8:8" ht="15" customHeight="1" x14ac:dyDescent="0.2">
      <c r="H929" s="19">
        <v>-2.6645239724665901E-3</v>
      </c>
    </row>
    <row r="930" spans="8:8" ht="15" customHeight="1" x14ac:dyDescent="0.2">
      <c r="H930" s="19">
        <v>1.8224002745406999E-3</v>
      </c>
    </row>
    <row r="931" spans="8:8" ht="15" customHeight="1" x14ac:dyDescent="0.2">
      <c r="H931" s="19">
        <v>-3.4970228462094403E-2</v>
      </c>
    </row>
    <row r="932" spans="8:8" ht="15" customHeight="1" x14ac:dyDescent="0.2">
      <c r="H932" s="19">
        <v>-1.18237142163848E-2</v>
      </c>
    </row>
    <row r="933" spans="8:8" ht="15" customHeight="1" x14ac:dyDescent="0.2">
      <c r="H933" s="19">
        <v>4.83496869776862E-3</v>
      </c>
    </row>
    <row r="934" spans="8:8" ht="15" customHeight="1" x14ac:dyDescent="0.2">
      <c r="H934" s="19">
        <v>1.59720425428302E-2</v>
      </c>
    </row>
    <row r="935" spans="8:8" ht="15" customHeight="1" x14ac:dyDescent="0.2">
      <c r="H935" s="19">
        <v>1.8193855183715898E-2</v>
      </c>
    </row>
    <row r="936" spans="8:8" ht="15" customHeight="1" x14ac:dyDescent="0.2">
      <c r="H936" s="19">
        <v>5.0183144206476698E-3</v>
      </c>
    </row>
    <row r="937" spans="8:8" ht="15" customHeight="1" x14ac:dyDescent="0.2">
      <c r="H937" s="19">
        <v>5.7006577860993501E-3</v>
      </c>
    </row>
    <row r="938" spans="8:8" ht="15" customHeight="1" x14ac:dyDescent="0.2">
      <c r="H938" s="19">
        <v>1.22723687719225E-2</v>
      </c>
    </row>
    <row r="939" spans="8:8" ht="15" customHeight="1" x14ac:dyDescent="0.2">
      <c r="H939" s="19">
        <v>-8.7575210355888607E-3</v>
      </c>
    </row>
    <row r="940" spans="8:8" ht="15" customHeight="1" x14ac:dyDescent="0.2">
      <c r="H940" s="19">
        <v>-1.0171416873743599E-2</v>
      </c>
    </row>
    <row r="941" spans="8:8" ht="15" customHeight="1" x14ac:dyDescent="0.2">
      <c r="H941" s="19">
        <v>-5.47852206796686E-3</v>
      </c>
    </row>
    <row r="942" spans="8:8" ht="15" customHeight="1" x14ac:dyDescent="0.2">
      <c r="H942" s="19">
        <v>-1.45530086809108E-3</v>
      </c>
    </row>
    <row r="943" spans="8:8" ht="15" customHeight="1" x14ac:dyDescent="0.2">
      <c r="H943" s="19">
        <v>-3.11262825220121E-4</v>
      </c>
    </row>
    <row r="944" spans="8:8" ht="15" customHeight="1" x14ac:dyDescent="0.2">
      <c r="H944" s="19">
        <v>-5.5242786962452902E-3</v>
      </c>
    </row>
    <row r="945" spans="8:8" ht="15" customHeight="1" x14ac:dyDescent="0.2">
      <c r="H945" s="19">
        <v>1.1347837835501799E-2</v>
      </c>
    </row>
    <row r="946" spans="8:8" ht="15" customHeight="1" x14ac:dyDescent="0.2">
      <c r="H946" s="19">
        <v>2.2312570243789801E-2</v>
      </c>
    </row>
    <row r="947" spans="8:8" ht="15" customHeight="1" x14ac:dyDescent="0.2">
      <c r="H947" s="19">
        <v>3.2230897055154301E-3</v>
      </c>
    </row>
    <row r="948" spans="8:8" ht="15" customHeight="1" x14ac:dyDescent="0.2">
      <c r="H948" s="19">
        <v>-3.15527801061289E-3</v>
      </c>
    </row>
    <row r="949" spans="8:8" ht="15" customHeight="1" x14ac:dyDescent="0.2">
      <c r="H949" s="19">
        <v>-4.9065487639297599E-3</v>
      </c>
    </row>
    <row r="950" spans="8:8" ht="15" customHeight="1" x14ac:dyDescent="0.2">
      <c r="H950" s="19">
        <v>-1.4675233128291099E-3</v>
      </c>
    </row>
    <row r="951" spans="8:8" ht="15" customHeight="1" x14ac:dyDescent="0.2">
      <c r="H951" s="19">
        <v>2.1105853374282601E-3</v>
      </c>
    </row>
    <row r="952" spans="8:8" ht="15" customHeight="1" x14ac:dyDescent="0.2">
      <c r="H952" s="19">
        <v>1.8333406072665599E-2</v>
      </c>
    </row>
    <row r="953" spans="8:8" ht="15" customHeight="1" x14ac:dyDescent="0.2">
      <c r="H953" s="19">
        <v>6.9265487064202203E-3</v>
      </c>
    </row>
    <row r="954" spans="8:8" ht="15" customHeight="1" x14ac:dyDescent="0.2">
      <c r="H954" s="19">
        <v>-6.4335637542758898E-3</v>
      </c>
    </row>
    <row r="955" spans="8:8" ht="15" customHeight="1" x14ac:dyDescent="0.2">
      <c r="H955" s="19">
        <v>8.8199505988066293E-3</v>
      </c>
    </row>
    <row r="956" spans="8:8" ht="15" customHeight="1" x14ac:dyDescent="0.2">
      <c r="H956" s="19">
        <v>4.3164764326384698E-3</v>
      </c>
    </row>
    <row r="957" spans="8:8" ht="15" customHeight="1" x14ac:dyDescent="0.2">
      <c r="H957" s="19">
        <v>3.6959770842333599E-3</v>
      </c>
    </row>
    <row r="958" spans="8:8" ht="15" customHeight="1" x14ac:dyDescent="0.2">
      <c r="H958" s="19">
        <v>5.2759121956672097E-3</v>
      </c>
    </row>
    <row r="959" spans="8:8" ht="15" customHeight="1" x14ac:dyDescent="0.2">
      <c r="H959" s="19">
        <v>-1.16358384885362E-2</v>
      </c>
    </row>
    <row r="960" spans="8:8" ht="15" customHeight="1" x14ac:dyDescent="0.2">
      <c r="H960" s="19">
        <v>-5.1016513625866096E-3</v>
      </c>
    </row>
    <row r="961" spans="8:8" ht="15" customHeight="1" x14ac:dyDescent="0.2">
      <c r="H961" s="19">
        <v>-1.113612960911E-2</v>
      </c>
    </row>
    <row r="962" spans="8:8" ht="15" customHeight="1" x14ac:dyDescent="0.2">
      <c r="H962" s="19">
        <v>6.4919300105112602E-3</v>
      </c>
    </row>
    <row r="963" spans="8:8" ht="15" customHeight="1" x14ac:dyDescent="0.2">
      <c r="H963" s="19">
        <v>-1.7602093469296799E-2</v>
      </c>
    </row>
    <row r="964" spans="8:8" ht="15" customHeight="1" x14ac:dyDescent="0.2">
      <c r="H964" s="19">
        <v>5.8660400773698001E-3</v>
      </c>
    </row>
    <row r="965" spans="8:8" ht="15" customHeight="1" x14ac:dyDescent="0.2">
      <c r="H965" s="19">
        <v>-8.7374275645551395E-3</v>
      </c>
    </row>
    <row r="966" spans="8:8" ht="15" customHeight="1" x14ac:dyDescent="0.2">
      <c r="H966" s="19">
        <v>1.2738155820470101E-2</v>
      </c>
    </row>
    <row r="967" spans="8:8" ht="15" customHeight="1" x14ac:dyDescent="0.2">
      <c r="H967" s="19">
        <v>6.4682348291970702E-3</v>
      </c>
    </row>
    <row r="968" spans="8:8" ht="15" customHeight="1" x14ac:dyDescent="0.2">
      <c r="H968" s="19">
        <v>5.9059398103434996E-3</v>
      </c>
    </row>
    <row r="969" spans="8:8" ht="15" customHeight="1" x14ac:dyDescent="0.2">
      <c r="H969" s="19">
        <v>-1.78092732447032E-3</v>
      </c>
    </row>
    <row r="970" spans="8:8" ht="15" customHeight="1" x14ac:dyDescent="0.2">
      <c r="H970" s="19">
        <v>1.5235736440639899E-2</v>
      </c>
    </row>
    <row r="971" spans="8:8" ht="15" customHeight="1" x14ac:dyDescent="0.2">
      <c r="H971" s="19">
        <v>-7.5737289637652196E-3</v>
      </c>
    </row>
    <row r="972" spans="8:8" ht="15" customHeight="1" x14ac:dyDescent="0.2">
      <c r="H972" s="19">
        <v>-1.3169776824827699E-3</v>
      </c>
    </row>
    <row r="973" spans="8:8" ht="15" customHeight="1" x14ac:dyDescent="0.2">
      <c r="H973" s="19">
        <v>1.8290636477400299E-3</v>
      </c>
    </row>
    <row r="974" spans="8:8" ht="15" customHeight="1" x14ac:dyDescent="0.2">
      <c r="H974" s="19">
        <v>-3.2637832640609898E-3</v>
      </c>
    </row>
    <row r="975" spans="8:8" ht="15" customHeight="1" x14ac:dyDescent="0.2">
      <c r="H975" s="19">
        <v>1.30768022721041E-2</v>
      </c>
    </row>
    <row r="976" spans="8:8" ht="15" customHeight="1" x14ac:dyDescent="0.2">
      <c r="H976" s="19">
        <v>-1.44228772348501E-2</v>
      </c>
    </row>
    <row r="977" spans="8:8" ht="15" customHeight="1" x14ac:dyDescent="0.2">
      <c r="H977" s="19">
        <v>4.1071427923080302E-3</v>
      </c>
    </row>
    <row r="978" spans="8:8" ht="15" customHeight="1" x14ac:dyDescent="0.2">
      <c r="H978" s="19">
        <v>-1.55250637185809E-2</v>
      </c>
    </row>
    <row r="979" spans="8:8" ht="15" customHeight="1" x14ac:dyDescent="0.2">
      <c r="H979" s="19">
        <v>-1.87519187966376E-3</v>
      </c>
    </row>
    <row r="980" spans="8:8" ht="15" customHeight="1" x14ac:dyDescent="0.2">
      <c r="H980" s="19">
        <v>-5.6000633580224699E-3</v>
      </c>
    </row>
    <row r="981" spans="8:8" ht="15" customHeight="1" x14ac:dyDescent="0.2">
      <c r="H981" s="19">
        <v>-8.7055368104118703E-4</v>
      </c>
    </row>
    <row r="982" spans="8:8" ht="15" customHeight="1" x14ac:dyDescent="0.2">
      <c r="H982" s="19">
        <v>-1.75517701847859E-2</v>
      </c>
    </row>
    <row r="983" spans="8:8" ht="15" customHeight="1" x14ac:dyDescent="0.2">
      <c r="H983" s="19">
        <v>2.98154083661549E-3</v>
      </c>
    </row>
    <row r="984" spans="8:8" ht="15" customHeight="1" x14ac:dyDescent="0.2">
      <c r="H984" s="19">
        <v>1.0975657805641499E-2</v>
      </c>
    </row>
    <row r="985" spans="8:8" ht="15" customHeight="1" x14ac:dyDescent="0.2">
      <c r="H985" s="19">
        <v>-9.4761023647062896E-3</v>
      </c>
    </row>
    <row r="986" spans="8:8" ht="15" customHeight="1" x14ac:dyDescent="0.2">
      <c r="H986" s="19">
        <v>-8.0039445224164597E-3</v>
      </c>
    </row>
    <row r="987" spans="8:8" ht="15" customHeight="1" x14ac:dyDescent="0.2">
      <c r="H987" s="19">
        <v>-6.1500399550445404E-3</v>
      </c>
    </row>
    <row r="988" spans="8:8" ht="15" customHeight="1" x14ac:dyDescent="0.2">
      <c r="H988" s="19">
        <v>1.8575174645404E-3</v>
      </c>
    </row>
    <row r="989" spans="8:8" ht="15" customHeight="1" x14ac:dyDescent="0.2">
      <c r="H989" s="19">
        <v>5.3073171159143404E-3</v>
      </c>
    </row>
    <row r="990" spans="8:8" ht="15" customHeight="1" x14ac:dyDescent="0.2">
      <c r="H990" s="19">
        <v>-2.0864444644258399E-2</v>
      </c>
    </row>
    <row r="991" spans="8:8" ht="15" customHeight="1" x14ac:dyDescent="0.2">
      <c r="H991" s="19">
        <v>9.3595220160158296E-4</v>
      </c>
    </row>
    <row r="992" spans="8:8" ht="15" customHeight="1" x14ac:dyDescent="0.2">
      <c r="H992" s="19">
        <v>3.13750737603E-3</v>
      </c>
    </row>
    <row r="993" spans="8:8" ht="15" customHeight="1" x14ac:dyDescent="0.2">
      <c r="H993" s="19">
        <v>4.3921965299034598E-3</v>
      </c>
    </row>
    <row r="994" spans="8:8" ht="15" customHeight="1" x14ac:dyDescent="0.2">
      <c r="H994" s="19">
        <v>-2.1296989825228398E-2</v>
      </c>
    </row>
    <row r="995" spans="8:8" ht="15" customHeight="1" x14ac:dyDescent="0.2">
      <c r="H995" s="19">
        <v>-3.21873374800948E-3</v>
      </c>
    </row>
    <row r="996" spans="8:8" ht="15" customHeight="1" x14ac:dyDescent="0.2">
      <c r="H996" s="19">
        <v>-8.4702947125944901E-3</v>
      </c>
    </row>
    <row r="997" spans="8:8" ht="15" customHeight="1" x14ac:dyDescent="0.2">
      <c r="H997" s="19">
        <v>-1.9329592701946199E-2</v>
      </c>
    </row>
    <row r="998" spans="8:8" ht="15" customHeight="1" x14ac:dyDescent="0.2">
      <c r="H998" s="19">
        <v>2.35653381871241E-3</v>
      </c>
    </row>
    <row r="999" spans="8:8" ht="15" customHeight="1" x14ac:dyDescent="0.2">
      <c r="H999" s="19">
        <v>-1.4235780859813901E-2</v>
      </c>
    </row>
    <row r="1000" spans="8:8" ht="15" customHeight="1" x14ac:dyDescent="0.2">
      <c r="H1000" s="19">
        <v>1.9094384040426599E-2</v>
      </c>
    </row>
    <row r="1001" spans="8:8" ht="15" customHeight="1" x14ac:dyDescent="0.2">
      <c r="H1001" s="19">
        <v>1.91988700998483E-2</v>
      </c>
    </row>
    <row r="1002" spans="8:8" ht="15" customHeight="1" x14ac:dyDescent="0.2">
      <c r="H1002" s="19">
        <v>8.7547634730044295E-3</v>
      </c>
    </row>
    <row r="1003" spans="8:8" ht="15" customHeight="1" x14ac:dyDescent="0.2">
      <c r="H1003" s="19">
        <v>1.4160176086152301E-2</v>
      </c>
    </row>
    <row r="1004" spans="8:8" ht="15" customHeight="1" x14ac:dyDescent="0.2">
      <c r="H1004" s="19">
        <v>3.0779879891693002E-3</v>
      </c>
    </row>
    <row r="1005" spans="8:8" ht="15" customHeight="1" x14ac:dyDescent="0.2">
      <c r="H1005" s="19">
        <v>9.0904106316325207E-3</v>
      </c>
    </row>
    <row r="1006" spans="8:8" ht="15" customHeight="1" x14ac:dyDescent="0.2">
      <c r="H1006" s="19">
        <v>3.8085807852688198E-3</v>
      </c>
    </row>
    <row r="1007" spans="8:8" ht="15" customHeight="1" x14ac:dyDescent="0.2">
      <c r="H1007" s="19">
        <v>-1.44544350681512E-2</v>
      </c>
    </row>
    <row r="1008" spans="8:8" ht="15" customHeight="1" x14ac:dyDescent="0.2">
      <c r="H1008" s="19">
        <v>8.1935288730856908E-3</v>
      </c>
    </row>
    <row r="1009" spans="8:8" ht="15" customHeight="1" x14ac:dyDescent="0.2">
      <c r="H1009" s="19">
        <v>-1.7554420282470201E-2</v>
      </c>
    </row>
    <row r="1010" spans="8:8" ht="15" customHeight="1" x14ac:dyDescent="0.2">
      <c r="H1010" s="19">
        <v>1.8883476692463201E-2</v>
      </c>
    </row>
    <row r="1011" spans="8:8" ht="15" customHeight="1" x14ac:dyDescent="0.2">
      <c r="H1011" s="19">
        <v>-4.0279964494055699E-3</v>
      </c>
    </row>
    <row r="1012" spans="8:8" ht="15" customHeight="1" x14ac:dyDescent="0.2">
      <c r="H1012" s="19">
        <v>-1.5940566366311399E-3</v>
      </c>
    </row>
    <row r="1013" spans="8:8" ht="15" customHeight="1" x14ac:dyDescent="0.2">
      <c r="H1013" s="19">
        <v>-6.9453602210388004E-3</v>
      </c>
    </row>
    <row r="1014" spans="8:8" ht="15" customHeight="1" x14ac:dyDescent="0.2">
      <c r="H1014" s="19">
        <v>1.29648470918443E-3</v>
      </c>
    </row>
    <row r="1015" spans="8:8" ht="15" customHeight="1" x14ac:dyDescent="0.2">
      <c r="H1015" s="19">
        <v>-3.2370854661123499E-3</v>
      </c>
    </row>
    <row r="1016" spans="8:8" ht="15" customHeight="1" x14ac:dyDescent="0.2">
      <c r="H1016" s="19">
        <v>-1.51588308210028E-2</v>
      </c>
    </row>
    <row r="1017" spans="8:8" ht="15" customHeight="1" x14ac:dyDescent="0.2">
      <c r="H1017" s="19">
        <v>-6.15954531491933E-3</v>
      </c>
    </row>
    <row r="1018" spans="8:8" ht="15" customHeight="1" x14ac:dyDescent="0.2">
      <c r="H1018" s="19">
        <v>1.11277680931469E-2</v>
      </c>
    </row>
    <row r="1019" spans="8:8" ht="15" customHeight="1" x14ac:dyDescent="0.2">
      <c r="H1019" s="19">
        <v>8.3627778083396002E-3</v>
      </c>
    </row>
    <row r="1020" spans="8:8" ht="15" customHeight="1" x14ac:dyDescent="0.2">
      <c r="H1020" s="19">
        <v>1.56138181571877E-2</v>
      </c>
    </row>
    <row r="1021" spans="8:8" ht="15" customHeight="1" x14ac:dyDescent="0.2">
      <c r="H1021" s="19">
        <v>8.7903040714401894E-3</v>
      </c>
    </row>
    <row r="1022" spans="8:8" ht="15" customHeight="1" x14ac:dyDescent="0.2">
      <c r="H1022" s="19">
        <v>-6.0029766260000696E-3</v>
      </c>
    </row>
    <row r="1023" spans="8:8" ht="15" customHeight="1" x14ac:dyDescent="0.2">
      <c r="H1023" s="19">
        <v>-1.1987516707389999E-2</v>
      </c>
    </row>
    <row r="1024" spans="8:8" ht="15" customHeight="1" x14ac:dyDescent="0.2">
      <c r="H1024" s="19">
        <v>-7.7376302023568896E-3</v>
      </c>
    </row>
    <row r="1025" spans="8:8" ht="15" customHeight="1" x14ac:dyDescent="0.2">
      <c r="H1025" s="19">
        <v>-4.62047608749861E-4</v>
      </c>
    </row>
    <row r="1026" spans="8:8" ht="15" customHeight="1" x14ac:dyDescent="0.2">
      <c r="H1026" s="19">
        <v>-3.5472647393618799E-3</v>
      </c>
    </row>
    <row r="1027" spans="8:8" ht="15" customHeight="1" x14ac:dyDescent="0.2">
      <c r="H1027" s="19">
        <v>1.53261045621127E-2</v>
      </c>
    </row>
    <row r="1028" spans="8:8" ht="15" customHeight="1" x14ac:dyDescent="0.2">
      <c r="H1028" s="19">
        <v>1.23922094856476E-3</v>
      </c>
    </row>
    <row r="1029" spans="8:8" ht="15" customHeight="1" x14ac:dyDescent="0.2">
      <c r="H1029" s="19">
        <v>4.92230905803016E-4</v>
      </c>
    </row>
    <row r="1030" spans="8:8" ht="15" customHeight="1" x14ac:dyDescent="0.2">
      <c r="H1030" s="19">
        <v>-1.21339672124903E-2</v>
      </c>
    </row>
    <row r="1031" spans="8:8" ht="15" customHeight="1" x14ac:dyDescent="0.2">
      <c r="H1031" s="19">
        <v>7.2096872260699503E-3</v>
      </c>
    </row>
    <row r="1032" spans="8:8" ht="15" customHeight="1" x14ac:dyDescent="0.2">
      <c r="H1032" s="19">
        <v>5.65273755346351E-3</v>
      </c>
    </row>
    <row r="1033" spans="8:8" ht="15" customHeight="1" x14ac:dyDescent="0.2">
      <c r="H1033" s="19">
        <v>1.58635399007022E-3</v>
      </c>
    </row>
    <row r="1034" spans="8:8" ht="15" customHeight="1" x14ac:dyDescent="0.2">
      <c r="H1034" s="19">
        <v>3.72795211782783E-3</v>
      </c>
    </row>
    <row r="1035" spans="8:8" ht="15" customHeight="1" x14ac:dyDescent="0.2">
      <c r="H1035" s="19">
        <v>-1.2469289219087101E-2</v>
      </c>
    </row>
    <row r="1036" spans="8:8" ht="15" customHeight="1" x14ac:dyDescent="0.2">
      <c r="H1036" s="19">
        <v>-6.0071358179896903E-4</v>
      </c>
    </row>
    <row r="1037" spans="8:8" ht="15" customHeight="1" x14ac:dyDescent="0.2">
      <c r="H1037" s="19">
        <v>-9.3319322278767203E-3</v>
      </c>
    </row>
    <row r="1038" spans="8:8" ht="15" customHeight="1" x14ac:dyDescent="0.2">
      <c r="H1038" s="19">
        <v>2.03615868953749E-2</v>
      </c>
    </row>
    <row r="1039" spans="8:8" ht="15" customHeight="1" x14ac:dyDescent="0.2">
      <c r="H1039" s="19">
        <v>5.1595250011818002E-3</v>
      </c>
    </row>
    <row r="1040" spans="8:8" ht="15" customHeight="1" x14ac:dyDescent="0.2">
      <c r="H1040" s="19">
        <v>4.2567398312666499E-4</v>
      </c>
    </row>
    <row r="1041" spans="8:8" ht="15" customHeight="1" x14ac:dyDescent="0.2">
      <c r="H1041" s="19">
        <v>-2.6801512451752199E-3</v>
      </c>
    </row>
    <row r="1042" spans="8:8" ht="15" customHeight="1" x14ac:dyDescent="0.2">
      <c r="H1042" s="19">
        <v>-1.11225822631415E-3</v>
      </c>
    </row>
    <row r="1043" spans="8:8" ht="15" customHeight="1" x14ac:dyDescent="0.2">
      <c r="H1043" s="19">
        <v>2.8758458729428601E-3</v>
      </c>
    </row>
    <row r="1044" spans="8:8" ht="15" customHeight="1" x14ac:dyDescent="0.2">
      <c r="H1044" s="19">
        <v>-5.6756871982443797E-3</v>
      </c>
    </row>
    <row r="1045" spans="8:8" ht="15" customHeight="1" x14ac:dyDescent="0.2">
      <c r="H1045" s="19">
        <v>7.5736473385472998E-3</v>
      </c>
    </row>
    <row r="1046" spans="8:8" ht="15" customHeight="1" x14ac:dyDescent="0.2">
      <c r="H1046" s="19">
        <v>-1.93760368941939E-3</v>
      </c>
    </row>
    <row r="1047" spans="8:8" ht="15" customHeight="1" x14ac:dyDescent="0.2">
      <c r="H1047" s="19">
        <v>-3.3489331131349398E-4</v>
      </c>
    </row>
    <row r="1048" spans="8:8" ht="15" customHeight="1" x14ac:dyDescent="0.2">
      <c r="H1048" s="19">
        <v>1.69424157213482E-3</v>
      </c>
    </row>
    <row r="1049" spans="8:8" ht="15" customHeight="1" x14ac:dyDescent="0.2">
      <c r="H1049" s="19">
        <v>4.2408220001238402E-3</v>
      </c>
    </row>
    <row r="1050" spans="8:8" ht="15" customHeight="1" x14ac:dyDescent="0.2">
      <c r="H1050" s="19">
        <v>-3.8020737856485501E-3</v>
      </c>
    </row>
    <row r="1051" spans="8:8" ht="15" customHeight="1" x14ac:dyDescent="0.2">
      <c r="H1051" s="19">
        <v>-3.1213070276137601E-3</v>
      </c>
    </row>
    <row r="1052" spans="8:8" ht="15" customHeight="1" x14ac:dyDescent="0.2">
      <c r="H1052" s="19">
        <v>1.3363596362792501E-3</v>
      </c>
    </row>
    <row r="1053" spans="8:8" ht="15" customHeight="1" x14ac:dyDescent="0.2">
      <c r="H1053" s="19">
        <v>-5.0861140657569798E-4</v>
      </c>
    </row>
    <row r="1054" spans="8:8" ht="15" customHeight="1" x14ac:dyDescent="0.2">
      <c r="H1054" s="19">
        <v>1.1147817528998599E-2</v>
      </c>
    </row>
    <row r="1055" spans="8:8" ht="15" customHeight="1" x14ac:dyDescent="0.2">
      <c r="H1055" s="19">
        <v>-2.4901934684421799E-3</v>
      </c>
    </row>
    <row r="1056" spans="8:8" ht="15" customHeight="1" x14ac:dyDescent="0.2">
      <c r="H1056" s="19">
        <v>-1.6612775977813299E-2</v>
      </c>
    </row>
    <row r="1057" spans="8:8" ht="15" customHeight="1" x14ac:dyDescent="0.2">
      <c r="H1057" s="19">
        <v>2.12328115872168E-2</v>
      </c>
    </row>
    <row r="1058" spans="8:8" ht="15" customHeight="1" x14ac:dyDescent="0.2">
      <c r="H1058" s="19">
        <v>1.04921542466084E-2</v>
      </c>
    </row>
    <row r="1059" spans="8:8" ht="15" customHeight="1" x14ac:dyDescent="0.2">
      <c r="H1059" s="19">
        <v>-1.9299761109361601E-4</v>
      </c>
    </row>
    <row r="1060" spans="8:8" ht="15" customHeight="1" x14ac:dyDescent="0.2">
      <c r="H1060" s="19">
        <v>6.0698997826364497E-3</v>
      </c>
    </row>
    <row r="1061" spans="8:8" ht="15" customHeight="1" x14ac:dyDescent="0.2">
      <c r="H1061" s="19">
        <v>-1.34626252238461E-2</v>
      </c>
    </row>
    <row r="1062" spans="8:8" ht="15" customHeight="1" x14ac:dyDescent="0.2">
      <c r="H1062" s="19">
        <v>1.6376153347634901E-2</v>
      </c>
    </row>
    <row r="1063" spans="8:8" ht="15" customHeight="1" x14ac:dyDescent="0.2">
      <c r="H1063" s="19">
        <v>4.4208574490046601E-3</v>
      </c>
    </row>
    <row r="1064" spans="8:8" ht="15" customHeight="1" x14ac:dyDescent="0.2">
      <c r="H1064" s="19">
        <v>-4.9025663833856103E-3</v>
      </c>
    </row>
    <row r="1065" spans="8:8" ht="15" customHeight="1" x14ac:dyDescent="0.2">
      <c r="H1065" s="19">
        <v>1.19935424693068E-3</v>
      </c>
    </row>
    <row r="1066" spans="8:8" ht="15" customHeight="1" x14ac:dyDescent="0.2">
      <c r="H1066" s="19">
        <v>4.7656321382331798E-3</v>
      </c>
    </row>
    <row r="1067" spans="8:8" ht="15" customHeight="1" x14ac:dyDescent="0.2">
      <c r="H1067" s="19">
        <v>-8.9513280297081593E-3</v>
      </c>
    </row>
    <row r="1068" spans="8:8" ht="15" customHeight="1" x14ac:dyDescent="0.2">
      <c r="H1068" s="19">
        <v>-1.0404101780393E-3</v>
      </c>
    </row>
    <row r="1069" spans="8:8" ht="15" customHeight="1" x14ac:dyDescent="0.2">
      <c r="H1069" s="19">
        <v>8.7333610910918999E-3</v>
      </c>
    </row>
    <row r="1070" spans="8:8" ht="15" customHeight="1" x14ac:dyDescent="0.2">
      <c r="H1070" s="19">
        <v>1.7506336141996499E-2</v>
      </c>
    </row>
    <row r="1071" spans="8:8" ht="15" customHeight="1" x14ac:dyDescent="0.2">
      <c r="H1071" s="19">
        <v>8.4971657065615394E-3</v>
      </c>
    </row>
    <row r="1072" spans="8:8" ht="15" customHeight="1" x14ac:dyDescent="0.2">
      <c r="H1072" s="19">
        <v>-1.6269557564917402E-2</v>
      </c>
    </row>
    <row r="1073" spans="8:8" ht="15" customHeight="1" x14ac:dyDescent="0.2">
      <c r="H1073" s="19">
        <v>7.7694483345493301E-3</v>
      </c>
    </row>
    <row r="1074" spans="8:8" ht="15" customHeight="1" x14ac:dyDescent="0.2">
      <c r="H1074" s="19">
        <v>-1.5604267612787799E-2</v>
      </c>
    </row>
    <row r="1075" spans="8:8" ht="15" customHeight="1" x14ac:dyDescent="0.2">
      <c r="H1075" s="19">
        <v>1.31739187771195E-2</v>
      </c>
    </row>
    <row r="1076" spans="8:8" ht="15" customHeight="1" x14ac:dyDescent="0.2">
      <c r="H1076" s="19">
        <v>1.06819083283841E-2</v>
      </c>
    </row>
    <row r="1077" spans="8:8" ht="15" customHeight="1" x14ac:dyDescent="0.2">
      <c r="H1077" s="19">
        <v>8.74925398620972E-3</v>
      </c>
    </row>
    <row r="1078" spans="8:8" ht="15" customHeight="1" x14ac:dyDescent="0.2">
      <c r="H1078" s="19">
        <v>1.72178572492615E-2</v>
      </c>
    </row>
    <row r="1079" spans="8:8" ht="15" customHeight="1" x14ac:dyDescent="0.2">
      <c r="H1079" s="19">
        <v>2.7740953409290101E-3</v>
      </c>
    </row>
    <row r="1080" spans="8:8" ht="15" customHeight="1" x14ac:dyDescent="0.2">
      <c r="H1080" s="19">
        <v>-4.2939089379663599E-3</v>
      </c>
    </row>
    <row r="1081" spans="8:8" ht="15" customHeight="1" x14ac:dyDescent="0.2">
      <c r="H1081" s="19">
        <v>8.1276923253792693E-3</v>
      </c>
    </row>
    <row r="1082" spans="8:8" ht="15" customHeight="1" x14ac:dyDescent="0.2">
      <c r="H1082" s="19">
        <v>-5.7350484933326698E-4</v>
      </c>
    </row>
    <row r="1083" spans="8:8" ht="15" customHeight="1" x14ac:dyDescent="0.2">
      <c r="H1083" s="19">
        <v>6.0509339236955104E-3</v>
      </c>
    </row>
    <row r="1084" spans="8:8" ht="15" customHeight="1" x14ac:dyDescent="0.2">
      <c r="H1084" s="19">
        <v>-1.5445413791834299E-2</v>
      </c>
    </row>
    <row r="1085" spans="8:8" ht="15" customHeight="1" x14ac:dyDescent="0.2">
      <c r="H1085" s="19">
        <v>-7.6675217982483503E-3</v>
      </c>
    </row>
    <row r="1086" spans="8:8" ht="15" customHeight="1" x14ac:dyDescent="0.2">
      <c r="H1086" s="19">
        <v>1.66200441705989E-2</v>
      </c>
    </row>
    <row r="1087" spans="8:8" ht="15" customHeight="1" x14ac:dyDescent="0.2">
      <c r="H1087" s="19">
        <v>-1.01973800168088E-2</v>
      </c>
    </row>
    <row r="1088" spans="8:8" ht="15" customHeight="1" x14ac:dyDescent="0.2">
      <c r="H1088" s="19">
        <v>6.0338557025142198E-3</v>
      </c>
    </row>
    <row r="1089" spans="8:8" ht="15" customHeight="1" x14ac:dyDescent="0.2">
      <c r="H1089" s="19">
        <v>1.246681201352E-2</v>
      </c>
    </row>
    <row r="1090" spans="8:8" ht="15" customHeight="1" x14ac:dyDescent="0.2">
      <c r="H1090" s="19">
        <v>6.5579203797235201E-3</v>
      </c>
    </row>
    <row r="1091" spans="8:8" ht="15" customHeight="1" x14ac:dyDescent="0.2">
      <c r="H1091" s="19">
        <v>-1.1966159585356201E-3</v>
      </c>
    </row>
    <row r="1092" spans="8:8" ht="15" customHeight="1" x14ac:dyDescent="0.2">
      <c r="H1092" s="19">
        <v>-3.1851533366936E-4</v>
      </c>
    </row>
    <row r="1093" spans="8:8" ht="15" customHeight="1" x14ac:dyDescent="0.2">
      <c r="H1093" s="19">
        <v>1.68388091920154E-3</v>
      </c>
    </row>
    <row r="1094" spans="8:8" ht="15" customHeight="1" x14ac:dyDescent="0.2">
      <c r="H1094" s="19">
        <v>7.6767388665550896E-3</v>
      </c>
    </row>
    <row r="1095" spans="8:8" ht="15" customHeight="1" x14ac:dyDescent="0.2">
      <c r="H1095" s="19">
        <v>9.6507516536702993E-3</v>
      </c>
    </row>
    <row r="1096" spans="8:8" ht="15" customHeight="1" x14ac:dyDescent="0.2">
      <c r="H1096" s="19">
        <v>1.73279278034657E-2</v>
      </c>
    </row>
    <row r="1097" spans="8:8" ht="15" customHeight="1" x14ac:dyDescent="0.2">
      <c r="H1097" s="19">
        <v>-6.9822410697766295E-4</v>
      </c>
    </row>
    <row r="1098" spans="8:8" ht="15" customHeight="1" x14ac:dyDescent="0.2">
      <c r="H1098" s="19">
        <v>7.2467511200158602E-3</v>
      </c>
    </row>
    <row r="1099" spans="8:8" ht="15" customHeight="1" x14ac:dyDescent="0.2">
      <c r="H1099" s="19">
        <v>-2.4312021029015301E-3</v>
      </c>
    </row>
    <row r="1100" spans="8:8" ht="15" customHeight="1" x14ac:dyDescent="0.2">
      <c r="H1100" s="19">
        <v>-2.5364620726954202E-3</v>
      </c>
    </row>
    <row r="1101" spans="8:8" ht="15" customHeight="1" x14ac:dyDescent="0.2">
      <c r="H1101" s="19">
        <v>1.04371312147427E-2</v>
      </c>
    </row>
    <row r="1102" spans="8:8" ht="15" customHeight="1" x14ac:dyDescent="0.2">
      <c r="H1102" s="19">
        <v>-5.6067251389792698E-3</v>
      </c>
    </row>
    <row r="1103" spans="8:8" ht="15" customHeight="1" x14ac:dyDescent="0.2">
      <c r="H1103" s="19">
        <v>-3.3118511870953499E-4</v>
      </c>
    </row>
    <row r="1104" spans="8:8" ht="15" customHeight="1" x14ac:dyDescent="0.2">
      <c r="H1104" s="19">
        <v>-5.9863004910995898E-3</v>
      </c>
    </row>
    <row r="1105" spans="8:8" ht="15" customHeight="1" x14ac:dyDescent="0.2">
      <c r="H1105" s="19">
        <v>1.6172082802903501E-2</v>
      </c>
    </row>
    <row r="1106" spans="8:8" ht="15" customHeight="1" x14ac:dyDescent="0.2">
      <c r="H1106" s="19">
        <v>2.1482245186016701E-3</v>
      </c>
    </row>
    <row r="1107" spans="8:8" ht="15" customHeight="1" x14ac:dyDescent="0.2">
      <c r="H1107" s="19">
        <v>-1.06103102833422E-2</v>
      </c>
    </row>
    <row r="1108" spans="8:8" ht="15" customHeight="1" x14ac:dyDescent="0.2">
      <c r="H1108" s="19">
        <v>1.09041736239748E-2</v>
      </c>
    </row>
    <row r="1109" spans="8:8" ht="15" customHeight="1" x14ac:dyDescent="0.2">
      <c r="H1109" s="19">
        <v>1.5585584233311399E-3</v>
      </c>
    </row>
    <row r="1110" spans="8:8" ht="15" customHeight="1" x14ac:dyDescent="0.2">
      <c r="H1110" s="19">
        <v>4.2680432764208201E-4</v>
      </c>
    </row>
    <row r="1111" spans="8:8" ht="15" customHeight="1" x14ac:dyDescent="0.2">
      <c r="H1111" s="19">
        <v>-9.3344056961260601E-3</v>
      </c>
    </row>
    <row r="1112" spans="8:8" ht="15" customHeight="1" x14ac:dyDescent="0.2">
      <c r="H1112" s="19">
        <v>1.2338950639576201E-2</v>
      </c>
    </row>
    <row r="1113" spans="8:8" ht="15" customHeight="1" x14ac:dyDescent="0.2">
      <c r="H1113" s="19">
        <v>2.11631636619539E-2</v>
      </c>
    </row>
    <row r="1114" spans="8:8" ht="15" customHeight="1" x14ac:dyDescent="0.2">
      <c r="H1114" s="19">
        <v>-7.1731868166531997E-3</v>
      </c>
    </row>
    <row r="1115" spans="8:8" ht="15" customHeight="1" x14ac:dyDescent="0.2">
      <c r="H1115" s="19">
        <v>-1.19993082507914E-2</v>
      </c>
    </row>
    <row r="1116" spans="8:8" ht="15" customHeight="1" x14ac:dyDescent="0.2">
      <c r="H1116" s="19">
        <v>1.6035732216913699E-2</v>
      </c>
    </row>
    <row r="1117" spans="8:8" ht="15" customHeight="1" x14ac:dyDescent="0.2">
      <c r="H1117" s="19">
        <v>-1.52759913622782E-2</v>
      </c>
    </row>
    <row r="1118" spans="8:8" ht="15" customHeight="1" x14ac:dyDescent="0.2">
      <c r="H1118" s="19">
        <v>7.9304140008697802E-3</v>
      </c>
    </row>
    <row r="1119" spans="8:8" ht="15" customHeight="1" x14ac:dyDescent="0.2">
      <c r="H1119" s="19">
        <v>-1.27967630964242E-3</v>
      </c>
    </row>
    <row r="1120" spans="8:8" ht="15" customHeight="1" x14ac:dyDescent="0.2">
      <c r="H1120" s="19">
        <v>-1.3460747175828999E-2</v>
      </c>
    </row>
    <row r="1121" spans="8:8" ht="15" customHeight="1" x14ac:dyDescent="0.2">
      <c r="H1121" s="19">
        <v>4.6845658503307103E-3</v>
      </c>
    </row>
    <row r="1122" spans="8:8" ht="15" customHeight="1" x14ac:dyDescent="0.2">
      <c r="H1122" s="19">
        <v>1.1935212497724799E-2</v>
      </c>
    </row>
    <row r="1123" spans="8:8" ht="15" customHeight="1" x14ac:dyDescent="0.2">
      <c r="H1123" s="19">
        <v>3.9198103791200896E-3</v>
      </c>
    </row>
    <row r="1124" spans="8:8" ht="15" customHeight="1" x14ac:dyDescent="0.2">
      <c r="H1124" s="19">
        <v>-8.4194284449018598E-3</v>
      </c>
    </row>
    <row r="1125" spans="8:8" ht="15" customHeight="1" x14ac:dyDescent="0.2">
      <c r="H1125" s="19">
        <v>6.8162489401871803E-3</v>
      </c>
    </row>
    <row r="1126" spans="8:8" ht="15" customHeight="1" x14ac:dyDescent="0.2">
      <c r="H1126" s="19">
        <v>7.1126025159328199E-3</v>
      </c>
    </row>
    <row r="1127" spans="8:8" ht="15" customHeight="1" x14ac:dyDescent="0.2">
      <c r="H1127" s="19">
        <v>1.41774327553552E-2</v>
      </c>
    </row>
    <row r="1128" spans="8:8" ht="15" customHeight="1" x14ac:dyDescent="0.2">
      <c r="H1128" s="19">
        <v>1.0523074943432501E-3</v>
      </c>
    </row>
    <row r="1129" spans="8:8" ht="15" customHeight="1" x14ac:dyDescent="0.2">
      <c r="H1129" s="19">
        <v>-4.02290987701943E-3</v>
      </c>
    </row>
    <row r="1130" spans="8:8" ht="15" customHeight="1" x14ac:dyDescent="0.2">
      <c r="H1130" s="19">
        <v>8.0105595083216005E-3</v>
      </c>
    </row>
    <row r="1131" spans="8:8" ht="15" customHeight="1" x14ac:dyDescent="0.2">
      <c r="H1131" s="19">
        <v>2.9567770931072899E-3</v>
      </c>
    </row>
    <row r="1132" spans="8:8" ht="15" customHeight="1" x14ac:dyDescent="0.2">
      <c r="H1132" s="19">
        <v>2.7808237871223499E-3</v>
      </c>
    </row>
    <row r="1133" spans="8:8" ht="15" customHeight="1" x14ac:dyDescent="0.2">
      <c r="H1133" s="19">
        <v>-1.1621726323133399E-2</v>
      </c>
    </row>
    <row r="1134" spans="8:8" ht="15" customHeight="1" x14ac:dyDescent="0.2">
      <c r="H1134" s="19">
        <v>2.4245926642984198E-3</v>
      </c>
    </row>
    <row r="1135" spans="8:8" ht="15" customHeight="1" x14ac:dyDescent="0.2">
      <c r="H1135" s="19">
        <v>-3.0471204627671999E-3</v>
      </c>
    </row>
    <row r="1136" spans="8:8" ht="15" customHeight="1" x14ac:dyDescent="0.2">
      <c r="H1136" s="19">
        <v>-3.66002331705297E-4</v>
      </c>
    </row>
    <row r="1137" spans="8:8" ht="15" customHeight="1" x14ac:dyDescent="0.2">
      <c r="H1137" s="19">
        <v>7.16598257544527E-3</v>
      </c>
    </row>
    <row r="1138" spans="8:8" ht="15" customHeight="1" x14ac:dyDescent="0.2">
      <c r="H1138" s="19">
        <v>-4.2442571277457302E-3</v>
      </c>
    </row>
    <row r="1139" spans="8:8" ht="15" customHeight="1" x14ac:dyDescent="0.2">
      <c r="H1139" s="19">
        <v>-3.8151001100212001E-3</v>
      </c>
    </row>
    <row r="1140" spans="8:8" ht="15" customHeight="1" x14ac:dyDescent="0.2">
      <c r="H1140" s="19">
        <v>-5.4345985287327803E-3</v>
      </c>
    </row>
    <row r="1141" spans="8:8" ht="15" customHeight="1" x14ac:dyDescent="0.2">
      <c r="H1141" s="19">
        <v>9.7497458232991205E-3</v>
      </c>
    </row>
    <row r="1142" spans="8:8" ht="15" customHeight="1" x14ac:dyDescent="0.2">
      <c r="H1142" s="19">
        <v>7.3858092633674096E-3</v>
      </c>
    </row>
    <row r="1143" spans="8:8" ht="15" customHeight="1" x14ac:dyDescent="0.2">
      <c r="H1143" s="19">
        <v>-6.7761891736233398E-3</v>
      </c>
    </row>
    <row r="1144" spans="8:8" ht="15" customHeight="1" x14ac:dyDescent="0.2">
      <c r="H1144" s="19">
        <v>-1.26291437741619E-2</v>
      </c>
    </row>
    <row r="1145" spans="8:8" ht="15" customHeight="1" x14ac:dyDescent="0.2">
      <c r="H1145" s="19">
        <v>-5.0750310546736196E-3</v>
      </c>
    </row>
    <row r="1146" spans="8:8" ht="15" customHeight="1" x14ac:dyDescent="0.2">
      <c r="H1146" s="19">
        <v>8.0452412184242802E-3</v>
      </c>
    </row>
    <row r="1147" spans="8:8" ht="15" customHeight="1" x14ac:dyDescent="0.2">
      <c r="H1147" s="19">
        <v>1.0897489159311E-3</v>
      </c>
    </row>
    <row r="1148" spans="8:8" ht="15" customHeight="1" x14ac:dyDescent="0.2">
      <c r="H1148" s="19">
        <v>-1.1639946700927801E-3</v>
      </c>
    </row>
    <row r="1149" spans="8:8" ht="15" customHeight="1" x14ac:dyDescent="0.2">
      <c r="H1149" s="19">
        <v>7.9165482309702696E-3</v>
      </c>
    </row>
    <row r="1150" spans="8:8" ht="15" customHeight="1" x14ac:dyDescent="0.2">
      <c r="H1150" s="19">
        <v>4.9941508531685895E-4</v>
      </c>
    </row>
    <row r="1151" spans="8:8" ht="15" customHeight="1" x14ac:dyDescent="0.2">
      <c r="H1151" s="19">
        <v>1.2989886354262601E-4</v>
      </c>
    </row>
    <row r="1152" spans="8:8" ht="15" customHeight="1" x14ac:dyDescent="0.2">
      <c r="H1152" s="19">
        <v>-7.5072520564914099E-4</v>
      </c>
    </row>
    <row r="1153" spans="8:8" ht="15" customHeight="1" x14ac:dyDescent="0.2">
      <c r="H1153" s="19">
        <v>1.1745952121503299E-2</v>
      </c>
    </row>
    <row r="1154" spans="8:8" ht="15" customHeight="1" x14ac:dyDescent="0.2">
      <c r="H1154" s="19">
        <v>-4.7069622593125804E-3</v>
      </c>
    </row>
    <row r="1155" spans="8:8" ht="15" customHeight="1" x14ac:dyDescent="0.2">
      <c r="H1155" s="19">
        <v>-1.1922535878902201E-2</v>
      </c>
    </row>
    <row r="1156" spans="8:8" ht="15" customHeight="1" x14ac:dyDescent="0.2">
      <c r="H1156" s="19">
        <v>-3.6329253261531101E-3</v>
      </c>
    </row>
    <row r="1157" spans="8:8" ht="15" customHeight="1" x14ac:dyDescent="0.2">
      <c r="H1157" s="19">
        <v>1.7982012812555201E-3</v>
      </c>
    </row>
    <row r="1158" spans="8:8" ht="15" customHeight="1" x14ac:dyDescent="0.2">
      <c r="H1158" s="19">
        <v>-5.3859494990131001E-3</v>
      </c>
    </row>
    <row r="1159" spans="8:8" ht="15" customHeight="1" x14ac:dyDescent="0.2">
      <c r="H1159" s="19">
        <v>-9.4625859645350707E-3</v>
      </c>
    </row>
    <row r="1160" spans="8:8" ht="15" customHeight="1" x14ac:dyDescent="0.2">
      <c r="H1160" s="19">
        <v>-5.4068170296684504E-3</v>
      </c>
    </row>
    <row r="1161" spans="8:8" ht="15" customHeight="1" x14ac:dyDescent="0.2">
      <c r="H1161" s="19">
        <v>-6.3626494724591104E-4</v>
      </c>
    </row>
    <row r="1162" spans="8:8" ht="15" customHeight="1" x14ac:dyDescent="0.2">
      <c r="H1162" s="19">
        <v>-6.7212633919747503E-3</v>
      </c>
    </row>
    <row r="1163" spans="8:8" ht="15" customHeight="1" x14ac:dyDescent="0.2">
      <c r="H1163" s="19">
        <v>-7.9201702658561E-3</v>
      </c>
    </row>
    <row r="1164" spans="8:8" ht="15" customHeight="1" x14ac:dyDescent="0.2">
      <c r="H1164" s="19">
        <v>1.6537016465098898E-2</v>
      </c>
    </row>
    <row r="1165" spans="8:8" ht="15" customHeight="1" x14ac:dyDescent="0.2">
      <c r="H1165" s="19">
        <v>-1.31056608241644E-3</v>
      </c>
    </row>
    <row r="1166" spans="8:8" ht="15" customHeight="1" x14ac:dyDescent="0.2">
      <c r="H1166" s="19">
        <v>5.1132683078622902E-3</v>
      </c>
    </row>
    <row r="1167" spans="8:8" ht="15" customHeight="1" x14ac:dyDescent="0.2">
      <c r="H1167" s="19">
        <v>-1.23040714197427E-2</v>
      </c>
    </row>
    <row r="1168" spans="8:8" ht="15" customHeight="1" x14ac:dyDescent="0.2">
      <c r="H1168" s="19">
        <v>-4.6861421311388896E-3</v>
      </c>
    </row>
    <row r="1169" spans="8:8" ht="15" customHeight="1" x14ac:dyDescent="0.2">
      <c r="H1169" s="19">
        <v>7.2336971798073598E-3</v>
      </c>
    </row>
    <row r="1170" spans="8:8" ht="15" customHeight="1" x14ac:dyDescent="0.2">
      <c r="H1170" s="19">
        <v>-2.6296028231408098E-3</v>
      </c>
    </row>
    <row r="1171" spans="8:8" ht="15" customHeight="1" x14ac:dyDescent="0.2">
      <c r="H1171" s="19">
        <v>-9.2518706533786903E-3</v>
      </c>
    </row>
    <row r="1172" spans="8:8" ht="15" customHeight="1" x14ac:dyDescent="0.2">
      <c r="H1172" s="19">
        <v>2.38016115827257E-3</v>
      </c>
    </row>
    <row r="1173" spans="8:8" ht="15" customHeight="1" x14ac:dyDescent="0.2">
      <c r="H1173" s="19">
        <v>9.0348165566601201E-3</v>
      </c>
    </row>
    <row r="1174" spans="8:8" ht="15" customHeight="1" x14ac:dyDescent="0.2">
      <c r="H1174" s="19">
        <v>1.5227900183088301E-2</v>
      </c>
    </row>
    <row r="1175" spans="8:8" ht="15" customHeight="1" x14ac:dyDescent="0.2">
      <c r="H1175" s="19">
        <v>-9.4923499167543796E-3</v>
      </c>
    </row>
    <row r="1176" spans="8:8" ht="15" customHeight="1" x14ac:dyDescent="0.2">
      <c r="H1176" s="19">
        <v>-7.4953177489766399E-3</v>
      </c>
    </row>
    <row r="1177" spans="8:8" ht="15" customHeight="1" x14ac:dyDescent="0.2">
      <c r="H1177" s="19">
        <v>1.26745347230374E-2</v>
      </c>
    </row>
    <row r="1178" spans="8:8" ht="15" customHeight="1" x14ac:dyDescent="0.2">
      <c r="H1178" s="19">
        <v>-6.0663304186994397E-3</v>
      </c>
    </row>
    <row r="1179" spans="8:8" ht="15" customHeight="1" x14ac:dyDescent="0.2">
      <c r="H1179" s="19">
        <v>-7.5626946541020104E-3</v>
      </c>
    </row>
    <row r="1180" spans="8:8" ht="15" customHeight="1" x14ac:dyDescent="0.2">
      <c r="H1180" s="19">
        <v>-4.2467593609289899E-3</v>
      </c>
    </row>
    <row r="1181" spans="8:8" ht="15" customHeight="1" x14ac:dyDescent="0.2">
      <c r="H1181" s="19">
        <v>-2.51611896452676E-2</v>
      </c>
    </row>
    <row r="1182" spans="8:8" ht="15" customHeight="1" x14ac:dyDescent="0.2">
      <c r="H1182" s="19">
        <v>-1.02296813762937E-2</v>
      </c>
    </row>
    <row r="1183" spans="8:8" ht="15" customHeight="1" x14ac:dyDescent="0.2">
      <c r="H1183" s="19">
        <v>8.2390996983286099E-3</v>
      </c>
    </row>
    <row r="1184" spans="8:8" ht="15" customHeight="1" x14ac:dyDescent="0.2">
      <c r="H1184" s="19">
        <v>-1.3316936774247201E-2</v>
      </c>
    </row>
    <row r="1185" spans="8:8" ht="15" customHeight="1" x14ac:dyDescent="0.2">
      <c r="H1185" s="19">
        <v>9.1964040002872095E-3</v>
      </c>
    </row>
    <row r="1186" spans="8:8" ht="15" customHeight="1" x14ac:dyDescent="0.2">
      <c r="H1186" s="19">
        <v>9.2890850280503805E-3</v>
      </c>
    </row>
    <row r="1187" spans="8:8" ht="15" customHeight="1" x14ac:dyDescent="0.2">
      <c r="H1187" s="19">
        <v>-5.3609081651701303E-3</v>
      </c>
    </row>
    <row r="1188" spans="8:8" ht="15" customHeight="1" x14ac:dyDescent="0.2">
      <c r="H1188" s="19">
        <v>-1.4302301369218499E-2</v>
      </c>
    </row>
    <row r="1189" spans="8:8" ht="15" customHeight="1" x14ac:dyDescent="0.2">
      <c r="H1189" s="19">
        <v>7.2451003794829199E-3</v>
      </c>
    </row>
    <row r="1190" spans="8:8" ht="15" customHeight="1" x14ac:dyDescent="0.2">
      <c r="H1190" s="19">
        <v>4.22908564669383E-3</v>
      </c>
    </row>
    <row r="1191" spans="8:8" ht="15" customHeight="1" x14ac:dyDescent="0.2">
      <c r="H1191" s="19">
        <v>1.23386350043988E-2</v>
      </c>
    </row>
    <row r="1192" spans="8:8" ht="15" customHeight="1" x14ac:dyDescent="0.2">
      <c r="H1192" s="19">
        <v>1.0283077768506401E-2</v>
      </c>
    </row>
    <row r="1193" spans="8:8" ht="15" customHeight="1" x14ac:dyDescent="0.2">
      <c r="H1193" s="19">
        <v>1.01964257500891E-2</v>
      </c>
    </row>
    <row r="1194" spans="8:8" ht="15" customHeight="1" x14ac:dyDescent="0.2">
      <c r="H1194" s="19">
        <v>-1.12995426249657E-2</v>
      </c>
    </row>
    <row r="1195" spans="8:8" ht="15" customHeight="1" x14ac:dyDescent="0.2">
      <c r="H1195" s="19">
        <v>-3.15485329820371E-3</v>
      </c>
    </row>
    <row r="1196" spans="8:8" ht="15" customHeight="1" x14ac:dyDescent="0.2">
      <c r="H1196" s="19">
        <v>-2.1261175459503499E-3</v>
      </c>
    </row>
    <row r="1197" spans="8:8" ht="15" customHeight="1" x14ac:dyDescent="0.2">
      <c r="H1197" s="19">
        <v>-1.5473276159692999E-3</v>
      </c>
    </row>
    <row r="1198" spans="8:8" ht="15" customHeight="1" x14ac:dyDescent="0.2">
      <c r="H1198" s="19">
        <v>-2.53890964885202E-2</v>
      </c>
    </row>
    <row r="1199" spans="8:8" ht="15" customHeight="1" x14ac:dyDescent="0.2">
      <c r="H1199" s="19">
        <v>2.0485669910314201E-2</v>
      </c>
    </row>
    <row r="1200" spans="8:8" ht="15" customHeight="1" x14ac:dyDescent="0.2">
      <c r="H1200" s="19">
        <v>6.5884651763689303E-4</v>
      </c>
    </row>
    <row r="1201" spans="8:8" ht="15" customHeight="1" x14ac:dyDescent="0.2">
      <c r="H1201" s="19">
        <v>2.6335507377586499E-3</v>
      </c>
    </row>
    <row r="1202" spans="8:8" ht="15" customHeight="1" x14ac:dyDescent="0.2">
      <c r="H1202" s="19">
        <v>-3.0462344802782699E-3</v>
      </c>
    </row>
    <row r="1203" spans="8:8" ht="15" customHeight="1" x14ac:dyDescent="0.2">
      <c r="H1203" s="19">
        <v>7.5480651774576897E-3</v>
      </c>
    </row>
    <row r="1204" spans="8:8" ht="15" customHeight="1" x14ac:dyDescent="0.2">
      <c r="H1204" s="19">
        <v>-1.31930319992518E-2</v>
      </c>
    </row>
    <row r="1205" spans="8:8" ht="15" customHeight="1" x14ac:dyDescent="0.2">
      <c r="H1205" s="19">
        <v>-4.1632590201813703E-3</v>
      </c>
    </row>
    <row r="1206" spans="8:8" ht="15" customHeight="1" x14ac:dyDescent="0.2">
      <c r="H1206" s="19">
        <v>-1.0470702726788799E-2</v>
      </c>
    </row>
    <row r="1207" spans="8:8" ht="15" customHeight="1" x14ac:dyDescent="0.2">
      <c r="H1207" s="19">
        <v>3.17296938443029E-3</v>
      </c>
    </row>
    <row r="1208" spans="8:8" ht="15" customHeight="1" x14ac:dyDescent="0.2">
      <c r="H1208" s="19">
        <v>7.0356923192283199E-4</v>
      </c>
    </row>
    <row r="1209" spans="8:8" ht="15" customHeight="1" x14ac:dyDescent="0.2">
      <c r="H1209" s="19">
        <v>-6.8907562575045199E-3</v>
      </c>
    </row>
    <row r="1210" spans="8:8" ht="15" customHeight="1" x14ac:dyDescent="0.2">
      <c r="H1210" s="19">
        <v>-4.6218246673638396E-3</v>
      </c>
    </row>
    <row r="1211" spans="8:8" ht="15" customHeight="1" x14ac:dyDescent="0.2">
      <c r="H1211" s="19">
        <v>5.14189210222864E-3</v>
      </c>
    </row>
    <row r="1212" spans="8:8" ht="15" customHeight="1" x14ac:dyDescent="0.2">
      <c r="H1212" s="19">
        <v>7.14688658764168E-3</v>
      </c>
    </row>
    <row r="1213" spans="8:8" ht="15" customHeight="1" x14ac:dyDescent="0.2">
      <c r="H1213" s="19">
        <v>-9.7712138813116599E-3</v>
      </c>
    </row>
    <row r="1214" spans="8:8" ht="15" customHeight="1" x14ac:dyDescent="0.2">
      <c r="H1214" s="19">
        <v>7.9132897940128004E-3</v>
      </c>
    </row>
    <row r="1215" spans="8:8" ht="15" customHeight="1" x14ac:dyDescent="0.2">
      <c r="H1215" s="19">
        <v>-5.1167924375145803E-3</v>
      </c>
    </row>
    <row r="1216" spans="8:8" ht="15" customHeight="1" x14ac:dyDescent="0.2">
      <c r="H1216" s="19">
        <v>-9.9999598477097298E-3</v>
      </c>
    </row>
    <row r="1217" spans="8:8" ht="15" customHeight="1" x14ac:dyDescent="0.2">
      <c r="H1217" s="19">
        <v>7.02587722234785E-3</v>
      </c>
    </row>
    <row r="1218" spans="8:8" ht="15" customHeight="1" x14ac:dyDescent="0.2">
      <c r="H1218" s="19">
        <v>4.9154202882638696E-3</v>
      </c>
    </row>
    <row r="1219" spans="8:8" ht="15" customHeight="1" x14ac:dyDescent="0.2">
      <c r="H1219" s="19">
        <v>-2.0716745812740102E-3</v>
      </c>
    </row>
    <row r="1220" spans="8:8" ht="15" customHeight="1" x14ac:dyDescent="0.2">
      <c r="H1220" s="19">
        <v>1.17761536818447E-2</v>
      </c>
    </row>
    <row r="1221" spans="8:8" ht="15" customHeight="1" x14ac:dyDescent="0.2">
      <c r="H1221" s="19">
        <v>1.2939849083391E-2</v>
      </c>
    </row>
    <row r="1222" spans="8:8" ht="15" customHeight="1" x14ac:dyDescent="0.2">
      <c r="H1222" s="19">
        <v>-1.10119153275707E-2</v>
      </c>
    </row>
    <row r="1223" spans="8:8" ht="15" customHeight="1" x14ac:dyDescent="0.2">
      <c r="H1223" s="19">
        <v>-3.0483481501031198E-3</v>
      </c>
    </row>
    <row r="1224" spans="8:8" ht="15" customHeight="1" x14ac:dyDescent="0.2">
      <c r="H1224" s="19">
        <v>-2.7538459724874699E-3</v>
      </c>
    </row>
    <row r="1225" spans="8:8" ht="15" customHeight="1" x14ac:dyDescent="0.2">
      <c r="H1225" s="19">
        <v>7.0721038609763802E-3</v>
      </c>
    </row>
    <row r="1226" spans="8:8" ht="15" customHeight="1" x14ac:dyDescent="0.2">
      <c r="H1226" s="19">
        <v>1.8410414046086201E-2</v>
      </c>
    </row>
    <row r="1227" spans="8:8" ht="15" customHeight="1" x14ac:dyDescent="0.2">
      <c r="H1227" s="19">
        <v>7.3334998023201403E-3</v>
      </c>
    </row>
    <row r="1228" spans="8:8" ht="15" customHeight="1" x14ac:dyDescent="0.2">
      <c r="H1228" s="19">
        <v>-7.6006047822593402E-3</v>
      </c>
    </row>
    <row r="1229" spans="8:8" ht="15" customHeight="1" x14ac:dyDescent="0.2">
      <c r="H1229" s="19">
        <v>8.3036808021549999E-4</v>
      </c>
    </row>
    <row r="1230" spans="8:8" ht="15" customHeight="1" x14ac:dyDescent="0.2">
      <c r="H1230" s="19">
        <v>-6.3357317959522597E-3</v>
      </c>
    </row>
    <row r="1231" spans="8:8" ht="15" customHeight="1" x14ac:dyDescent="0.2">
      <c r="H1231" s="19">
        <v>-9.3679929821609501E-3</v>
      </c>
    </row>
    <row r="1232" spans="8:8" ht="15" customHeight="1" x14ac:dyDescent="0.2">
      <c r="H1232" s="19">
        <v>-1.5801150394993101E-2</v>
      </c>
    </row>
    <row r="1233" spans="8:8" ht="15" customHeight="1" x14ac:dyDescent="0.2">
      <c r="H1233" s="19">
        <v>-2.0221056726536799E-3</v>
      </c>
    </row>
    <row r="1234" spans="8:8" ht="15" customHeight="1" x14ac:dyDescent="0.2">
      <c r="H1234" s="19">
        <v>1.10972889947718E-2</v>
      </c>
    </row>
    <row r="1235" spans="8:8" ht="15" customHeight="1" x14ac:dyDescent="0.2">
      <c r="H1235" s="19">
        <v>-1.58116756221264E-2</v>
      </c>
    </row>
    <row r="1236" spans="8:8" ht="15" customHeight="1" x14ac:dyDescent="0.2">
      <c r="H1236" s="19">
        <v>-3.7787510865983599E-3</v>
      </c>
    </row>
    <row r="1237" spans="8:8" ht="15" customHeight="1" x14ac:dyDescent="0.2">
      <c r="H1237" s="19">
        <v>-4.8314048246222404E-3</v>
      </c>
    </row>
    <row r="1238" spans="8:8" ht="15" customHeight="1" x14ac:dyDescent="0.2">
      <c r="H1238" s="19">
        <v>-1.7984678612130399E-2</v>
      </c>
    </row>
    <row r="1239" spans="8:8" ht="15" customHeight="1" x14ac:dyDescent="0.2">
      <c r="H1239" s="19">
        <v>3.27543712156337E-3</v>
      </c>
    </row>
    <row r="1240" spans="8:8" ht="15" customHeight="1" x14ac:dyDescent="0.2">
      <c r="H1240" s="19">
        <v>-9.8969024927179003E-3</v>
      </c>
    </row>
    <row r="1241" spans="8:8" ht="15" customHeight="1" x14ac:dyDescent="0.2">
      <c r="H1241" s="19">
        <v>7.1423268980140106E-5</v>
      </c>
    </row>
    <row r="1242" spans="8:8" ht="15" customHeight="1" x14ac:dyDescent="0.2">
      <c r="H1242" s="19">
        <v>6.0689629231324002E-3</v>
      </c>
    </row>
    <row r="1243" spans="8:8" ht="15" customHeight="1" x14ac:dyDescent="0.2">
      <c r="H1243" s="19">
        <v>8.3994199874134496E-3</v>
      </c>
    </row>
    <row r="1244" spans="8:8" ht="15" customHeight="1" x14ac:dyDescent="0.2">
      <c r="H1244" s="19">
        <v>-1.58439052639965E-3</v>
      </c>
    </row>
    <row r="1245" spans="8:8" ht="15" customHeight="1" x14ac:dyDescent="0.2">
      <c r="H1245" s="19">
        <v>1.5636888008194599E-2</v>
      </c>
    </row>
    <row r="1246" spans="8:8" ht="15" customHeight="1" x14ac:dyDescent="0.2">
      <c r="H1246" s="19">
        <v>-1.37416711862587E-2</v>
      </c>
    </row>
    <row r="1247" spans="8:8" ht="15" customHeight="1" x14ac:dyDescent="0.2">
      <c r="H1247" s="19">
        <v>9.28426942291238E-3</v>
      </c>
    </row>
    <row r="1248" spans="8:8" ht="15" customHeight="1" x14ac:dyDescent="0.2">
      <c r="H1248" s="19">
        <v>-8.3437538226543203E-3</v>
      </c>
    </row>
    <row r="1249" spans="8:8" ht="15" customHeight="1" x14ac:dyDescent="0.2">
      <c r="H1249" s="19">
        <v>-4.6751887667730099E-3</v>
      </c>
    </row>
    <row r="1250" spans="8:8" ht="15" customHeight="1" x14ac:dyDescent="0.2">
      <c r="H1250" s="19">
        <v>8.3904749596902604E-4</v>
      </c>
    </row>
    <row r="1251" spans="8:8" ht="15" customHeight="1" x14ac:dyDescent="0.2">
      <c r="H1251" s="19">
        <v>-1.44027969780264E-2</v>
      </c>
    </row>
    <row r="1252" spans="8:8" ht="15" customHeight="1" x14ac:dyDescent="0.2">
      <c r="H1252" s="19">
        <v>7.0500464557985499E-3</v>
      </c>
    </row>
    <row r="1253" spans="8:8" ht="15" customHeight="1" x14ac:dyDescent="0.2">
      <c r="H1253" s="19">
        <v>-4.1976021787561097E-3</v>
      </c>
    </row>
    <row r="1254" spans="8:8" ht="15" customHeight="1" x14ac:dyDescent="0.2">
      <c r="H1254" s="19">
        <v>6.4244371325710798E-3</v>
      </c>
    </row>
    <row r="1255" spans="8:8" ht="15" customHeight="1" x14ac:dyDescent="0.2">
      <c r="H1255" s="19">
        <v>7.1514896895900697E-4</v>
      </c>
    </row>
    <row r="1256" spans="8:8" ht="15" customHeight="1" x14ac:dyDescent="0.2">
      <c r="H1256" s="19">
        <v>1.53646203428103E-2</v>
      </c>
    </row>
    <row r="1257" spans="8:8" ht="15" customHeight="1" x14ac:dyDescent="0.2">
      <c r="H1257" s="19">
        <v>2.3689608823428501E-3</v>
      </c>
    </row>
    <row r="1258" spans="8:8" ht="15" customHeight="1" x14ac:dyDescent="0.2">
      <c r="H1258" s="19">
        <v>-1.7066462608378501E-2</v>
      </c>
    </row>
    <row r="1259" spans="8:8" ht="15" customHeight="1" x14ac:dyDescent="0.2">
      <c r="H1259" s="19">
        <v>-9.9828850947200499E-3</v>
      </c>
    </row>
    <row r="1260" spans="8:8" ht="15" customHeight="1" x14ac:dyDescent="0.2">
      <c r="H1260" s="19">
        <v>-7.4350320120240201E-3</v>
      </c>
    </row>
    <row r="1261" spans="8:8" ht="15" customHeight="1" x14ac:dyDescent="0.2">
      <c r="H1261" s="19">
        <v>-1.9671231737923602E-2</v>
      </c>
    </row>
    <row r="1262" spans="8:8" ht="15" customHeight="1" x14ac:dyDescent="0.2">
      <c r="H1262" s="19">
        <v>-3.5329736618881303E-4</v>
      </c>
    </row>
    <row r="1263" spans="8:8" ht="15" customHeight="1" x14ac:dyDescent="0.2">
      <c r="H1263" s="19">
        <v>-7.79561129989858E-3</v>
      </c>
    </row>
    <row r="1264" spans="8:8" ht="15" customHeight="1" x14ac:dyDescent="0.2">
      <c r="H1264" s="19">
        <v>-1.0097143987577399E-2</v>
      </c>
    </row>
    <row r="1265" spans="8:8" ht="15" customHeight="1" x14ac:dyDescent="0.2">
      <c r="H1265" s="19">
        <v>-1.31365622777001E-3</v>
      </c>
    </row>
    <row r="1266" spans="8:8" ht="15" customHeight="1" x14ac:dyDescent="0.2">
      <c r="H1266" s="19">
        <v>-6.1837790930484998E-3</v>
      </c>
    </row>
    <row r="1267" spans="8:8" ht="15" customHeight="1" x14ac:dyDescent="0.2">
      <c r="H1267" s="19">
        <v>7.65766749259554E-4</v>
      </c>
    </row>
    <row r="1268" spans="8:8" ht="15" customHeight="1" x14ac:dyDescent="0.2">
      <c r="H1268" s="19">
        <v>-5.45715726016399E-3</v>
      </c>
    </row>
    <row r="1269" spans="8:8" ht="15" customHeight="1" x14ac:dyDescent="0.2">
      <c r="H1269" s="19">
        <v>1.0317421147137201E-3</v>
      </c>
    </row>
    <row r="1270" spans="8:8" ht="15" customHeight="1" x14ac:dyDescent="0.2">
      <c r="H1270" s="19">
        <v>-1.7380459621986299E-3</v>
      </c>
    </row>
    <row r="1271" spans="8:8" ht="15" customHeight="1" x14ac:dyDescent="0.2">
      <c r="H1271" s="19">
        <v>-2.1155034348442799E-3</v>
      </c>
    </row>
    <row r="1272" spans="8:8" ht="15" customHeight="1" x14ac:dyDescent="0.2">
      <c r="H1272" s="19">
        <v>8.9991536522882193E-3</v>
      </c>
    </row>
    <row r="1273" spans="8:8" ht="15" customHeight="1" x14ac:dyDescent="0.2">
      <c r="H1273" s="19">
        <v>-1.36348067535665E-2</v>
      </c>
    </row>
    <row r="1274" spans="8:8" ht="15" customHeight="1" x14ac:dyDescent="0.2">
      <c r="H1274" s="19">
        <v>2.8115341371093101E-3</v>
      </c>
    </row>
    <row r="1275" spans="8:8" ht="15" customHeight="1" x14ac:dyDescent="0.2">
      <c r="H1275" s="19">
        <v>9.5040662813322199E-3</v>
      </c>
    </row>
    <row r="1276" spans="8:8" ht="15" customHeight="1" x14ac:dyDescent="0.2">
      <c r="H1276" s="19">
        <v>-4.4627539900855403E-3</v>
      </c>
    </row>
    <row r="1277" spans="8:8" ht="15" customHeight="1" x14ac:dyDescent="0.2">
      <c r="H1277" s="19">
        <v>-1.0471322516657699E-2</v>
      </c>
    </row>
    <row r="1278" spans="8:8" ht="15" customHeight="1" x14ac:dyDescent="0.2">
      <c r="H1278" s="19">
        <v>-2.73753739968546E-3</v>
      </c>
    </row>
    <row r="1279" spans="8:8" ht="15" customHeight="1" x14ac:dyDescent="0.2">
      <c r="H1279" s="19">
        <v>1.16133084419191E-2</v>
      </c>
    </row>
    <row r="1280" spans="8:8" ht="15" customHeight="1" x14ac:dyDescent="0.2">
      <c r="H1280" s="19">
        <v>4.4186099454941201E-3</v>
      </c>
    </row>
    <row r="1281" spans="8:8" ht="15" customHeight="1" x14ac:dyDescent="0.2">
      <c r="H1281" s="19">
        <v>-1.19993096603788E-2</v>
      </c>
    </row>
    <row r="1282" spans="8:8" ht="15" customHeight="1" x14ac:dyDescent="0.2">
      <c r="H1282" s="19">
        <v>1.45892872438785E-2</v>
      </c>
    </row>
    <row r="1283" spans="8:8" ht="15" customHeight="1" x14ac:dyDescent="0.2">
      <c r="H1283" s="19">
        <v>-4.1007096860088098E-3</v>
      </c>
    </row>
    <row r="1284" spans="8:8" ht="15" customHeight="1" x14ac:dyDescent="0.2">
      <c r="H1284" s="19">
        <v>-1.2539078140218101E-3</v>
      </c>
    </row>
    <row r="1285" spans="8:8" ht="15" customHeight="1" x14ac:dyDescent="0.2">
      <c r="H1285" s="19">
        <v>-2.7364418224580301E-3</v>
      </c>
    </row>
    <row r="1286" spans="8:8" ht="15" customHeight="1" x14ac:dyDescent="0.2">
      <c r="H1286" s="19">
        <v>-5.2512141730746698E-3</v>
      </c>
    </row>
    <row r="1287" spans="8:8" ht="15" customHeight="1" x14ac:dyDescent="0.2">
      <c r="H1287" s="19">
        <v>3.4990638986676799E-3</v>
      </c>
    </row>
    <row r="1288" spans="8:8" ht="15" customHeight="1" x14ac:dyDescent="0.2">
      <c r="H1288" s="19">
        <v>-8.2185805988729908E-3</v>
      </c>
    </row>
    <row r="1289" spans="8:8" ht="15" customHeight="1" x14ac:dyDescent="0.2">
      <c r="H1289" s="19">
        <v>-9.6298108464583799E-3</v>
      </c>
    </row>
    <row r="1290" spans="8:8" ht="15" customHeight="1" x14ac:dyDescent="0.2">
      <c r="H1290" s="19">
        <v>-2.30934279236561E-3</v>
      </c>
    </row>
    <row r="1291" spans="8:8" ht="15" customHeight="1" x14ac:dyDescent="0.2">
      <c r="H1291" s="19">
        <v>-7.7713566072723297E-3</v>
      </c>
    </row>
    <row r="1292" spans="8:8" ht="15" customHeight="1" x14ac:dyDescent="0.2">
      <c r="H1292" s="19">
        <v>2.84790753305145E-3</v>
      </c>
    </row>
    <row r="1293" spans="8:8" ht="15" customHeight="1" x14ac:dyDescent="0.2">
      <c r="H1293" s="19">
        <v>-8.7610495760218395E-3</v>
      </c>
    </row>
    <row r="1294" spans="8:8" ht="15" customHeight="1" x14ac:dyDescent="0.2">
      <c r="H1294" s="19">
        <v>9.5325855238236994E-3</v>
      </c>
    </row>
    <row r="1295" spans="8:8" ht="15" customHeight="1" x14ac:dyDescent="0.2">
      <c r="H1295" s="19">
        <v>6.7593277261985499E-3</v>
      </c>
    </row>
    <row r="1296" spans="8:8" ht="15" customHeight="1" x14ac:dyDescent="0.2">
      <c r="H1296" s="19">
        <v>1.70452568735718E-2</v>
      </c>
    </row>
    <row r="1297" spans="8:8" ht="15" customHeight="1" x14ac:dyDescent="0.2">
      <c r="H1297" s="19">
        <v>-2.0388975087853601E-4</v>
      </c>
    </row>
    <row r="1298" spans="8:8" ht="15" customHeight="1" x14ac:dyDescent="0.2">
      <c r="H1298" s="19">
        <v>-4.2606845264521196E-3</v>
      </c>
    </row>
    <row r="1299" spans="8:8" ht="15" customHeight="1" x14ac:dyDescent="0.2">
      <c r="H1299" s="19">
        <v>5.6081985193419696E-3</v>
      </c>
    </row>
    <row r="1300" spans="8:8" ht="15" customHeight="1" x14ac:dyDescent="0.2">
      <c r="H1300" s="19">
        <v>-1.7510781508788E-3</v>
      </c>
    </row>
    <row r="1301" spans="8:8" ht="15" customHeight="1" x14ac:dyDescent="0.2">
      <c r="H1301" s="19">
        <v>-7.2290388070174504E-3</v>
      </c>
    </row>
    <row r="1302" spans="8:8" ht="15" customHeight="1" x14ac:dyDescent="0.2">
      <c r="H1302" s="19">
        <v>4.8772899962647998E-3</v>
      </c>
    </row>
    <row r="1303" spans="8:8" ht="15" customHeight="1" x14ac:dyDescent="0.2">
      <c r="H1303" s="19">
        <v>-2.4884959736741801E-2</v>
      </c>
    </row>
    <row r="1304" spans="8:8" ht="15" customHeight="1" x14ac:dyDescent="0.2">
      <c r="H1304" s="19">
        <v>9.4466337394280807E-3</v>
      </c>
    </row>
    <row r="1305" spans="8:8" ht="15" customHeight="1" x14ac:dyDescent="0.2">
      <c r="H1305" s="19">
        <v>1.03176675595627E-3</v>
      </c>
    </row>
    <row r="1306" spans="8:8" ht="15" customHeight="1" x14ac:dyDescent="0.2">
      <c r="H1306" s="19">
        <v>-9.7337970154241999E-4</v>
      </c>
    </row>
    <row r="1307" spans="8:8" ht="15" customHeight="1" x14ac:dyDescent="0.2">
      <c r="H1307" s="19">
        <v>-1.6286436899867199E-2</v>
      </c>
    </row>
    <row r="1308" spans="8:8" ht="15" customHeight="1" x14ac:dyDescent="0.2">
      <c r="H1308" s="19">
        <v>-2.3853157941612298E-2</v>
      </c>
    </row>
    <row r="1309" spans="8:8" ht="15" customHeight="1" x14ac:dyDescent="0.2">
      <c r="H1309" s="19">
        <v>-8.8394722593955199E-3</v>
      </c>
    </row>
    <row r="1310" spans="8:8" ht="15" customHeight="1" x14ac:dyDescent="0.2">
      <c r="H1310" s="19">
        <v>1.13414080222034E-2</v>
      </c>
    </row>
    <row r="1311" spans="8:8" ht="15" customHeight="1" x14ac:dyDescent="0.2">
      <c r="H1311" s="19">
        <v>1.0846441948686E-2</v>
      </c>
    </row>
    <row r="1312" spans="8:8" ht="15" customHeight="1" x14ac:dyDescent="0.2">
      <c r="H1312" s="19">
        <v>2.9169340747745502E-3</v>
      </c>
    </row>
    <row r="1313" spans="8:8" ht="15" customHeight="1" x14ac:dyDescent="0.2">
      <c r="H1313" s="19">
        <v>-8.5103794585558307E-3</v>
      </c>
    </row>
    <row r="1314" spans="8:8" ht="15" customHeight="1" x14ac:dyDescent="0.2">
      <c r="H1314" s="19">
        <v>-7.4175348939834402E-3</v>
      </c>
    </row>
    <row r="1315" spans="8:8" ht="15" customHeight="1" x14ac:dyDescent="0.2">
      <c r="H1315" s="19">
        <v>8.6600654597432901E-3</v>
      </c>
    </row>
    <row r="1316" spans="8:8" ht="15" customHeight="1" x14ac:dyDescent="0.2">
      <c r="H1316" s="19">
        <v>8.2420062869404797E-3</v>
      </c>
    </row>
    <row r="1317" spans="8:8" ht="15" customHeight="1" x14ac:dyDescent="0.2">
      <c r="H1317" s="19">
        <v>-9.4944676144057601E-3</v>
      </c>
    </row>
    <row r="1318" spans="8:8" ht="15" customHeight="1" x14ac:dyDescent="0.2">
      <c r="H1318" s="19">
        <v>-9.9165463209849904E-3</v>
      </c>
    </row>
    <row r="1319" spans="8:8" ht="15" customHeight="1" x14ac:dyDescent="0.2">
      <c r="H1319" s="19">
        <v>1.09355160740837E-2</v>
      </c>
    </row>
    <row r="1320" spans="8:8" ht="15" customHeight="1" x14ac:dyDescent="0.2">
      <c r="H1320" s="19">
        <v>1.0697977258161399E-2</v>
      </c>
    </row>
    <row r="1321" spans="8:8" ht="15" customHeight="1" x14ac:dyDescent="0.2">
      <c r="H1321" s="19">
        <v>1.7877005293994701E-2</v>
      </c>
    </row>
    <row r="1322" spans="8:8" ht="15" customHeight="1" x14ac:dyDescent="0.2">
      <c r="H1322" s="19">
        <v>4.1845288050049298E-3</v>
      </c>
    </row>
    <row r="1323" spans="8:8" ht="15" customHeight="1" x14ac:dyDescent="0.2">
      <c r="H1323" s="19">
        <v>-1.39786166931387E-2</v>
      </c>
    </row>
    <row r="1324" spans="8:8" ht="15" customHeight="1" x14ac:dyDescent="0.2">
      <c r="H1324" s="19">
        <v>2.7099710496961602E-3</v>
      </c>
    </row>
    <row r="1325" spans="8:8" ht="15" customHeight="1" x14ac:dyDescent="0.2">
      <c r="H1325" s="19">
        <v>1.5282663422554301E-2</v>
      </c>
    </row>
    <row r="1326" spans="8:8" ht="15" customHeight="1" x14ac:dyDescent="0.2">
      <c r="H1326" s="19">
        <v>-2.56680486761483E-3</v>
      </c>
    </row>
    <row r="1327" spans="8:8" ht="15" customHeight="1" x14ac:dyDescent="0.2">
      <c r="H1327" s="19">
        <v>2.5489683620008199E-3</v>
      </c>
    </row>
    <row r="1328" spans="8:8" ht="15" customHeight="1" x14ac:dyDescent="0.2">
      <c r="H1328" s="19">
        <v>2.1066904345049201E-4</v>
      </c>
    </row>
    <row r="1329" spans="8:8" ht="15" customHeight="1" x14ac:dyDescent="0.2">
      <c r="H1329" s="19">
        <v>1.05048032849202E-2</v>
      </c>
    </row>
    <row r="1330" spans="8:8" ht="15" customHeight="1" x14ac:dyDescent="0.2">
      <c r="H1330" s="19">
        <v>8.0810223355403596E-3</v>
      </c>
    </row>
    <row r="1331" spans="8:8" ht="15" customHeight="1" x14ac:dyDescent="0.2">
      <c r="H1331" s="19">
        <v>1.5441819278031199E-2</v>
      </c>
    </row>
    <row r="1332" spans="8:8" ht="15" customHeight="1" x14ac:dyDescent="0.2">
      <c r="H1332" s="19">
        <v>2.5069250735443901E-4</v>
      </c>
    </row>
    <row r="1333" spans="8:8" ht="15" customHeight="1" x14ac:dyDescent="0.2">
      <c r="H1333" s="19">
        <v>-7.8477642361165503E-4</v>
      </c>
    </row>
    <row r="1334" spans="8:8" ht="15" customHeight="1" x14ac:dyDescent="0.2">
      <c r="H1334" s="19">
        <v>5.2283415554831101E-4</v>
      </c>
    </row>
    <row r="1335" spans="8:8" ht="15" customHeight="1" x14ac:dyDescent="0.2">
      <c r="H1335" s="19">
        <v>-4.1182680190368004E-3</v>
      </c>
    </row>
    <row r="1336" spans="8:8" ht="15" customHeight="1" x14ac:dyDescent="0.2">
      <c r="H1336" s="19">
        <v>7.7096241123245602E-3</v>
      </c>
    </row>
    <row r="1337" spans="8:8" ht="15" customHeight="1" x14ac:dyDescent="0.2">
      <c r="H1337" s="19">
        <v>1.07151259130683E-2</v>
      </c>
    </row>
    <row r="1338" spans="8:8" ht="15" customHeight="1" x14ac:dyDescent="0.2">
      <c r="H1338" s="19">
        <v>-8.1033045907078405E-4</v>
      </c>
    </row>
    <row r="1339" spans="8:8" ht="15" customHeight="1" x14ac:dyDescent="0.2">
      <c r="H1339" s="19">
        <v>1.8602978517643198E-2</v>
      </c>
    </row>
    <row r="1340" spans="8:8" ht="15" customHeight="1" x14ac:dyDescent="0.2">
      <c r="H1340" s="19">
        <v>-2.96704162554075E-3</v>
      </c>
    </row>
    <row r="1341" spans="8:8" ht="15" customHeight="1" x14ac:dyDescent="0.2">
      <c r="H1341" s="19">
        <v>1.9392225069084799E-2</v>
      </c>
    </row>
    <row r="1342" spans="8:8" ht="15" customHeight="1" x14ac:dyDescent="0.2">
      <c r="H1342" s="19">
        <v>2.85903349652793E-4</v>
      </c>
    </row>
    <row r="1343" spans="8:8" ht="15" customHeight="1" x14ac:dyDescent="0.2">
      <c r="H1343" s="19">
        <v>4.3676988960088901E-3</v>
      </c>
    </row>
    <row r="1344" spans="8:8" ht="15" customHeight="1" x14ac:dyDescent="0.2">
      <c r="H1344" s="19">
        <v>2.1365569255853601E-3</v>
      </c>
    </row>
    <row r="1345" spans="8:8" ht="15" customHeight="1" x14ac:dyDescent="0.2">
      <c r="H1345" s="19">
        <v>1.0715132063023301E-2</v>
      </c>
    </row>
    <row r="1346" spans="8:8" ht="15" customHeight="1" x14ac:dyDescent="0.2">
      <c r="H1346" s="19">
        <v>-1.9025791468454002E-2</v>
      </c>
    </row>
    <row r="1347" spans="8:8" ht="15" customHeight="1" x14ac:dyDescent="0.2">
      <c r="H1347" s="19">
        <v>8.8063769365187596E-3</v>
      </c>
    </row>
    <row r="1348" spans="8:8" ht="15" customHeight="1" x14ac:dyDescent="0.2">
      <c r="H1348" s="19">
        <v>-9.1830315635373708E-3</v>
      </c>
    </row>
    <row r="1349" spans="8:8" ht="15" customHeight="1" x14ac:dyDescent="0.2">
      <c r="H1349" s="19">
        <v>1.8653850943885001E-2</v>
      </c>
    </row>
    <row r="1350" spans="8:8" ht="15" customHeight="1" x14ac:dyDescent="0.2">
      <c r="H1350" s="19">
        <v>7.6556997827209703E-4</v>
      </c>
    </row>
    <row r="1351" spans="8:8" ht="15" customHeight="1" x14ac:dyDescent="0.2">
      <c r="H1351" s="19">
        <v>-1.58165205204373E-3</v>
      </c>
    </row>
    <row r="1352" spans="8:8" ht="15" customHeight="1" x14ac:dyDescent="0.2">
      <c r="H1352" s="19">
        <v>1.2019203819484001E-2</v>
      </c>
    </row>
    <row r="1353" spans="8:8" ht="15" customHeight="1" x14ac:dyDescent="0.2">
      <c r="H1353" s="19">
        <v>1.02248444140478E-2</v>
      </c>
    </row>
    <row r="1354" spans="8:8" ht="15" customHeight="1" x14ac:dyDescent="0.2">
      <c r="H1354" s="19">
        <v>1.21083965846746E-4</v>
      </c>
    </row>
    <row r="1355" spans="8:8" ht="15" customHeight="1" x14ac:dyDescent="0.2">
      <c r="H1355" s="19">
        <v>6.4577127257379003E-3</v>
      </c>
    </row>
    <row r="1356" spans="8:8" ht="15" customHeight="1" x14ac:dyDescent="0.2">
      <c r="H1356" s="19">
        <v>8.7726111290914992E-3</v>
      </c>
    </row>
    <row r="1357" spans="8:8" ht="15" customHeight="1" x14ac:dyDescent="0.2">
      <c r="H1357" s="19">
        <v>2.0434862493793398E-3</v>
      </c>
    </row>
    <row r="1358" spans="8:8" ht="15" customHeight="1" x14ac:dyDescent="0.2">
      <c r="H1358" s="19">
        <v>-2.7957515912662898E-4</v>
      </c>
    </row>
    <row r="1359" spans="8:8" ht="15" customHeight="1" x14ac:dyDescent="0.2">
      <c r="H1359" s="19">
        <v>1.22252541452425E-2</v>
      </c>
    </row>
    <row r="1360" spans="8:8" ht="15" customHeight="1" x14ac:dyDescent="0.2">
      <c r="H1360" s="19">
        <v>-5.5411705680568496E-4</v>
      </c>
    </row>
    <row r="1361" spans="8:8" ht="15" customHeight="1" x14ac:dyDescent="0.2">
      <c r="H1361" s="19">
        <v>-2.0640312928540301E-3</v>
      </c>
    </row>
    <row r="1362" spans="8:8" ht="15" customHeight="1" x14ac:dyDescent="0.2">
      <c r="H1362" s="19">
        <v>8.17913830475951E-3</v>
      </c>
    </row>
    <row r="1363" spans="8:8" ht="15" customHeight="1" x14ac:dyDescent="0.2">
      <c r="H1363" s="19">
        <v>-4.1917958524552504E-3</v>
      </c>
    </row>
    <row r="1364" spans="8:8" ht="15" customHeight="1" x14ac:dyDescent="0.2">
      <c r="H1364" s="19">
        <v>1.21815335951391E-3</v>
      </c>
    </row>
    <row r="1365" spans="8:8" ht="15" customHeight="1" x14ac:dyDescent="0.2">
      <c r="H1365" s="19">
        <v>-1.32691640661259E-2</v>
      </c>
    </row>
    <row r="1366" spans="8:8" ht="15" customHeight="1" x14ac:dyDescent="0.2">
      <c r="H1366" s="19">
        <v>7.88910544598731E-3</v>
      </c>
    </row>
    <row r="1367" spans="8:8" ht="15" customHeight="1" x14ac:dyDescent="0.2">
      <c r="H1367" s="19">
        <v>-1.9654372362059398E-3</v>
      </c>
    </row>
    <row r="1368" spans="8:8" ht="15" customHeight="1" x14ac:dyDescent="0.2">
      <c r="H1368" s="19">
        <v>1.8692170240376501E-2</v>
      </c>
    </row>
    <row r="1369" spans="8:8" ht="15" customHeight="1" x14ac:dyDescent="0.2">
      <c r="H1369" s="19">
        <v>1.9652789792196498E-3</v>
      </c>
    </row>
    <row r="1370" spans="8:8" ht="15" customHeight="1" x14ac:dyDescent="0.2">
      <c r="H1370" s="19">
        <v>5.8396359978217004E-3</v>
      </c>
    </row>
    <row r="1371" spans="8:8" ht="15" customHeight="1" x14ac:dyDescent="0.2">
      <c r="H1371" s="19">
        <v>3.0623278796793499E-3</v>
      </c>
    </row>
    <row r="1372" spans="8:8" ht="15" customHeight="1" x14ac:dyDescent="0.2">
      <c r="H1372" s="19">
        <v>-1.8893830663698898E-2</v>
      </c>
    </row>
    <row r="1373" spans="8:8" ht="15" customHeight="1" x14ac:dyDescent="0.2">
      <c r="H1373" s="19">
        <v>2.1010213058197901E-2</v>
      </c>
    </row>
    <row r="1374" spans="8:8" ht="15" customHeight="1" x14ac:dyDescent="0.2">
      <c r="H1374" s="19">
        <v>8.7404849737506302E-3</v>
      </c>
    </row>
    <row r="1375" spans="8:8" ht="15" customHeight="1" x14ac:dyDescent="0.2">
      <c r="H1375" s="19">
        <v>-1.6414578753547299E-3</v>
      </c>
    </row>
    <row r="1376" spans="8:8" ht="15" customHeight="1" x14ac:dyDescent="0.2">
      <c r="H1376" s="19">
        <v>5.7777690190070697E-3</v>
      </c>
    </row>
    <row r="1377" spans="8:8" ht="15" customHeight="1" x14ac:dyDescent="0.2">
      <c r="H1377" s="19">
        <v>-7.9228821082403499E-3</v>
      </c>
    </row>
    <row r="1378" spans="8:8" ht="15" customHeight="1" x14ac:dyDescent="0.2">
      <c r="H1378" s="19">
        <v>3.1699920891082901E-3</v>
      </c>
    </row>
    <row r="1379" spans="8:8" ht="15" customHeight="1" x14ac:dyDescent="0.2">
      <c r="H1379" s="19">
        <v>3.0546721397494898E-3</v>
      </c>
    </row>
    <row r="1380" spans="8:8" ht="15" customHeight="1" x14ac:dyDescent="0.2">
      <c r="H1380" s="19">
        <v>-7.6787551943063E-3</v>
      </c>
    </row>
    <row r="1381" spans="8:8" ht="15" customHeight="1" x14ac:dyDescent="0.2">
      <c r="H1381" s="19">
        <v>-5.0228236005221702E-3</v>
      </c>
    </row>
    <row r="1382" spans="8:8" ht="15" customHeight="1" x14ac:dyDescent="0.2">
      <c r="H1382" s="19">
        <v>8.0716477580591202E-3</v>
      </c>
    </row>
    <row r="1383" spans="8:8" ht="15" customHeight="1" x14ac:dyDescent="0.2">
      <c r="H1383" s="19">
        <v>8.8570376180326007E-3</v>
      </c>
    </row>
    <row r="1384" spans="8:8" ht="15" customHeight="1" x14ac:dyDescent="0.2">
      <c r="H1384" s="19">
        <v>9.6236770704675296E-4</v>
      </c>
    </row>
    <row r="1385" spans="8:8" ht="15" customHeight="1" x14ac:dyDescent="0.2">
      <c r="H1385" s="19">
        <v>-1.12736496163502E-2</v>
      </c>
    </row>
    <row r="1386" spans="8:8" ht="15" customHeight="1" x14ac:dyDescent="0.2">
      <c r="H1386" s="19">
        <v>1.26183325681021E-2</v>
      </c>
    </row>
    <row r="1387" spans="8:8" ht="15" customHeight="1" x14ac:dyDescent="0.2">
      <c r="H1387" s="19">
        <v>-2.0339015134619099E-2</v>
      </c>
    </row>
    <row r="1388" spans="8:8" ht="15" customHeight="1" x14ac:dyDescent="0.2">
      <c r="H1388" s="19">
        <v>6.0372410847619202E-3</v>
      </c>
    </row>
    <row r="1389" spans="8:8" ht="15" customHeight="1" x14ac:dyDescent="0.2">
      <c r="H1389" s="19">
        <v>3.0357748644383401E-3</v>
      </c>
    </row>
    <row r="1390" spans="8:8" ht="15" customHeight="1" x14ac:dyDescent="0.2">
      <c r="H1390" s="19">
        <v>1.8746609136610301E-4</v>
      </c>
    </row>
    <row r="1391" spans="8:8" ht="15" customHeight="1" x14ac:dyDescent="0.2">
      <c r="H1391" s="19">
        <v>-2.36097069505057E-3</v>
      </c>
    </row>
    <row r="1392" spans="8:8" ht="15" customHeight="1" x14ac:dyDescent="0.2">
      <c r="H1392" s="19">
        <v>1.1130147422989199E-2</v>
      </c>
    </row>
    <row r="1393" spans="8:8" ht="15" customHeight="1" x14ac:dyDescent="0.2">
      <c r="H1393" s="19">
        <v>-2.1838330324716201E-3</v>
      </c>
    </row>
    <row r="1394" spans="8:8" ht="15" customHeight="1" x14ac:dyDescent="0.2">
      <c r="H1394" s="19">
        <v>8.1719604870010898E-5</v>
      </c>
    </row>
    <row r="1395" spans="8:8" ht="15" customHeight="1" x14ac:dyDescent="0.2">
      <c r="H1395" s="19">
        <v>4.8179468878611596E-3</v>
      </c>
    </row>
    <row r="1396" spans="8:8" ht="15" customHeight="1" x14ac:dyDescent="0.2">
      <c r="H1396" s="19">
        <v>7.5284205713491903E-3</v>
      </c>
    </row>
    <row r="1397" spans="8:8" ht="15" customHeight="1" x14ac:dyDescent="0.2">
      <c r="H1397" s="19">
        <v>-2.0998074323242799E-2</v>
      </c>
    </row>
    <row r="1398" spans="8:8" ht="15" customHeight="1" x14ac:dyDescent="0.2">
      <c r="H1398" s="19">
        <v>-9.0398693312195005E-3</v>
      </c>
    </row>
    <row r="1399" spans="8:8" ht="15" customHeight="1" x14ac:dyDescent="0.2">
      <c r="H1399" s="19">
        <v>-1.37151790068722E-2</v>
      </c>
    </row>
    <row r="1400" spans="8:8" ht="15" customHeight="1" x14ac:dyDescent="0.2">
      <c r="H1400" s="19">
        <v>4.9976913312534E-3</v>
      </c>
    </row>
    <row r="1401" spans="8:8" ht="15" customHeight="1" x14ac:dyDescent="0.2">
      <c r="H1401" s="19">
        <v>-2.63736691801822E-3</v>
      </c>
    </row>
    <row r="1402" spans="8:8" ht="15" customHeight="1" x14ac:dyDescent="0.2">
      <c r="H1402" s="19">
        <v>3.00960138024815E-3</v>
      </c>
    </row>
    <row r="1403" spans="8:8" ht="15" customHeight="1" x14ac:dyDescent="0.2">
      <c r="H1403" s="19">
        <v>-2.8731283746486298E-3</v>
      </c>
    </row>
    <row r="1404" spans="8:8" ht="15" customHeight="1" x14ac:dyDescent="0.2">
      <c r="H1404" s="19">
        <v>-7.99565949234733E-3</v>
      </c>
    </row>
    <row r="1405" spans="8:8" ht="15" customHeight="1" x14ac:dyDescent="0.2">
      <c r="H1405" s="19">
        <v>-9.7953160754283303E-3</v>
      </c>
    </row>
    <row r="1406" spans="8:8" ht="15" customHeight="1" x14ac:dyDescent="0.2">
      <c r="H1406" s="19">
        <v>2.4007646514196202E-3</v>
      </c>
    </row>
    <row r="1407" spans="8:8" ht="15" customHeight="1" x14ac:dyDescent="0.2">
      <c r="H1407" s="19">
        <v>8.6388596297209495E-3</v>
      </c>
    </row>
    <row r="1408" spans="8:8" ht="15" customHeight="1" x14ac:dyDescent="0.2">
      <c r="H1408" s="19">
        <v>-1.5267278053056299E-2</v>
      </c>
    </row>
    <row r="1409" spans="8:8" ht="15" customHeight="1" x14ac:dyDescent="0.2">
      <c r="H1409" s="19">
        <v>8.1779794069707003E-3</v>
      </c>
    </row>
    <row r="1410" spans="8:8" ht="15" customHeight="1" x14ac:dyDescent="0.2">
      <c r="H1410" s="19">
        <v>-6.4952887316698296E-4</v>
      </c>
    </row>
    <row r="1411" spans="8:8" ht="15" customHeight="1" x14ac:dyDescent="0.2">
      <c r="H1411" s="19">
        <v>-1.6215831404482899E-2</v>
      </c>
    </row>
    <row r="1412" spans="8:8" ht="15" customHeight="1" x14ac:dyDescent="0.2">
      <c r="H1412" s="19">
        <v>-2.4539378080794001E-3</v>
      </c>
    </row>
    <row r="1413" spans="8:8" ht="15" customHeight="1" x14ac:dyDescent="0.2">
      <c r="H1413" s="19">
        <v>-1.46511145566453E-3</v>
      </c>
    </row>
    <row r="1414" spans="8:8" ht="15" customHeight="1" x14ac:dyDescent="0.2">
      <c r="H1414" s="19">
        <v>-1.49958152465644E-2</v>
      </c>
    </row>
    <row r="1415" spans="8:8" ht="15" customHeight="1" x14ac:dyDescent="0.2">
      <c r="H1415" s="19">
        <v>-3.6499916221693402E-4</v>
      </c>
    </row>
    <row r="1416" spans="8:8" ht="15" customHeight="1" x14ac:dyDescent="0.2">
      <c r="H1416" s="19">
        <v>-1.0334854194880101E-2</v>
      </c>
    </row>
    <row r="1417" spans="8:8" ht="15" customHeight="1" x14ac:dyDescent="0.2">
      <c r="H1417" s="19">
        <v>2.63534788111591E-3</v>
      </c>
    </row>
    <row r="1418" spans="8:8" ht="15" customHeight="1" x14ac:dyDescent="0.2">
      <c r="H1418" s="19">
        <v>7.9641010893591099E-3</v>
      </c>
    </row>
    <row r="1419" spans="8:8" ht="15" customHeight="1" x14ac:dyDescent="0.2">
      <c r="H1419" s="19">
        <v>1.1220751601970801E-2</v>
      </c>
    </row>
    <row r="1420" spans="8:8" ht="15" customHeight="1" x14ac:dyDescent="0.2">
      <c r="H1420" s="19">
        <v>1.1466254520317101E-3</v>
      </c>
    </row>
    <row r="1421" spans="8:8" ht="15" customHeight="1" x14ac:dyDescent="0.2">
      <c r="H1421" s="19">
        <v>-4.8088137764501597E-3</v>
      </c>
    </row>
    <row r="1422" spans="8:8" ht="15" customHeight="1" x14ac:dyDescent="0.2">
      <c r="H1422" s="19">
        <v>1.11027531178703E-2</v>
      </c>
    </row>
    <row r="1423" spans="8:8" ht="15" customHeight="1" x14ac:dyDescent="0.2">
      <c r="H1423" s="19">
        <v>7.8815700139189399E-3</v>
      </c>
    </row>
    <row r="1424" spans="8:8" ht="15" customHeight="1" x14ac:dyDescent="0.2">
      <c r="H1424" s="19">
        <v>1.20516712866533E-2</v>
      </c>
    </row>
    <row r="1425" spans="8:8" ht="15" customHeight="1" x14ac:dyDescent="0.2">
      <c r="H1425" s="19">
        <v>-1.58763882235579E-3</v>
      </c>
    </row>
    <row r="1426" spans="8:8" ht="15" customHeight="1" x14ac:dyDescent="0.2">
      <c r="H1426" s="19">
        <v>6.2503553663047903E-3</v>
      </c>
    </row>
    <row r="1427" spans="8:8" ht="15" customHeight="1" x14ac:dyDescent="0.2">
      <c r="H1427" s="19">
        <v>9.7307521259932595E-4</v>
      </c>
    </row>
    <row r="1428" spans="8:8" ht="15" customHeight="1" x14ac:dyDescent="0.2">
      <c r="H1428" s="19">
        <v>7.7237839433123099E-3</v>
      </c>
    </row>
    <row r="1429" spans="8:8" ht="15" customHeight="1" x14ac:dyDescent="0.2">
      <c r="H1429" s="19">
        <v>2.86554174093091E-3</v>
      </c>
    </row>
    <row r="1430" spans="8:8" ht="15" customHeight="1" x14ac:dyDescent="0.2">
      <c r="H1430" s="19">
        <v>-8.9324786770656802E-3</v>
      </c>
    </row>
    <row r="1431" spans="8:8" ht="15" customHeight="1" x14ac:dyDescent="0.2">
      <c r="H1431" s="19">
        <v>-4.2619254510343797E-3</v>
      </c>
    </row>
    <row r="1432" spans="8:8" ht="15" customHeight="1" x14ac:dyDescent="0.2">
      <c r="H1432" s="19">
        <v>1.04850659397522E-3</v>
      </c>
    </row>
    <row r="1433" spans="8:8" ht="15" customHeight="1" x14ac:dyDescent="0.2">
      <c r="H1433" s="19">
        <v>9.4592751317872006E-3</v>
      </c>
    </row>
    <row r="1434" spans="8:8" ht="15" customHeight="1" x14ac:dyDescent="0.2">
      <c r="H1434" s="19">
        <v>-5.0665090661268205E-4</v>
      </c>
    </row>
    <row r="1435" spans="8:8" ht="15" customHeight="1" x14ac:dyDescent="0.2">
      <c r="H1435" s="19">
        <v>-8.1667045581526009E-3</v>
      </c>
    </row>
    <row r="1436" spans="8:8" ht="15" customHeight="1" x14ac:dyDescent="0.2">
      <c r="H1436" s="19">
        <v>-7.5714445615783299E-3</v>
      </c>
    </row>
    <row r="1437" spans="8:8" ht="15" customHeight="1" x14ac:dyDescent="0.2">
      <c r="H1437" s="19">
        <v>-8.7513031709419498E-4</v>
      </c>
    </row>
    <row r="1438" spans="8:8" ht="15" customHeight="1" x14ac:dyDescent="0.2">
      <c r="H1438" s="19">
        <v>1.6557146160186699E-2</v>
      </c>
    </row>
    <row r="1439" spans="8:8" ht="15" customHeight="1" x14ac:dyDescent="0.2">
      <c r="H1439" s="19">
        <v>2.5482515181639901E-3</v>
      </c>
    </row>
    <row r="1440" spans="8:8" ht="15" customHeight="1" x14ac:dyDescent="0.2">
      <c r="H1440" s="19">
        <v>-9.5027490564801899E-3</v>
      </c>
    </row>
    <row r="1441" spans="8:8" ht="15" customHeight="1" x14ac:dyDescent="0.2">
      <c r="H1441" s="19">
        <v>-3.2910382904435399E-3</v>
      </c>
    </row>
    <row r="1442" spans="8:8" ht="15" customHeight="1" x14ac:dyDescent="0.2">
      <c r="H1442" s="19">
        <v>-5.4473462335323595E-4</v>
      </c>
    </row>
    <row r="1443" spans="8:8" ht="15" customHeight="1" x14ac:dyDescent="0.2">
      <c r="H1443" s="19">
        <v>-3.79922932638746E-4</v>
      </c>
    </row>
    <row r="1444" spans="8:8" ht="15" customHeight="1" x14ac:dyDescent="0.2">
      <c r="H1444" s="19">
        <v>5.3280977193935399E-4</v>
      </c>
    </row>
    <row r="1445" spans="8:8" ht="15" customHeight="1" x14ac:dyDescent="0.2">
      <c r="H1445" s="19">
        <v>-4.8000487718958002E-3</v>
      </c>
    </row>
    <row r="1446" spans="8:8" ht="15" customHeight="1" x14ac:dyDescent="0.2">
      <c r="H1446" s="19">
        <v>-2.69211731801231E-3</v>
      </c>
    </row>
    <row r="1447" spans="8:8" ht="15" customHeight="1" x14ac:dyDescent="0.2">
      <c r="H1447" s="19">
        <v>1.3850224022469999E-2</v>
      </c>
    </row>
    <row r="1448" spans="8:8" ht="15" customHeight="1" x14ac:dyDescent="0.2">
      <c r="H1448" s="19">
        <v>1.1582732399644899E-3</v>
      </c>
    </row>
    <row r="1449" spans="8:8" ht="15" customHeight="1" x14ac:dyDescent="0.2">
      <c r="H1449" s="19">
        <v>1.72272627682299E-2</v>
      </c>
    </row>
    <row r="1450" spans="8:8" ht="15" customHeight="1" x14ac:dyDescent="0.2">
      <c r="H1450" s="19">
        <v>-2.37899218653861E-3</v>
      </c>
    </row>
    <row r="1451" spans="8:8" ht="15" customHeight="1" x14ac:dyDescent="0.2">
      <c r="H1451" s="19">
        <v>-2.8492223323594301E-2</v>
      </c>
    </row>
    <row r="1452" spans="8:8" ht="15" customHeight="1" x14ac:dyDescent="0.2">
      <c r="H1452" s="19">
        <v>-7.1693852984993105E-4</v>
      </c>
    </row>
    <row r="1453" spans="8:8" ht="15" customHeight="1" x14ac:dyDescent="0.2">
      <c r="H1453" s="19">
        <v>-8.783553364258E-3</v>
      </c>
    </row>
    <row r="1454" spans="8:8" ht="15" customHeight="1" x14ac:dyDescent="0.2">
      <c r="H1454" s="19">
        <v>-2.4717962776517201E-2</v>
      </c>
    </row>
    <row r="1455" spans="8:8" ht="15" customHeight="1" x14ac:dyDescent="0.2">
      <c r="H1455" s="19">
        <v>2.8946877025803298E-3</v>
      </c>
    </row>
    <row r="1456" spans="8:8" ht="15" customHeight="1" x14ac:dyDescent="0.2">
      <c r="H1456" s="19">
        <v>8.7493705273606007E-3</v>
      </c>
    </row>
    <row r="1457" spans="8:8" ht="15" customHeight="1" x14ac:dyDescent="0.2">
      <c r="H1457" s="19">
        <v>9.9071793514709204E-4</v>
      </c>
    </row>
    <row r="1458" spans="8:8" ht="15" customHeight="1" x14ac:dyDescent="0.2">
      <c r="H1458" s="19">
        <v>1.00522164148032E-2</v>
      </c>
    </row>
    <row r="1459" spans="8:8" ht="15" customHeight="1" x14ac:dyDescent="0.2">
      <c r="H1459" s="19">
        <v>-3.9889960308070998E-3</v>
      </c>
    </row>
    <row r="1460" spans="8:8" ht="15" customHeight="1" x14ac:dyDescent="0.2">
      <c r="H1460" s="19">
        <v>8.5583046522758697E-3</v>
      </c>
    </row>
    <row r="1461" spans="8:8" ht="15" customHeight="1" x14ac:dyDescent="0.2">
      <c r="H1461" s="19">
        <v>1.5838553654761899E-2</v>
      </c>
    </row>
    <row r="1462" spans="8:8" ht="15" customHeight="1" x14ac:dyDescent="0.2">
      <c r="H1462" s="19">
        <v>5.9742551260309805E-4</v>
      </c>
    </row>
    <row r="1463" spans="8:8" ht="15" customHeight="1" x14ac:dyDescent="0.2">
      <c r="H1463" s="19">
        <v>-8.0240998832458704E-3</v>
      </c>
    </row>
    <row r="1464" spans="8:8" ht="15" customHeight="1" x14ac:dyDescent="0.2">
      <c r="H1464" s="19">
        <v>1.0007875620974599E-2</v>
      </c>
    </row>
    <row r="1465" spans="8:8" ht="15" customHeight="1" x14ac:dyDescent="0.2">
      <c r="H1465" s="19">
        <v>-2.2707659025132799E-3</v>
      </c>
    </row>
    <row r="1466" spans="8:8" ht="15" customHeight="1" x14ac:dyDescent="0.2">
      <c r="H1466" s="19">
        <v>2.2490142232959701E-2</v>
      </c>
    </row>
    <row r="1467" spans="8:8" ht="15" customHeight="1" x14ac:dyDescent="0.2">
      <c r="H1467" s="19">
        <v>-1.42458939885227E-2</v>
      </c>
    </row>
    <row r="1468" spans="8:8" ht="15" customHeight="1" x14ac:dyDescent="0.2">
      <c r="H1468" s="19">
        <v>7.5404628833059999E-3</v>
      </c>
    </row>
    <row r="1469" spans="8:8" ht="15" customHeight="1" x14ac:dyDescent="0.2">
      <c r="H1469" s="19">
        <v>8.1394640282036607E-3</v>
      </c>
    </row>
    <row r="1470" spans="8:8" ht="15" customHeight="1" x14ac:dyDescent="0.2">
      <c r="H1470" s="19">
        <v>-2.26949832124698E-3</v>
      </c>
    </row>
    <row r="1471" spans="8:8" ht="15" customHeight="1" x14ac:dyDescent="0.2">
      <c r="H1471" s="19">
        <v>1.55574373798682E-2</v>
      </c>
    </row>
    <row r="1472" spans="8:8" ht="15" customHeight="1" x14ac:dyDescent="0.2">
      <c r="H1472" s="19">
        <v>1.8539388613075199E-2</v>
      </c>
    </row>
    <row r="1473" spans="8:8" ht="15" customHeight="1" x14ac:dyDescent="0.2">
      <c r="H1473" s="19">
        <v>1.08014536786139E-2</v>
      </c>
    </row>
    <row r="1474" spans="8:8" ht="15" customHeight="1" x14ac:dyDescent="0.2">
      <c r="H1474" s="19">
        <v>2.2883385993770999E-2</v>
      </c>
    </row>
    <row r="1475" spans="8:8" ht="15" customHeight="1" x14ac:dyDescent="0.2">
      <c r="H1475" s="19">
        <v>1.6980593179538199E-2</v>
      </c>
    </row>
    <row r="1476" spans="8:8" ht="15" customHeight="1" x14ac:dyDescent="0.2">
      <c r="H1476" s="19">
        <v>1.29613883912457E-2</v>
      </c>
    </row>
    <row r="1477" spans="8:8" ht="15" customHeight="1" x14ac:dyDescent="0.2">
      <c r="H1477" s="19">
        <v>7.4939266083251998E-3</v>
      </c>
    </row>
    <row r="1478" spans="8:8" ht="15" customHeight="1" x14ac:dyDescent="0.2">
      <c r="H1478" s="19">
        <v>8.9098368645011798E-3</v>
      </c>
    </row>
    <row r="1479" spans="8:8" ht="15" customHeight="1" x14ac:dyDescent="0.2">
      <c r="H1479" s="19">
        <v>-1.35019981521152E-2</v>
      </c>
    </row>
    <row r="1480" spans="8:8" ht="15" customHeight="1" x14ac:dyDescent="0.2">
      <c r="H1480" s="19">
        <v>-1.2261064411231299E-2</v>
      </c>
    </row>
    <row r="1481" spans="8:8" ht="15" customHeight="1" x14ac:dyDescent="0.2">
      <c r="H1481" s="19">
        <v>-3.5735629154024198E-3</v>
      </c>
    </row>
    <row r="1482" spans="8:8" ht="15" customHeight="1" x14ac:dyDescent="0.2">
      <c r="H1482" s="19">
        <v>-1.21321698408731E-2</v>
      </c>
    </row>
    <row r="1483" spans="8:8" ht="15" customHeight="1" x14ac:dyDescent="0.2">
      <c r="H1483" s="19">
        <v>1.8255754899803099E-2</v>
      </c>
    </row>
    <row r="1484" spans="8:8" ht="15" customHeight="1" x14ac:dyDescent="0.2">
      <c r="H1484" s="19">
        <v>-1.08271264456476E-2</v>
      </c>
    </row>
    <row r="1485" spans="8:8" ht="15" customHeight="1" x14ac:dyDescent="0.2">
      <c r="H1485" s="19">
        <v>3.49155972307519E-3</v>
      </c>
    </row>
    <row r="1486" spans="8:8" ht="15" customHeight="1" x14ac:dyDescent="0.2">
      <c r="H1486" s="19">
        <v>-7.6898544874229001E-3</v>
      </c>
    </row>
    <row r="1487" spans="8:8" ht="15" customHeight="1" x14ac:dyDescent="0.2">
      <c r="H1487" s="19">
        <v>1.0493822427784299E-2</v>
      </c>
    </row>
    <row r="1488" spans="8:8" ht="15" customHeight="1" x14ac:dyDescent="0.2">
      <c r="H1488" s="19">
        <v>-5.0892079185841897E-3</v>
      </c>
    </row>
    <row r="1489" spans="8:8" ht="15" customHeight="1" x14ac:dyDescent="0.2">
      <c r="H1489" s="19">
        <v>1.9379021911163499E-2</v>
      </c>
    </row>
    <row r="1490" spans="8:8" ht="15" customHeight="1" x14ac:dyDescent="0.2">
      <c r="H1490" s="19">
        <v>5.0872138240895702E-3</v>
      </c>
    </row>
    <row r="1491" spans="8:8" ht="15" customHeight="1" x14ac:dyDescent="0.2">
      <c r="H1491" s="19">
        <v>1.34474472884789E-3</v>
      </c>
    </row>
    <row r="1492" spans="8:8" ht="15" customHeight="1" x14ac:dyDescent="0.2">
      <c r="H1492" s="19">
        <v>2.6849649384390298E-3</v>
      </c>
    </row>
    <row r="1493" spans="8:8" ht="15" customHeight="1" x14ac:dyDescent="0.2">
      <c r="H1493" s="19">
        <v>-1.2937701724559001E-2</v>
      </c>
    </row>
    <row r="1494" spans="8:8" ht="15" customHeight="1" x14ac:dyDescent="0.2">
      <c r="H1494" s="19">
        <v>-2.1945416163695998E-3</v>
      </c>
    </row>
    <row r="1495" spans="8:8" ht="15" customHeight="1" x14ac:dyDescent="0.2">
      <c r="H1495" s="19">
        <v>-1.5391724666960101E-3</v>
      </c>
    </row>
    <row r="1496" spans="8:8" ht="15" customHeight="1" x14ac:dyDescent="0.2">
      <c r="H1496" s="19">
        <v>-1.6430718018828599E-2</v>
      </c>
    </row>
    <row r="1497" spans="8:8" ht="15" customHeight="1" x14ac:dyDescent="0.2">
      <c r="H1497" s="19">
        <v>4.3132789038298099E-3</v>
      </c>
    </row>
    <row r="1498" spans="8:8" ht="15" customHeight="1" x14ac:dyDescent="0.2">
      <c r="H1498" s="19">
        <v>-1.22641020297418E-2</v>
      </c>
    </row>
    <row r="1499" spans="8:8" ht="15" customHeight="1" x14ac:dyDescent="0.2">
      <c r="H1499" s="19">
        <v>-3.0488022664114699E-3</v>
      </c>
    </row>
    <row r="1500" spans="8:8" ht="15" customHeight="1" x14ac:dyDescent="0.2">
      <c r="H1500" s="19">
        <v>7.8483426524917303E-3</v>
      </c>
    </row>
    <row r="1501" spans="8:8" ht="15" customHeight="1" x14ac:dyDescent="0.2">
      <c r="H1501" s="19">
        <v>-8.2622426466743403E-3</v>
      </c>
    </row>
    <row r="1502" spans="8:8" ht="15" customHeight="1" x14ac:dyDescent="0.2">
      <c r="H1502" s="19">
        <v>1.3031446867284E-2</v>
      </c>
    </row>
    <row r="1503" spans="8:8" ht="15" customHeight="1" x14ac:dyDescent="0.2">
      <c r="H1503" s="19">
        <v>3.0819500355684198E-4</v>
      </c>
    </row>
    <row r="1504" spans="8:8" ht="15" customHeight="1" x14ac:dyDescent="0.2">
      <c r="H1504" s="19">
        <v>-7.9934815642607893E-3</v>
      </c>
    </row>
    <row r="1505" spans="8:8" ht="15" customHeight="1" x14ac:dyDescent="0.2">
      <c r="H1505" s="19">
        <v>-4.6458507880610903E-3</v>
      </c>
    </row>
    <row r="1506" spans="8:8" ht="15" customHeight="1" x14ac:dyDescent="0.2">
      <c r="H1506" s="19">
        <v>-1.9812540444914699E-2</v>
      </c>
    </row>
    <row r="1507" spans="8:8" ht="15" customHeight="1" x14ac:dyDescent="0.2">
      <c r="H1507" s="19">
        <v>-5.1721675435998397E-3</v>
      </c>
    </row>
    <row r="1508" spans="8:8" ht="15" customHeight="1" x14ac:dyDescent="0.2">
      <c r="H1508" s="19">
        <v>1.6781330886862799E-3</v>
      </c>
    </row>
    <row r="1509" spans="8:8" ht="15" customHeight="1" x14ac:dyDescent="0.2">
      <c r="H1509" s="19">
        <v>2.1553230398465802E-2</v>
      </c>
    </row>
    <row r="1510" spans="8:8" ht="15" customHeight="1" x14ac:dyDescent="0.2">
      <c r="H1510" s="19">
        <v>-7.7978680504293399E-4</v>
      </c>
    </row>
    <row r="1511" spans="8:8" ht="15" customHeight="1" x14ac:dyDescent="0.2">
      <c r="H1511" s="19">
        <v>-4.1077459635160199E-3</v>
      </c>
    </row>
    <row r="1512" spans="8:8" ht="15" customHeight="1" x14ac:dyDescent="0.2">
      <c r="H1512" s="19">
        <v>-1.3400242399580599E-2</v>
      </c>
    </row>
    <row r="1513" spans="8:8" ht="15" customHeight="1" x14ac:dyDescent="0.2">
      <c r="H1513" s="19">
        <v>9.4784389288423603E-4</v>
      </c>
    </row>
    <row r="1514" spans="8:8" ht="15" customHeight="1" x14ac:dyDescent="0.2">
      <c r="H1514" s="19">
        <v>1.4090534444987099E-2</v>
      </c>
    </row>
    <row r="1515" spans="8:8" ht="15" customHeight="1" x14ac:dyDescent="0.2">
      <c r="H1515" s="19">
        <v>2.0803595742824501E-3</v>
      </c>
    </row>
    <row r="1516" spans="8:8" ht="15" customHeight="1" x14ac:dyDescent="0.2">
      <c r="H1516" s="19">
        <v>-4.8397171045850397E-3</v>
      </c>
    </row>
    <row r="1517" spans="8:8" ht="15" customHeight="1" x14ac:dyDescent="0.2">
      <c r="H1517" s="19">
        <v>-5.0358292407418201E-4</v>
      </c>
    </row>
    <row r="1518" spans="8:8" ht="15" customHeight="1" x14ac:dyDescent="0.2">
      <c r="H1518" s="19">
        <v>5.8956453113290198E-4</v>
      </c>
    </row>
    <row r="1519" spans="8:8" ht="15" customHeight="1" x14ac:dyDescent="0.2">
      <c r="H1519" s="19">
        <v>-7.4860352224474904E-3</v>
      </c>
    </row>
    <row r="1520" spans="8:8" ht="15" customHeight="1" x14ac:dyDescent="0.2">
      <c r="H1520" s="19">
        <v>-4.1324855239960098E-3</v>
      </c>
    </row>
    <row r="1521" spans="8:8" ht="15" customHeight="1" x14ac:dyDescent="0.2">
      <c r="H1521" s="19">
        <v>1.6177878097629099E-2</v>
      </c>
    </row>
    <row r="1522" spans="8:8" ht="15" customHeight="1" x14ac:dyDescent="0.2">
      <c r="H1522" s="19">
        <v>-1.5783005489732899E-2</v>
      </c>
    </row>
    <row r="1523" spans="8:8" ht="15" customHeight="1" x14ac:dyDescent="0.2">
      <c r="H1523" s="19">
        <v>1.91602949806042E-3</v>
      </c>
    </row>
    <row r="1524" spans="8:8" ht="15" customHeight="1" x14ac:dyDescent="0.2">
      <c r="H1524" s="19">
        <v>-2.5425206347834402E-3</v>
      </c>
    </row>
    <row r="1525" spans="8:8" ht="15" customHeight="1" x14ac:dyDescent="0.2">
      <c r="H1525" s="19">
        <v>4.2087989914683099E-3</v>
      </c>
    </row>
    <row r="1526" spans="8:8" ht="15" customHeight="1" x14ac:dyDescent="0.2">
      <c r="H1526" s="19">
        <v>1.04878968042577E-2</v>
      </c>
    </row>
    <row r="1527" spans="8:8" ht="15" customHeight="1" x14ac:dyDescent="0.2">
      <c r="H1527" s="19">
        <v>6.6063667688540002E-3</v>
      </c>
    </row>
    <row r="1528" spans="8:8" ht="15" customHeight="1" x14ac:dyDescent="0.2">
      <c r="H1528" s="19">
        <v>3.9082606715269601E-3</v>
      </c>
    </row>
    <row r="1529" spans="8:8" ht="15" customHeight="1" x14ac:dyDescent="0.2">
      <c r="H1529" s="19">
        <v>-4.1991059394645702E-3</v>
      </c>
    </row>
    <row r="1530" spans="8:8" ht="15" customHeight="1" x14ac:dyDescent="0.2">
      <c r="H1530" s="19">
        <v>-2.1209934917063899E-3</v>
      </c>
    </row>
    <row r="1531" spans="8:8" ht="15" customHeight="1" x14ac:dyDescent="0.2">
      <c r="H1531" s="19">
        <v>-5.8652550226501602E-3</v>
      </c>
    </row>
    <row r="1532" spans="8:8" ht="15" customHeight="1" x14ac:dyDescent="0.2">
      <c r="H1532" s="19">
        <v>1.9925324250439202E-3</v>
      </c>
    </row>
    <row r="1533" spans="8:8" ht="15" customHeight="1" x14ac:dyDescent="0.2">
      <c r="H1533" s="19">
        <v>-1.25589040442757E-2</v>
      </c>
    </row>
    <row r="1534" spans="8:8" ht="15" customHeight="1" x14ac:dyDescent="0.2">
      <c r="H1534" s="19">
        <v>1.1009582364470199E-2</v>
      </c>
    </row>
    <row r="1535" spans="8:8" ht="15" customHeight="1" x14ac:dyDescent="0.2">
      <c r="H1535" s="19">
        <v>-1.66544207098458E-2</v>
      </c>
    </row>
    <row r="1536" spans="8:8" ht="15" customHeight="1" x14ac:dyDescent="0.2">
      <c r="H1536" s="19">
        <v>-8.0665991240800004E-3</v>
      </c>
    </row>
    <row r="1537" spans="8:8" ht="15" customHeight="1" x14ac:dyDescent="0.2">
      <c r="H1537" s="19">
        <v>5.3561394808181702E-3</v>
      </c>
    </row>
    <row r="1538" spans="8:8" ht="15" customHeight="1" x14ac:dyDescent="0.2">
      <c r="H1538" s="19">
        <v>-4.6924531648468897E-3</v>
      </c>
    </row>
    <row r="1539" spans="8:8" ht="15" customHeight="1" x14ac:dyDescent="0.2">
      <c r="H1539" s="19">
        <v>1.16118318168974E-2</v>
      </c>
    </row>
    <row r="1540" spans="8:8" ht="15" customHeight="1" x14ac:dyDescent="0.2">
      <c r="H1540" s="19">
        <v>9.1941912963607007E-3</v>
      </c>
    </row>
    <row r="1541" spans="8:8" ht="15" customHeight="1" x14ac:dyDescent="0.2">
      <c r="H1541" s="19">
        <v>3.4845713958851299E-3</v>
      </c>
    </row>
    <row r="1542" spans="8:8" ht="15" customHeight="1" x14ac:dyDescent="0.2">
      <c r="H1542" s="19">
        <v>-2.2230922218956198E-3</v>
      </c>
    </row>
    <row r="1543" spans="8:8" ht="15" customHeight="1" x14ac:dyDescent="0.2">
      <c r="H1543" s="19">
        <v>-1.3925466847380099E-2</v>
      </c>
    </row>
    <row r="1544" spans="8:8" ht="15" customHeight="1" x14ac:dyDescent="0.2">
      <c r="H1544" s="19">
        <v>1.8482353674635699E-3</v>
      </c>
    </row>
    <row r="1545" spans="8:8" ht="15" customHeight="1" x14ac:dyDescent="0.2">
      <c r="H1545" s="19">
        <v>6.7073260684476204E-3</v>
      </c>
    </row>
    <row r="1546" spans="8:8" ht="15" customHeight="1" x14ac:dyDescent="0.2">
      <c r="H1546" s="19">
        <v>3.5767190300624902E-3</v>
      </c>
    </row>
    <row r="1547" spans="8:8" ht="15" customHeight="1" x14ac:dyDescent="0.2">
      <c r="H1547" s="19">
        <v>-5.5269588581867398E-3</v>
      </c>
    </row>
    <row r="1548" spans="8:8" ht="15" customHeight="1" x14ac:dyDescent="0.2">
      <c r="H1548" s="19">
        <v>2.8015043021604501E-3</v>
      </c>
    </row>
    <row r="1549" spans="8:8" ht="15" customHeight="1" x14ac:dyDescent="0.2">
      <c r="H1549" s="19">
        <v>-3.6314916689014001E-3</v>
      </c>
    </row>
    <row r="1550" spans="8:8" ht="15" customHeight="1" x14ac:dyDescent="0.2">
      <c r="H1550" s="19">
        <v>7.02083376502384E-3</v>
      </c>
    </row>
    <row r="1551" spans="8:8" ht="15" customHeight="1" x14ac:dyDescent="0.2">
      <c r="H1551" s="19">
        <v>1.50925068554609E-2</v>
      </c>
    </row>
    <row r="1552" spans="8:8" ht="15" customHeight="1" x14ac:dyDescent="0.2">
      <c r="H1552" s="19">
        <v>6.6819316952196296E-3</v>
      </c>
    </row>
    <row r="1553" spans="8:8" ht="15" customHeight="1" x14ac:dyDescent="0.2">
      <c r="H1553" s="19">
        <v>8.0679024428073499E-3</v>
      </c>
    </row>
    <row r="1554" spans="8:8" ht="15" customHeight="1" x14ac:dyDescent="0.2">
      <c r="H1554" s="19">
        <v>1.7375746245665801E-3</v>
      </c>
    </row>
    <row r="1555" spans="8:8" ht="15" customHeight="1" x14ac:dyDescent="0.2">
      <c r="H1555" s="19">
        <v>8.2371737551105596E-3</v>
      </c>
    </row>
    <row r="1556" spans="8:8" ht="15" customHeight="1" x14ac:dyDescent="0.2">
      <c r="H1556" s="19">
        <v>3.8595974108141399E-3</v>
      </c>
    </row>
    <row r="1557" spans="8:8" ht="15" customHeight="1" x14ac:dyDescent="0.2">
      <c r="H1557" s="19">
        <v>-9.9041223411579799E-3</v>
      </c>
    </row>
    <row r="1558" spans="8:8" ht="15" customHeight="1" x14ac:dyDescent="0.2">
      <c r="H1558" s="19">
        <v>-2.1475990215035099E-3</v>
      </c>
    </row>
    <row r="1559" spans="8:8" ht="15" customHeight="1" x14ac:dyDescent="0.2">
      <c r="H1559" s="19">
        <v>-6.1708284660965699E-3</v>
      </c>
    </row>
    <row r="1560" spans="8:8" ht="15" customHeight="1" x14ac:dyDescent="0.2">
      <c r="H1560" s="19">
        <v>8.5094672814675105E-3</v>
      </c>
    </row>
    <row r="1561" spans="8:8" ht="15" customHeight="1" x14ac:dyDescent="0.2">
      <c r="H1561" s="19">
        <v>7.0782236843525597E-3</v>
      </c>
    </row>
    <row r="1562" spans="8:8" ht="15" customHeight="1" x14ac:dyDescent="0.2">
      <c r="H1562" s="19">
        <v>3.7610841549054301E-3</v>
      </c>
    </row>
    <row r="1563" spans="8:8" ht="15" customHeight="1" x14ac:dyDescent="0.2">
      <c r="H1563" s="19">
        <v>4.69078073137498E-3</v>
      </c>
    </row>
    <row r="1564" spans="8:8" ht="15" customHeight="1" x14ac:dyDescent="0.2">
      <c r="H1564" s="19">
        <v>1.43594113819988E-2</v>
      </c>
    </row>
    <row r="1565" spans="8:8" ht="15" customHeight="1" x14ac:dyDescent="0.2">
      <c r="H1565" s="19">
        <v>-2.5189325689440201E-2</v>
      </c>
    </row>
    <row r="1566" spans="8:8" ht="15" customHeight="1" x14ac:dyDescent="0.2">
      <c r="H1566" s="19">
        <v>-8.5263846492083795E-3</v>
      </c>
    </row>
    <row r="1567" spans="8:8" ht="15" customHeight="1" x14ac:dyDescent="0.2">
      <c r="H1567" s="19">
        <v>-1.42605883719141E-2</v>
      </c>
    </row>
    <row r="1568" spans="8:8" ht="15" customHeight="1" x14ac:dyDescent="0.2">
      <c r="H1568" s="19">
        <v>6.0208199852090404E-3</v>
      </c>
    </row>
    <row r="1569" spans="8:8" ht="15" customHeight="1" x14ac:dyDescent="0.2">
      <c r="H1569" s="19">
        <v>-9.0881166294940093E-3</v>
      </c>
    </row>
    <row r="1570" spans="8:8" ht="15" customHeight="1" x14ac:dyDescent="0.2">
      <c r="H1570" s="19">
        <v>4.26006246942566E-3</v>
      </c>
    </row>
    <row r="1571" spans="8:8" ht="15" customHeight="1" x14ac:dyDescent="0.2">
      <c r="H1571" s="19">
        <v>-6.4285682083565204E-3</v>
      </c>
    </row>
    <row r="1572" spans="8:8" ht="15" customHeight="1" x14ac:dyDescent="0.2">
      <c r="H1572" s="19">
        <v>-1.51195847844408E-3</v>
      </c>
    </row>
    <row r="1573" spans="8:8" ht="15" customHeight="1" x14ac:dyDescent="0.2">
      <c r="H1573" s="19">
        <v>8.6609841938748693E-3</v>
      </c>
    </row>
    <row r="1574" spans="8:8" ht="15" customHeight="1" x14ac:dyDescent="0.2">
      <c r="H1574" s="19">
        <v>-1.1570019598219201E-2</v>
      </c>
    </row>
    <row r="1575" spans="8:8" ht="15" customHeight="1" x14ac:dyDescent="0.2">
      <c r="H1575" s="19">
        <v>-3.9012087958097798E-3</v>
      </c>
    </row>
    <row r="1576" spans="8:8" ht="15" customHeight="1" x14ac:dyDescent="0.2">
      <c r="H1576" s="19">
        <v>1.1908242799867E-2</v>
      </c>
    </row>
    <row r="1577" spans="8:8" ht="15" customHeight="1" x14ac:dyDescent="0.2">
      <c r="H1577" s="19">
        <v>5.3868222897066201E-3</v>
      </c>
    </row>
    <row r="1578" spans="8:8" ht="15" customHeight="1" x14ac:dyDescent="0.2">
      <c r="H1578" s="19">
        <v>1.7417223864765002E-2</v>
      </c>
    </row>
    <row r="1579" spans="8:8" ht="15" customHeight="1" x14ac:dyDescent="0.2">
      <c r="H1579" s="19">
        <v>1.6405931034346199E-3</v>
      </c>
    </row>
    <row r="1580" spans="8:8" ht="15" customHeight="1" x14ac:dyDescent="0.2">
      <c r="H1580" s="19">
        <v>9.8537470751297197E-3</v>
      </c>
    </row>
    <row r="1581" spans="8:8" ht="15" customHeight="1" x14ac:dyDescent="0.2">
      <c r="H1581" s="19">
        <v>-2.0883988231630801E-2</v>
      </c>
    </row>
    <row r="1582" spans="8:8" ht="15" customHeight="1" x14ac:dyDescent="0.2">
      <c r="H1582" s="19">
        <v>-1.01927341903901E-2</v>
      </c>
    </row>
    <row r="1583" spans="8:8" ht="15" customHeight="1" x14ac:dyDescent="0.2">
      <c r="H1583" s="19">
        <v>9.0387548453862692E-3</v>
      </c>
    </row>
    <row r="1584" spans="8:8" ht="15" customHeight="1" x14ac:dyDescent="0.2">
      <c r="H1584" s="19">
        <v>-1.44301879104993E-2</v>
      </c>
    </row>
    <row r="1585" spans="8:8" ht="15" customHeight="1" x14ac:dyDescent="0.2">
      <c r="H1585" s="19">
        <v>5.4262484895485604E-3</v>
      </c>
    </row>
    <row r="1586" spans="8:8" ht="15" customHeight="1" x14ac:dyDescent="0.2">
      <c r="H1586" s="19">
        <v>-5.0651617895623603E-3</v>
      </c>
    </row>
    <row r="1587" spans="8:8" ht="15" customHeight="1" x14ac:dyDescent="0.2">
      <c r="H1587" s="19">
        <v>9.4634573494998195E-3</v>
      </c>
    </row>
    <row r="1588" spans="8:8" ht="15" customHeight="1" x14ac:dyDescent="0.2">
      <c r="H1588" s="19">
        <v>8.4767131186514702E-4</v>
      </c>
    </row>
    <row r="1589" spans="8:8" ht="15" customHeight="1" x14ac:dyDescent="0.2">
      <c r="H1589" s="19">
        <v>1.0132166455084499E-2</v>
      </c>
    </row>
    <row r="1590" spans="8:8" ht="15" customHeight="1" x14ac:dyDescent="0.2">
      <c r="H1590" s="19">
        <v>1.3258523225318199E-2</v>
      </c>
    </row>
    <row r="1591" spans="8:8" ht="15" customHeight="1" x14ac:dyDescent="0.2">
      <c r="H1591" s="19">
        <v>-1.45958167410209E-2</v>
      </c>
    </row>
    <row r="1592" spans="8:8" ht="15" customHeight="1" x14ac:dyDescent="0.2">
      <c r="H1592" s="19">
        <v>-9.7900819052505594E-3</v>
      </c>
    </row>
    <row r="1593" spans="8:8" ht="15" customHeight="1" x14ac:dyDescent="0.2">
      <c r="H1593" s="19">
        <v>-1.7165846647254599E-2</v>
      </c>
    </row>
    <row r="1594" spans="8:8" ht="15" customHeight="1" x14ac:dyDescent="0.2">
      <c r="H1594" s="19">
        <v>9.3103747454800403E-3</v>
      </c>
    </row>
    <row r="1595" spans="8:8" ht="15" customHeight="1" x14ac:dyDescent="0.2">
      <c r="H1595" s="19">
        <v>-1.23705846588928E-2</v>
      </c>
    </row>
    <row r="1596" spans="8:8" ht="15" customHeight="1" x14ac:dyDescent="0.2">
      <c r="H1596" s="19">
        <v>-3.8136408782509E-3</v>
      </c>
    </row>
    <row r="1597" spans="8:8" ht="15" customHeight="1" x14ac:dyDescent="0.2">
      <c r="H1597" s="19">
        <v>-1.4923704318472999E-2</v>
      </c>
    </row>
    <row r="1598" spans="8:8" ht="15" customHeight="1" x14ac:dyDescent="0.2">
      <c r="H1598" s="19">
        <v>-7.0061504581028699E-3</v>
      </c>
    </row>
    <row r="1599" spans="8:8" ht="15" customHeight="1" x14ac:dyDescent="0.2">
      <c r="H1599" s="19">
        <v>-7.3140899517967701E-3</v>
      </c>
    </row>
    <row r="1600" spans="8:8" ht="15" customHeight="1" x14ac:dyDescent="0.2">
      <c r="H1600" s="19">
        <v>1.7968731998516702E-2</v>
      </c>
    </row>
    <row r="1601" spans="8:8" ht="15" customHeight="1" x14ac:dyDescent="0.2">
      <c r="H1601" s="19">
        <v>1.08179585112009E-3</v>
      </c>
    </row>
    <row r="1602" spans="8:8" ht="15" customHeight="1" x14ac:dyDescent="0.2">
      <c r="H1602" s="19">
        <v>-1.9052146192006101E-4</v>
      </c>
    </row>
    <row r="1603" spans="8:8" ht="15" customHeight="1" x14ac:dyDescent="0.2">
      <c r="H1603" s="19">
        <v>-7.29505201747805E-3</v>
      </c>
    </row>
    <row r="1604" spans="8:8" ht="15" customHeight="1" x14ac:dyDescent="0.2">
      <c r="H1604" s="19">
        <v>3.7065470754499498E-3</v>
      </c>
    </row>
    <row r="1605" spans="8:8" ht="15" customHeight="1" x14ac:dyDescent="0.2">
      <c r="H1605" s="19">
        <v>1.5969757042461001E-2</v>
      </c>
    </row>
    <row r="1606" spans="8:8" ht="15" customHeight="1" x14ac:dyDescent="0.2">
      <c r="H1606" s="19">
        <v>8.5061285699707806E-3</v>
      </c>
    </row>
    <row r="1607" spans="8:8" ht="15" customHeight="1" x14ac:dyDescent="0.2">
      <c r="H1607" s="19">
        <v>1.18326473095833E-2</v>
      </c>
    </row>
    <row r="1608" spans="8:8" ht="15" customHeight="1" x14ac:dyDescent="0.2">
      <c r="H1608" s="19">
        <v>5.7022841328359299E-3</v>
      </c>
    </row>
    <row r="1609" spans="8:8" ht="15" customHeight="1" x14ac:dyDescent="0.2">
      <c r="H1609" s="19">
        <v>-1.13384667937724E-2</v>
      </c>
    </row>
    <row r="1610" spans="8:8" ht="15" customHeight="1" x14ac:dyDescent="0.2">
      <c r="H1610" s="19">
        <v>1.71750966445747E-2</v>
      </c>
    </row>
    <row r="1611" spans="8:8" ht="15" customHeight="1" x14ac:dyDescent="0.2">
      <c r="H1611" s="19">
        <v>1.3392840644717401E-2</v>
      </c>
    </row>
    <row r="1612" spans="8:8" ht="15" customHeight="1" x14ac:dyDescent="0.2">
      <c r="H1612" s="19">
        <v>2.0087987287432201E-2</v>
      </c>
    </row>
    <row r="1613" spans="8:8" ht="15" customHeight="1" x14ac:dyDescent="0.2">
      <c r="H1613" s="19">
        <v>-4.1817227216991498E-3</v>
      </c>
    </row>
    <row r="1614" spans="8:8" ht="15" customHeight="1" x14ac:dyDescent="0.2">
      <c r="H1614" s="19">
        <v>2.1294111895566601E-2</v>
      </c>
    </row>
    <row r="1615" spans="8:8" ht="15" customHeight="1" x14ac:dyDescent="0.2">
      <c r="H1615" s="19">
        <v>1.3229014146167801E-2</v>
      </c>
    </row>
    <row r="1616" spans="8:8" ht="15" customHeight="1" x14ac:dyDescent="0.2">
      <c r="H1616" s="19">
        <v>9.8895724001270002E-3</v>
      </c>
    </row>
    <row r="1617" spans="8:8" ht="15" customHeight="1" x14ac:dyDescent="0.2">
      <c r="H1617" s="19">
        <v>7.3426284577629199E-3</v>
      </c>
    </row>
    <row r="1618" spans="8:8" ht="15" customHeight="1" x14ac:dyDescent="0.2">
      <c r="H1618" s="19">
        <v>1.0499846374989101E-2</v>
      </c>
    </row>
    <row r="1619" spans="8:8" ht="15" customHeight="1" x14ac:dyDescent="0.2">
      <c r="H1619" s="19">
        <v>-3.06044536036933E-3</v>
      </c>
    </row>
    <row r="1620" spans="8:8" ht="15" customHeight="1" x14ac:dyDescent="0.2">
      <c r="H1620" s="19">
        <v>6.71461314465863E-3</v>
      </c>
    </row>
    <row r="1621" spans="8:8" ht="15" customHeight="1" x14ac:dyDescent="0.2">
      <c r="H1621" s="19">
        <v>-6.7427702961038102E-3</v>
      </c>
    </row>
    <row r="1622" spans="8:8" ht="15" customHeight="1" x14ac:dyDescent="0.2">
      <c r="H1622" s="19">
        <v>-5.5814614323540003E-4</v>
      </c>
    </row>
    <row r="1623" spans="8:8" ht="15" customHeight="1" x14ac:dyDescent="0.2">
      <c r="H1623" s="19">
        <v>-1.2125131101459E-2</v>
      </c>
    </row>
    <row r="1624" spans="8:8" ht="15" customHeight="1" x14ac:dyDescent="0.2">
      <c r="H1624" s="19">
        <v>-6.7320202411127704E-3</v>
      </c>
    </row>
    <row r="1625" spans="8:8" ht="15" customHeight="1" x14ac:dyDescent="0.2">
      <c r="H1625" s="19">
        <v>-8.9002641255839197E-3</v>
      </c>
    </row>
    <row r="1626" spans="8:8" ht="15" customHeight="1" x14ac:dyDescent="0.2">
      <c r="H1626" s="19">
        <v>-1.16099996315216E-2</v>
      </c>
    </row>
    <row r="1627" spans="8:8" ht="15" customHeight="1" x14ac:dyDescent="0.2">
      <c r="H1627" s="19">
        <v>-9.01477396626779E-3</v>
      </c>
    </row>
    <row r="1628" spans="8:8" ht="15" customHeight="1" x14ac:dyDescent="0.2">
      <c r="H1628" s="19">
        <v>-9.8592057784608195E-3</v>
      </c>
    </row>
    <row r="1629" spans="8:8" ht="15" customHeight="1" x14ac:dyDescent="0.2">
      <c r="H1629" s="19">
        <v>7.4437445591958896E-3</v>
      </c>
    </row>
    <row r="1630" spans="8:8" ht="15" customHeight="1" x14ac:dyDescent="0.2">
      <c r="H1630" s="19">
        <v>7.9277888044590704E-3</v>
      </c>
    </row>
    <row r="1631" spans="8:8" ht="15" customHeight="1" x14ac:dyDescent="0.2">
      <c r="H1631" s="19">
        <v>-1.29975557865218E-2</v>
      </c>
    </row>
    <row r="1632" spans="8:8" ht="15" customHeight="1" x14ac:dyDescent="0.2">
      <c r="H1632" s="19">
        <v>4.5233508897356504E-3</v>
      </c>
    </row>
    <row r="1633" spans="8:8" ht="15" customHeight="1" x14ac:dyDescent="0.2">
      <c r="H1633" s="19">
        <v>-1.03057504550313E-2</v>
      </c>
    </row>
    <row r="1634" spans="8:8" ht="15" customHeight="1" x14ac:dyDescent="0.2">
      <c r="H1634" s="19">
        <v>1.78480754641735E-3</v>
      </c>
    </row>
    <row r="1635" spans="8:8" ht="15" customHeight="1" x14ac:dyDescent="0.2">
      <c r="H1635" s="19">
        <v>-1.58725468648305E-2</v>
      </c>
    </row>
    <row r="1636" spans="8:8" ht="15" customHeight="1" x14ac:dyDescent="0.2">
      <c r="H1636" s="19">
        <v>7.8765551747061197E-3</v>
      </c>
    </row>
    <row r="1637" spans="8:8" ht="15" customHeight="1" x14ac:dyDescent="0.2">
      <c r="H1637" s="19">
        <v>5.6511958463215904E-3</v>
      </c>
    </row>
    <row r="1638" spans="8:8" ht="15" customHeight="1" x14ac:dyDescent="0.2">
      <c r="H1638" s="19">
        <v>1.7700953070025299E-3</v>
      </c>
    </row>
    <row r="1639" spans="8:8" ht="15" customHeight="1" x14ac:dyDescent="0.2">
      <c r="H1639" s="19">
        <v>-4.1037172789219201E-3</v>
      </c>
    </row>
    <row r="1640" spans="8:8" ht="15" customHeight="1" x14ac:dyDescent="0.2">
      <c r="H1640" s="19">
        <v>-1.69345080789963E-3</v>
      </c>
    </row>
    <row r="1641" spans="8:8" ht="15" customHeight="1" x14ac:dyDescent="0.2">
      <c r="H1641" s="19">
        <v>-1.24790922591492E-3</v>
      </c>
    </row>
    <row r="1642" spans="8:8" ht="15" customHeight="1" x14ac:dyDescent="0.2">
      <c r="H1642" s="19">
        <v>8.6504114378847601E-4</v>
      </c>
    </row>
    <row r="1643" spans="8:8" ht="15" customHeight="1" x14ac:dyDescent="0.2">
      <c r="H1643" s="19">
        <v>-2.38428277481708E-3</v>
      </c>
    </row>
    <row r="1644" spans="8:8" ht="15" customHeight="1" x14ac:dyDescent="0.2">
      <c r="H1644" s="19">
        <v>-4.8584569162471803E-3</v>
      </c>
    </row>
    <row r="1645" spans="8:8" ht="15" customHeight="1" x14ac:dyDescent="0.2">
      <c r="H1645" s="19">
        <v>-1.8160114150844599E-2</v>
      </c>
    </row>
    <row r="1646" spans="8:8" ht="15" customHeight="1" x14ac:dyDescent="0.2">
      <c r="H1646" s="19">
        <v>7.6613782269149997E-3</v>
      </c>
    </row>
    <row r="1647" spans="8:8" ht="15" customHeight="1" x14ac:dyDescent="0.2">
      <c r="H1647" s="19">
        <v>2.3362488527483801E-3</v>
      </c>
    </row>
    <row r="1648" spans="8:8" ht="15" customHeight="1" x14ac:dyDescent="0.2">
      <c r="H1648" s="19">
        <v>-1.60325758466737E-2</v>
      </c>
    </row>
    <row r="1649" spans="8:8" ht="15" customHeight="1" x14ac:dyDescent="0.2">
      <c r="H1649" s="19">
        <v>7.8735926518436507E-3</v>
      </c>
    </row>
    <row r="1650" spans="8:8" ht="15" customHeight="1" x14ac:dyDescent="0.2">
      <c r="H1650" s="19">
        <v>-9.61325582404517E-3</v>
      </c>
    </row>
    <row r="1651" spans="8:8" ht="15" customHeight="1" x14ac:dyDescent="0.2">
      <c r="H1651" s="19">
        <v>8.8282719072123907E-3</v>
      </c>
    </row>
    <row r="1652" spans="8:8" ht="15" customHeight="1" x14ac:dyDescent="0.2">
      <c r="H1652" s="19">
        <v>1.1669814044932499E-2</v>
      </c>
    </row>
    <row r="1653" spans="8:8" ht="15" customHeight="1" x14ac:dyDescent="0.2">
      <c r="H1653" s="19">
        <v>5.8092384300478597E-3</v>
      </c>
    </row>
    <row r="1654" spans="8:8" ht="15" customHeight="1" x14ac:dyDescent="0.2">
      <c r="H1654" s="19">
        <v>7.0469222795554298E-3</v>
      </c>
    </row>
    <row r="1655" spans="8:8" ht="15" customHeight="1" x14ac:dyDescent="0.2">
      <c r="H1655" s="19">
        <v>6.1111092539074098E-3</v>
      </c>
    </row>
    <row r="1656" spans="8:8" ht="15" customHeight="1" x14ac:dyDescent="0.2">
      <c r="H1656" s="19">
        <v>-1.3895922284331501E-2</v>
      </c>
    </row>
    <row r="1657" spans="8:8" ht="15" customHeight="1" x14ac:dyDescent="0.2">
      <c r="H1657" s="19">
        <v>2.1864986874121101E-2</v>
      </c>
    </row>
    <row r="1658" spans="8:8" ht="15" customHeight="1" x14ac:dyDescent="0.2">
      <c r="H1658" s="19">
        <v>1.14895989546992E-2</v>
      </c>
    </row>
    <row r="1659" spans="8:8" ht="15" customHeight="1" x14ac:dyDescent="0.2">
      <c r="H1659" s="19">
        <v>6.5901109696600898E-3</v>
      </c>
    </row>
    <row r="1660" spans="8:8" ht="15" customHeight="1" x14ac:dyDescent="0.2">
      <c r="H1660" s="19">
        <v>6.5000306735372004E-3</v>
      </c>
    </row>
    <row r="1661" spans="8:8" ht="15" customHeight="1" x14ac:dyDescent="0.2">
      <c r="H1661" s="19">
        <v>3.2294862663327E-4</v>
      </c>
    </row>
    <row r="1662" spans="8:8" ht="15" customHeight="1" x14ac:dyDescent="0.2">
      <c r="H1662" s="19">
        <v>7.1356752475004196E-3</v>
      </c>
    </row>
    <row r="1663" spans="8:8" ht="15" customHeight="1" x14ac:dyDescent="0.2">
      <c r="H1663" s="19">
        <v>4.6085710290809101E-3</v>
      </c>
    </row>
    <row r="1664" spans="8:8" ht="15" customHeight="1" x14ac:dyDescent="0.2">
      <c r="H1664" s="19">
        <v>-1.06457934410286E-2</v>
      </c>
    </row>
    <row r="1665" spans="8:8" ht="15" customHeight="1" x14ac:dyDescent="0.2">
      <c r="H1665" s="19">
        <v>7.8109956615640998E-3</v>
      </c>
    </row>
    <row r="1666" spans="8:8" ht="15" customHeight="1" x14ac:dyDescent="0.2">
      <c r="H1666" s="19">
        <v>8.9636197215376499E-3</v>
      </c>
    </row>
    <row r="1667" spans="8:8" ht="15" customHeight="1" x14ac:dyDescent="0.2">
      <c r="H1667" s="19">
        <v>-7.53156363752486E-3</v>
      </c>
    </row>
    <row r="1668" spans="8:8" ht="15" customHeight="1" x14ac:dyDescent="0.2">
      <c r="H1668" s="19">
        <v>1.04387807851883E-2</v>
      </c>
    </row>
    <row r="1669" spans="8:8" ht="15" customHeight="1" x14ac:dyDescent="0.2">
      <c r="H1669" s="19">
        <v>-5.1857827567815202E-3</v>
      </c>
    </row>
    <row r="1670" spans="8:8" ht="15" customHeight="1" x14ac:dyDescent="0.2">
      <c r="H1670" s="19">
        <v>-3.8484172927157798E-3</v>
      </c>
    </row>
    <row r="1671" spans="8:8" ht="15" customHeight="1" x14ac:dyDescent="0.2">
      <c r="H1671" s="19">
        <v>2.70852558598821E-3</v>
      </c>
    </row>
    <row r="1672" spans="8:8" ht="15" customHeight="1" x14ac:dyDescent="0.2">
      <c r="H1672" s="19">
        <v>2.12462104583927E-3</v>
      </c>
    </row>
    <row r="1673" spans="8:8" ht="15" customHeight="1" x14ac:dyDescent="0.2">
      <c r="H1673" s="19">
        <v>1.74281127394854E-4</v>
      </c>
    </row>
    <row r="1674" spans="8:8" ht="15" customHeight="1" x14ac:dyDescent="0.2">
      <c r="H1674" s="19">
        <v>1.77926030576404E-2</v>
      </c>
    </row>
    <row r="1675" spans="8:8" ht="15" customHeight="1" x14ac:dyDescent="0.2">
      <c r="H1675" s="19">
        <v>7.7672646429240199E-4</v>
      </c>
    </row>
    <row r="1676" spans="8:8" ht="15" customHeight="1" x14ac:dyDescent="0.2">
      <c r="H1676" s="19">
        <v>-1.0649859345228E-2</v>
      </c>
    </row>
    <row r="1677" spans="8:8" ht="15" customHeight="1" x14ac:dyDescent="0.2">
      <c r="H1677" s="19">
        <v>-8.6833592568106299E-3</v>
      </c>
    </row>
    <row r="1678" spans="8:8" ht="15" customHeight="1" x14ac:dyDescent="0.2">
      <c r="H1678" s="19">
        <v>5.9077190185224298E-3</v>
      </c>
    </row>
    <row r="1679" spans="8:8" ht="15" customHeight="1" x14ac:dyDescent="0.2">
      <c r="H1679" s="19">
        <v>-1.2986603131324E-2</v>
      </c>
    </row>
    <row r="1680" spans="8:8" ht="15" customHeight="1" x14ac:dyDescent="0.2">
      <c r="H1680" s="19">
        <v>-1.15645357144102E-2</v>
      </c>
    </row>
    <row r="1681" spans="8:8" ht="15" customHeight="1" x14ac:dyDescent="0.2">
      <c r="H1681" s="19">
        <v>-1.0429970628607199E-2</v>
      </c>
    </row>
    <row r="1682" spans="8:8" ht="15" customHeight="1" x14ac:dyDescent="0.2">
      <c r="H1682" s="19">
        <v>-8.4789011946609701E-3</v>
      </c>
    </row>
    <row r="1683" spans="8:8" ht="15" customHeight="1" x14ac:dyDescent="0.2">
      <c r="H1683" s="19">
        <v>3.0407681053852501E-3</v>
      </c>
    </row>
    <row r="1684" spans="8:8" ht="15" customHeight="1" x14ac:dyDescent="0.2">
      <c r="H1684" s="19">
        <v>4.2313204973212304E-3</v>
      </c>
    </row>
    <row r="1685" spans="8:8" ht="15" customHeight="1" x14ac:dyDescent="0.2">
      <c r="H1685" s="19">
        <v>2.9451638041482701E-4</v>
      </c>
    </row>
    <row r="1686" spans="8:8" ht="15" customHeight="1" x14ac:dyDescent="0.2">
      <c r="H1686" s="19">
        <v>-1.0923689957489499E-2</v>
      </c>
    </row>
    <row r="1687" spans="8:8" ht="15" customHeight="1" x14ac:dyDescent="0.2">
      <c r="H1687" s="19">
        <v>1.83052820750019E-2</v>
      </c>
    </row>
    <row r="1688" spans="8:8" ht="15" customHeight="1" x14ac:dyDescent="0.2">
      <c r="H1688" s="19">
        <v>1.30264023075078E-2</v>
      </c>
    </row>
    <row r="1689" spans="8:8" ht="15" customHeight="1" x14ac:dyDescent="0.2">
      <c r="H1689" s="19">
        <v>4.5359211529294296E-3</v>
      </c>
    </row>
    <row r="1690" spans="8:8" ht="15" customHeight="1" x14ac:dyDescent="0.2">
      <c r="H1690" s="19">
        <v>3.1089206369860501E-3</v>
      </c>
    </row>
    <row r="1691" spans="8:8" ht="15" customHeight="1" x14ac:dyDescent="0.2">
      <c r="H1691" s="19">
        <v>-5.7450832511109096E-3</v>
      </c>
    </row>
    <row r="1692" spans="8:8" ht="15" customHeight="1" x14ac:dyDescent="0.2">
      <c r="H1692" s="19">
        <v>-6.4154044587007202E-3</v>
      </c>
    </row>
    <row r="1693" spans="8:8" ht="15" customHeight="1" x14ac:dyDescent="0.2">
      <c r="H1693" s="19">
        <v>1.7442686590444598E-2</v>
      </c>
    </row>
    <row r="1694" spans="8:8" ht="15" customHeight="1" x14ac:dyDescent="0.2">
      <c r="H1694" s="19">
        <v>-1.3399393748988801E-2</v>
      </c>
    </row>
    <row r="1695" spans="8:8" ht="15" customHeight="1" x14ac:dyDescent="0.2">
      <c r="H1695" s="19">
        <v>2.5171805993182E-2</v>
      </c>
    </row>
    <row r="1696" spans="8:8" ht="15" customHeight="1" x14ac:dyDescent="0.2">
      <c r="H1696" s="19">
        <v>-9.2156838084987598E-3</v>
      </c>
    </row>
    <row r="1697" spans="8:8" ht="15" customHeight="1" x14ac:dyDescent="0.2">
      <c r="H1697" s="19">
        <v>-1.08809194229047E-2</v>
      </c>
    </row>
    <row r="1698" spans="8:8" ht="15" customHeight="1" x14ac:dyDescent="0.2">
      <c r="H1698" s="19">
        <v>-6.2040297956230299E-3</v>
      </c>
    </row>
    <row r="1699" spans="8:8" ht="15" customHeight="1" x14ac:dyDescent="0.2">
      <c r="H1699" s="19">
        <v>9.06960752866659E-3</v>
      </c>
    </row>
    <row r="1700" spans="8:8" ht="15" customHeight="1" x14ac:dyDescent="0.2">
      <c r="H1700" s="19">
        <v>-5.7434771548045297E-3</v>
      </c>
    </row>
    <row r="1701" spans="8:8" ht="15" customHeight="1" x14ac:dyDescent="0.2">
      <c r="H1701" s="19">
        <v>-1.6832983357473501E-2</v>
      </c>
    </row>
    <row r="1702" spans="8:8" ht="15" customHeight="1" x14ac:dyDescent="0.2">
      <c r="H1702" s="19">
        <v>1.4188912451631799E-2</v>
      </c>
    </row>
    <row r="1703" spans="8:8" ht="15" customHeight="1" x14ac:dyDescent="0.2">
      <c r="H1703" s="19">
        <v>9.9183125526504708E-3</v>
      </c>
    </row>
    <row r="1704" spans="8:8" ht="15" customHeight="1" x14ac:dyDescent="0.2">
      <c r="H1704" s="19">
        <v>6.1255099654914102E-3</v>
      </c>
    </row>
    <row r="1705" spans="8:8" ht="15" customHeight="1" x14ac:dyDescent="0.2">
      <c r="H1705" s="19">
        <v>1.4568734348668899E-2</v>
      </c>
    </row>
    <row r="1706" spans="8:8" ht="15" customHeight="1" x14ac:dyDescent="0.2">
      <c r="H1706" s="19">
        <v>2.20614080198769E-2</v>
      </c>
    </row>
    <row r="1707" spans="8:8" ht="15" customHeight="1" x14ac:dyDescent="0.2">
      <c r="H1707" s="19">
        <v>-2.1344556261133199E-2</v>
      </c>
    </row>
    <row r="1708" spans="8:8" ht="15" customHeight="1" x14ac:dyDescent="0.2">
      <c r="H1708" s="19">
        <v>-3.7247394137676902E-3</v>
      </c>
    </row>
    <row r="1709" spans="8:8" ht="15" customHeight="1" x14ac:dyDescent="0.2">
      <c r="H1709" s="19">
        <v>2.4477897608191699E-3</v>
      </c>
    </row>
    <row r="1710" spans="8:8" ht="15" customHeight="1" x14ac:dyDescent="0.2">
      <c r="H1710" s="19">
        <v>1.0221963744814299E-2</v>
      </c>
    </row>
    <row r="1711" spans="8:8" ht="15" customHeight="1" x14ac:dyDescent="0.2">
      <c r="H1711" s="19">
        <v>-3.6058766872839598E-3</v>
      </c>
    </row>
    <row r="1712" spans="8:8" ht="15" customHeight="1" x14ac:dyDescent="0.2">
      <c r="H1712" s="19">
        <v>5.7063583181713199E-3</v>
      </c>
    </row>
    <row r="1713" spans="8:8" ht="15" customHeight="1" x14ac:dyDescent="0.2">
      <c r="H1713" s="19">
        <v>-2.3211501166524501E-2</v>
      </c>
    </row>
    <row r="1714" spans="8:8" ht="15" customHeight="1" x14ac:dyDescent="0.2">
      <c r="H1714" s="19">
        <v>-2.00065218709727E-2</v>
      </c>
    </row>
    <row r="1715" spans="8:8" ht="15" customHeight="1" x14ac:dyDescent="0.2">
      <c r="H1715" s="19">
        <v>4.7427333454708896E-3</v>
      </c>
    </row>
    <row r="1716" spans="8:8" ht="15" customHeight="1" x14ac:dyDescent="0.2">
      <c r="H1716" s="19">
        <v>6.3354888409768802E-4</v>
      </c>
    </row>
    <row r="1717" spans="8:8" ht="15" customHeight="1" x14ac:dyDescent="0.2">
      <c r="H1717" s="19">
        <v>2.1943135226221299E-3</v>
      </c>
    </row>
    <row r="1718" spans="8:8" ht="15" customHeight="1" x14ac:dyDescent="0.2">
      <c r="H1718" s="19">
        <v>-3.0837947662065101E-3</v>
      </c>
    </row>
    <row r="1719" spans="8:8" ht="15" customHeight="1" x14ac:dyDescent="0.2">
      <c r="H1719" s="19">
        <v>8.3106847473376193E-3</v>
      </c>
    </row>
    <row r="1720" spans="8:8" ht="15" customHeight="1" x14ac:dyDescent="0.2">
      <c r="H1720" s="19">
        <v>1.5081210201683799E-2</v>
      </c>
    </row>
    <row r="1721" spans="8:8" ht="15" customHeight="1" x14ac:dyDescent="0.2">
      <c r="H1721" s="19">
        <v>-3.21483874832871E-3</v>
      </c>
    </row>
    <row r="1722" spans="8:8" ht="15" customHeight="1" x14ac:dyDescent="0.2">
      <c r="H1722" s="19">
        <v>-5.37670407440994E-4</v>
      </c>
    </row>
    <row r="1723" spans="8:8" ht="15" customHeight="1" x14ac:dyDescent="0.2">
      <c r="H1723" s="19">
        <v>2.6787270951829298E-3</v>
      </c>
    </row>
    <row r="1724" spans="8:8" ht="15" customHeight="1" x14ac:dyDescent="0.2">
      <c r="H1724" s="19">
        <v>6.8664012048781599E-3</v>
      </c>
    </row>
    <row r="1725" spans="8:8" ht="15" customHeight="1" x14ac:dyDescent="0.2">
      <c r="H1725" s="19">
        <v>1.1524926148813499E-2</v>
      </c>
    </row>
    <row r="1726" spans="8:8" ht="15" customHeight="1" x14ac:dyDescent="0.2">
      <c r="H1726" s="19">
        <v>9.3577650637997698E-3</v>
      </c>
    </row>
    <row r="1727" spans="8:8" ht="15" customHeight="1" x14ac:dyDescent="0.2">
      <c r="H1727" s="19">
        <v>-9.0158597141977506E-3</v>
      </c>
    </row>
    <row r="1728" spans="8:8" ht="15" customHeight="1" x14ac:dyDescent="0.2">
      <c r="H1728" s="19">
        <v>4.20709977822562E-3</v>
      </c>
    </row>
    <row r="1729" spans="8:8" ht="15" customHeight="1" x14ac:dyDescent="0.2">
      <c r="H1729" s="19">
        <v>1.29820997553477E-2</v>
      </c>
    </row>
    <row r="1730" spans="8:8" ht="15" customHeight="1" x14ac:dyDescent="0.2">
      <c r="H1730" s="19">
        <v>2.76457039929291E-3</v>
      </c>
    </row>
    <row r="1731" spans="8:8" ht="15" customHeight="1" x14ac:dyDescent="0.2">
      <c r="H1731" s="19">
        <v>3.0582299139842702E-3</v>
      </c>
    </row>
    <row r="1732" spans="8:8" ht="15" customHeight="1" x14ac:dyDescent="0.2">
      <c r="H1732" s="19">
        <v>-1.0902590240774201E-3</v>
      </c>
    </row>
    <row r="1733" spans="8:8" ht="15" customHeight="1" x14ac:dyDescent="0.2">
      <c r="H1733" s="19">
        <v>2.21038804548002E-2</v>
      </c>
    </row>
    <row r="1734" spans="8:8" ht="15" customHeight="1" x14ac:dyDescent="0.2">
      <c r="H1734" s="19">
        <v>4.6241312650966296E-3</v>
      </c>
    </row>
    <row r="1735" spans="8:8" ht="15" customHeight="1" x14ac:dyDescent="0.2">
      <c r="H1735" s="19">
        <v>-2.4511620568979401E-3</v>
      </c>
    </row>
    <row r="1736" spans="8:8" ht="15" customHeight="1" x14ac:dyDescent="0.2">
      <c r="H1736" s="19">
        <v>-1.1969909923406E-2</v>
      </c>
    </row>
    <row r="1737" spans="8:8" ht="15" customHeight="1" x14ac:dyDescent="0.2">
      <c r="H1737" s="19">
        <v>1.36526080371571E-3</v>
      </c>
    </row>
    <row r="1738" spans="8:8" ht="15" customHeight="1" x14ac:dyDescent="0.2">
      <c r="H1738" s="19">
        <v>1.6715814470345199E-2</v>
      </c>
    </row>
    <row r="1739" spans="8:8" ht="15" customHeight="1" x14ac:dyDescent="0.2">
      <c r="H1739" s="19">
        <v>3.9210371708315404E-3</v>
      </c>
    </row>
    <row r="1740" spans="8:8" ht="15" customHeight="1" x14ac:dyDescent="0.2">
      <c r="H1740" s="19">
        <v>1.60361254831097E-2</v>
      </c>
    </row>
    <row r="1741" spans="8:8" ht="15" customHeight="1" x14ac:dyDescent="0.2">
      <c r="H1741" s="19">
        <v>-7.0288887681413401E-3</v>
      </c>
    </row>
    <row r="1742" spans="8:8" ht="15" customHeight="1" x14ac:dyDescent="0.2">
      <c r="H1742" s="19">
        <v>-1.10398853159969E-2</v>
      </c>
    </row>
    <row r="1743" spans="8:8" ht="15" customHeight="1" x14ac:dyDescent="0.2">
      <c r="H1743" s="19">
        <v>-2.06515667551384E-3</v>
      </c>
    </row>
    <row r="1744" spans="8:8" ht="15" customHeight="1" x14ac:dyDescent="0.2">
      <c r="H1744" s="19">
        <v>9.0071858502933699E-5</v>
      </c>
    </row>
    <row r="1745" spans="8:8" ht="15" customHeight="1" x14ac:dyDescent="0.2">
      <c r="H1745" s="19">
        <v>-2.12844751742657E-2</v>
      </c>
    </row>
    <row r="1746" spans="8:8" ht="15" customHeight="1" x14ac:dyDescent="0.2">
      <c r="H1746" s="19">
        <v>-6.9364015293959099E-3</v>
      </c>
    </row>
    <row r="1747" spans="8:8" ht="15" customHeight="1" x14ac:dyDescent="0.2">
      <c r="H1747" s="19">
        <v>9.7470039230612895E-3</v>
      </c>
    </row>
    <row r="1748" spans="8:8" ht="15" customHeight="1" x14ac:dyDescent="0.2">
      <c r="H1748" s="19">
        <v>1.5477663614392701E-2</v>
      </c>
    </row>
    <row r="1749" spans="8:8" ht="15" customHeight="1" x14ac:dyDescent="0.2">
      <c r="H1749" s="19">
        <v>6.1004180335532895E-4</v>
      </c>
    </row>
    <row r="1750" spans="8:8" ht="15" customHeight="1" x14ac:dyDescent="0.2">
      <c r="H1750" s="19">
        <v>-1.0334881523080401E-2</v>
      </c>
    </row>
    <row r="1751" spans="8:8" ht="15" customHeight="1" x14ac:dyDescent="0.2">
      <c r="H1751" s="19">
        <v>-5.31852473346274E-3</v>
      </c>
    </row>
    <row r="1752" spans="8:8" ht="15" customHeight="1" x14ac:dyDescent="0.2">
      <c r="H1752" s="19">
        <v>-3.45035259675185E-3</v>
      </c>
    </row>
    <row r="1753" spans="8:8" ht="15" customHeight="1" x14ac:dyDescent="0.2">
      <c r="H1753" s="19">
        <v>-8.9485901800871702E-3</v>
      </c>
    </row>
    <row r="1754" spans="8:8" ht="15" customHeight="1" x14ac:dyDescent="0.2">
      <c r="H1754" s="19">
        <v>-1.5675412919318999E-2</v>
      </c>
    </row>
    <row r="1755" spans="8:8" ht="15" customHeight="1" x14ac:dyDescent="0.2">
      <c r="H1755" s="19">
        <v>-8.9237280242278495E-3</v>
      </c>
    </row>
    <row r="1756" spans="8:8" ht="15" customHeight="1" x14ac:dyDescent="0.2">
      <c r="H1756" s="19">
        <v>1.6165884711685501E-3</v>
      </c>
    </row>
    <row r="1757" spans="8:8" ht="15" customHeight="1" x14ac:dyDescent="0.2">
      <c r="H1757" s="19">
        <v>-1.43125263127121E-2</v>
      </c>
    </row>
    <row r="1758" spans="8:8" ht="15" customHeight="1" x14ac:dyDescent="0.2">
      <c r="H1758" s="19">
        <v>-1.17103781750622E-2</v>
      </c>
    </row>
    <row r="1759" spans="8:8" ht="15" customHeight="1" x14ac:dyDescent="0.2">
      <c r="H1759" s="19">
        <v>1.16167062825732E-2</v>
      </c>
    </row>
    <row r="1760" spans="8:8" ht="15" customHeight="1" x14ac:dyDescent="0.2">
      <c r="H1760" s="19">
        <v>-2.9824096279240102E-3</v>
      </c>
    </row>
    <row r="1761" spans="8:8" ht="15" customHeight="1" x14ac:dyDescent="0.2">
      <c r="H1761" s="19">
        <v>1.91649599931701E-2</v>
      </c>
    </row>
    <row r="1762" spans="8:8" ht="15" customHeight="1" x14ac:dyDescent="0.2">
      <c r="H1762" s="19">
        <v>-6.6369888442683999E-3</v>
      </c>
    </row>
    <row r="1763" spans="8:8" ht="15" customHeight="1" x14ac:dyDescent="0.2">
      <c r="H1763" s="19">
        <v>-5.7056339507620801E-3</v>
      </c>
    </row>
    <row r="1764" spans="8:8" ht="15" customHeight="1" x14ac:dyDescent="0.2">
      <c r="H1764" s="19">
        <v>1.42545907640724E-2</v>
      </c>
    </row>
    <row r="1765" spans="8:8" ht="15" customHeight="1" x14ac:dyDescent="0.2">
      <c r="H1765" s="19">
        <v>-1.07684318476655E-2</v>
      </c>
    </row>
    <row r="1766" spans="8:8" ht="15" customHeight="1" x14ac:dyDescent="0.2">
      <c r="H1766" s="19">
        <v>1.48919650666834E-3</v>
      </c>
    </row>
    <row r="1767" spans="8:8" ht="15" customHeight="1" x14ac:dyDescent="0.2">
      <c r="H1767" s="19">
        <v>-1.4518396943600499E-2</v>
      </c>
    </row>
    <row r="1768" spans="8:8" ht="15" customHeight="1" x14ac:dyDescent="0.2">
      <c r="H1768" s="19">
        <v>7.5359727029489904E-4</v>
      </c>
    </row>
    <row r="1769" spans="8:8" ht="15" customHeight="1" x14ac:dyDescent="0.2">
      <c r="H1769" s="19">
        <v>-1.1089830537074E-2</v>
      </c>
    </row>
    <row r="1770" spans="8:8" ht="15" customHeight="1" x14ac:dyDescent="0.2">
      <c r="H1770" s="19">
        <v>1.02862769594261E-2</v>
      </c>
    </row>
    <row r="1771" spans="8:8" ht="15" customHeight="1" x14ac:dyDescent="0.2">
      <c r="H1771" s="19">
        <v>-1.2327521558903499E-2</v>
      </c>
    </row>
    <row r="1772" spans="8:8" ht="15" customHeight="1" x14ac:dyDescent="0.2">
      <c r="H1772" s="19">
        <v>-5.0882441023896701E-3</v>
      </c>
    </row>
    <row r="1773" spans="8:8" ht="15" customHeight="1" x14ac:dyDescent="0.2">
      <c r="H1773" s="19">
        <v>7.4893192033221199E-3</v>
      </c>
    </row>
    <row r="1774" spans="8:8" ht="15" customHeight="1" x14ac:dyDescent="0.2">
      <c r="H1774" s="19">
        <v>-1.0053506827274799E-3</v>
      </c>
    </row>
    <row r="1775" spans="8:8" ht="15" customHeight="1" x14ac:dyDescent="0.2">
      <c r="H1775" s="19">
        <v>1.0137193857665301E-2</v>
      </c>
    </row>
    <row r="1776" spans="8:8" ht="15" customHeight="1" x14ac:dyDescent="0.2">
      <c r="H1776" s="19">
        <v>-2.4295599564012602E-2</v>
      </c>
    </row>
    <row r="1777" spans="8:8" ht="15" customHeight="1" x14ac:dyDescent="0.2">
      <c r="H1777" s="19">
        <v>2.6403932175603799E-3</v>
      </c>
    </row>
    <row r="1778" spans="8:8" ht="15" customHeight="1" x14ac:dyDescent="0.2">
      <c r="H1778" s="19">
        <v>-2.7672165103640799E-3</v>
      </c>
    </row>
    <row r="1779" spans="8:8" ht="15" customHeight="1" x14ac:dyDescent="0.2">
      <c r="H1779" s="19">
        <v>2.2707158373096999E-2</v>
      </c>
    </row>
    <row r="1780" spans="8:8" ht="15" customHeight="1" x14ac:dyDescent="0.2">
      <c r="H1780" s="19">
        <v>-1.0694080260811201E-2</v>
      </c>
    </row>
    <row r="1781" spans="8:8" ht="15" customHeight="1" x14ac:dyDescent="0.2">
      <c r="H1781" s="19">
        <v>-1.3997312221382299E-2</v>
      </c>
    </row>
    <row r="1782" spans="8:8" ht="15" customHeight="1" x14ac:dyDescent="0.2">
      <c r="H1782" s="19">
        <v>6.9336584661818298E-3</v>
      </c>
    </row>
    <row r="1783" spans="8:8" ht="15" customHeight="1" x14ac:dyDescent="0.2">
      <c r="H1783" s="19">
        <v>-7.3487340113751699E-3</v>
      </c>
    </row>
    <row r="1784" spans="8:8" ht="15" customHeight="1" x14ac:dyDescent="0.2">
      <c r="H1784" s="19">
        <v>-4.3466370608024997E-3</v>
      </c>
    </row>
    <row r="1785" spans="8:8" ht="15" customHeight="1" x14ac:dyDescent="0.2">
      <c r="H1785" s="19">
        <v>-4.7273725704713504E-3</v>
      </c>
    </row>
    <row r="1786" spans="8:8" ht="15" customHeight="1" x14ac:dyDescent="0.2">
      <c r="H1786" s="19">
        <v>8.9373275257563396E-3</v>
      </c>
    </row>
    <row r="1787" spans="8:8" ht="15" customHeight="1" x14ac:dyDescent="0.2">
      <c r="H1787" s="19">
        <v>2.9005236018332301E-2</v>
      </c>
    </row>
    <row r="1788" spans="8:8" ht="15" customHeight="1" x14ac:dyDescent="0.2">
      <c r="H1788" s="19">
        <v>-4.9433080777588796E-3</v>
      </c>
    </row>
    <row r="1789" spans="8:8" ht="15" customHeight="1" x14ac:dyDescent="0.2">
      <c r="H1789" s="19">
        <v>-1.0927761337673699E-2</v>
      </c>
    </row>
    <row r="1790" spans="8:8" ht="15" customHeight="1" x14ac:dyDescent="0.2">
      <c r="H1790" s="19">
        <v>6.79179420845111E-3</v>
      </c>
    </row>
    <row r="1791" spans="8:8" ht="15" customHeight="1" x14ac:dyDescent="0.2">
      <c r="H1791" s="19">
        <v>-7.9417659420802506E-3</v>
      </c>
    </row>
    <row r="1792" spans="8:8" ht="15" customHeight="1" x14ac:dyDescent="0.2">
      <c r="H1792" s="19">
        <v>-2.8766610972506398E-3</v>
      </c>
    </row>
    <row r="1793" spans="8:8" ht="15" customHeight="1" x14ac:dyDescent="0.2">
      <c r="H1793" s="19">
        <v>5.8775046116262301E-3</v>
      </c>
    </row>
    <row r="1794" spans="8:8" ht="15" customHeight="1" x14ac:dyDescent="0.2">
      <c r="H1794" s="19">
        <v>-9.3521051220242409E-3</v>
      </c>
    </row>
    <row r="1795" spans="8:8" ht="15" customHeight="1" x14ac:dyDescent="0.2">
      <c r="H1795" s="19">
        <v>-4.9783034289706404E-4</v>
      </c>
    </row>
    <row r="1796" spans="8:8" ht="15" customHeight="1" x14ac:dyDescent="0.2">
      <c r="H1796" s="19">
        <v>-8.19882403593079E-3</v>
      </c>
    </row>
    <row r="1797" spans="8:8" ht="15" customHeight="1" x14ac:dyDescent="0.2">
      <c r="H1797" s="19">
        <v>-2.6016306202638799E-3</v>
      </c>
    </row>
    <row r="1798" spans="8:8" ht="15" customHeight="1" x14ac:dyDescent="0.2">
      <c r="H1798" s="19">
        <v>1.1282742490030899E-3</v>
      </c>
    </row>
    <row r="1799" spans="8:8" ht="15" customHeight="1" x14ac:dyDescent="0.2">
      <c r="H1799" s="19">
        <v>7.6917382719402802E-3</v>
      </c>
    </row>
    <row r="1800" spans="8:8" ht="15" customHeight="1" x14ac:dyDescent="0.2">
      <c r="H1800" s="19">
        <v>-1.6415483266494599E-3</v>
      </c>
    </row>
    <row r="1801" spans="8:8" ht="15" customHeight="1" x14ac:dyDescent="0.2">
      <c r="H1801" s="19">
        <v>-5.6142338872697296E-3</v>
      </c>
    </row>
    <row r="1802" spans="8:8" ht="15" customHeight="1" x14ac:dyDescent="0.2">
      <c r="H1802" s="19">
        <v>-2.0038972845953101E-3</v>
      </c>
    </row>
    <row r="1803" spans="8:8" ht="15" customHeight="1" x14ac:dyDescent="0.2">
      <c r="H1803" s="19">
        <v>1.6622700959162299E-2</v>
      </c>
    </row>
    <row r="1804" spans="8:8" ht="15" customHeight="1" x14ac:dyDescent="0.2">
      <c r="H1804" s="19">
        <v>7.3267196783520002E-3</v>
      </c>
    </row>
    <row r="1805" spans="8:8" ht="15" customHeight="1" x14ac:dyDescent="0.2">
      <c r="H1805" s="19">
        <v>1.36464037159217E-2</v>
      </c>
    </row>
    <row r="1806" spans="8:8" ht="15" customHeight="1" x14ac:dyDescent="0.2">
      <c r="H1806" s="19">
        <v>2.8453166603911399E-3</v>
      </c>
    </row>
    <row r="1807" spans="8:8" ht="15" customHeight="1" x14ac:dyDescent="0.2">
      <c r="H1807" s="19">
        <v>-3.3128509499351002E-3</v>
      </c>
    </row>
    <row r="1808" spans="8:8" ht="15" customHeight="1" x14ac:dyDescent="0.2">
      <c r="H1808" s="19">
        <v>3.2379392819323399E-3</v>
      </c>
    </row>
    <row r="1809" spans="8:8" ht="15" customHeight="1" x14ac:dyDescent="0.2">
      <c r="H1809" s="19">
        <v>-1.01131397116422E-3</v>
      </c>
    </row>
    <row r="1810" spans="8:8" ht="15" customHeight="1" x14ac:dyDescent="0.2">
      <c r="H1810" s="19">
        <v>-2.4656029041479001E-3</v>
      </c>
    </row>
    <row r="1811" spans="8:8" ht="15" customHeight="1" x14ac:dyDescent="0.2">
      <c r="H1811" s="19">
        <v>2.7735480760636201E-3</v>
      </c>
    </row>
    <row r="1812" spans="8:8" ht="15" customHeight="1" x14ac:dyDescent="0.2">
      <c r="H1812" s="19">
        <v>-4.3211571463724202E-3</v>
      </c>
    </row>
    <row r="1813" spans="8:8" ht="15" customHeight="1" x14ac:dyDescent="0.2">
      <c r="H1813" s="19">
        <v>-4.4538597407910501E-3</v>
      </c>
    </row>
    <row r="1814" spans="8:8" ht="15" customHeight="1" x14ac:dyDescent="0.2">
      <c r="H1814" s="19">
        <v>2.1218306808204301E-2</v>
      </c>
    </row>
    <row r="1815" spans="8:8" ht="15" customHeight="1" x14ac:dyDescent="0.2">
      <c r="H1815" s="19">
        <v>-1.1662474218297501E-2</v>
      </c>
    </row>
    <row r="1816" spans="8:8" ht="15" customHeight="1" x14ac:dyDescent="0.2">
      <c r="H1816" s="19">
        <v>1.12707427749641E-3</v>
      </c>
    </row>
    <row r="1817" spans="8:8" ht="15" customHeight="1" x14ac:dyDescent="0.2">
      <c r="H1817" s="19">
        <v>-1.79349849422244E-2</v>
      </c>
    </row>
    <row r="1818" spans="8:8" ht="15" customHeight="1" x14ac:dyDescent="0.2">
      <c r="H1818" s="19">
        <v>2.5984086481073299E-3</v>
      </c>
    </row>
    <row r="1819" spans="8:8" ht="15" customHeight="1" x14ac:dyDescent="0.2">
      <c r="H1819" s="19">
        <v>2.39464439308138E-3</v>
      </c>
    </row>
    <row r="1820" spans="8:8" ht="15" customHeight="1" x14ac:dyDescent="0.2">
      <c r="H1820" s="19">
        <v>-8.9967659934279097E-3</v>
      </c>
    </row>
    <row r="1821" spans="8:8" ht="15" customHeight="1" x14ac:dyDescent="0.2">
      <c r="H1821" s="19">
        <v>1.08147523185913E-2</v>
      </c>
    </row>
    <row r="1822" spans="8:8" ht="15" customHeight="1" x14ac:dyDescent="0.2">
      <c r="H1822" s="19">
        <v>2.6989350449994E-3</v>
      </c>
    </row>
    <row r="1823" spans="8:8" ht="15" customHeight="1" x14ac:dyDescent="0.2">
      <c r="H1823" s="19">
        <v>-9.3585106372135306E-3</v>
      </c>
    </row>
    <row r="1824" spans="8:8" ht="15" customHeight="1" x14ac:dyDescent="0.2">
      <c r="H1824" s="19">
        <v>-4.9951635448452899E-3</v>
      </c>
    </row>
    <row r="1825" spans="8:8" ht="15" customHeight="1" x14ac:dyDescent="0.2">
      <c r="H1825" s="19">
        <v>8.3399171370723592E-3</v>
      </c>
    </row>
    <row r="1826" spans="8:8" ht="15" customHeight="1" x14ac:dyDescent="0.2">
      <c r="H1826" s="19">
        <v>1.16766696785622E-2</v>
      </c>
    </row>
    <row r="1827" spans="8:8" ht="15" customHeight="1" x14ac:dyDescent="0.2">
      <c r="H1827" s="19">
        <v>8.3856152114064296E-3</v>
      </c>
    </row>
    <row r="1828" spans="8:8" ht="15" customHeight="1" x14ac:dyDescent="0.2">
      <c r="H1828" s="19">
        <v>2.83302229768674E-3</v>
      </c>
    </row>
    <row r="1829" spans="8:8" ht="15" customHeight="1" x14ac:dyDescent="0.2">
      <c r="H1829" s="19">
        <v>1.2700550935169801E-2</v>
      </c>
    </row>
    <row r="1830" spans="8:8" ht="15" customHeight="1" x14ac:dyDescent="0.2">
      <c r="H1830" s="19">
        <v>4.47474108307052E-3</v>
      </c>
    </row>
    <row r="1831" spans="8:8" ht="15" customHeight="1" x14ac:dyDescent="0.2">
      <c r="H1831" s="19">
        <v>5.3192253130963096E-3</v>
      </c>
    </row>
    <row r="1832" spans="8:8" ht="15" customHeight="1" x14ac:dyDescent="0.2">
      <c r="H1832" s="19">
        <v>-4.6556821376343297E-3</v>
      </c>
    </row>
    <row r="1833" spans="8:8" ht="15" customHeight="1" x14ac:dyDescent="0.2">
      <c r="H1833" s="19">
        <v>-6.5357797004650204E-3</v>
      </c>
    </row>
    <row r="1834" spans="8:8" ht="15" customHeight="1" x14ac:dyDescent="0.2">
      <c r="H1834" s="19">
        <v>1.1922174434585099E-2</v>
      </c>
    </row>
    <row r="1835" spans="8:8" ht="15" customHeight="1" x14ac:dyDescent="0.2">
      <c r="H1835" s="19">
        <v>-2.49622484606438E-2</v>
      </c>
    </row>
    <row r="1836" spans="8:8" ht="15" customHeight="1" x14ac:dyDescent="0.2">
      <c r="H1836" s="19">
        <v>5.2528414020191396E-3</v>
      </c>
    </row>
    <row r="1837" spans="8:8" ht="15" customHeight="1" x14ac:dyDescent="0.2">
      <c r="H1837" s="19">
        <v>4.0263275273696797E-3</v>
      </c>
    </row>
    <row r="1838" spans="8:8" ht="15" customHeight="1" x14ac:dyDescent="0.2">
      <c r="H1838" s="19">
        <v>7.3893344348016097E-3</v>
      </c>
    </row>
    <row r="1839" spans="8:8" ht="15" customHeight="1" x14ac:dyDescent="0.2">
      <c r="H1839" s="19">
        <v>6.4847949744113896E-3</v>
      </c>
    </row>
    <row r="1840" spans="8:8" ht="15" customHeight="1" x14ac:dyDescent="0.2">
      <c r="H1840" s="19">
        <v>1.5146557610004399E-3</v>
      </c>
    </row>
    <row r="1841" spans="8:8" ht="15" customHeight="1" x14ac:dyDescent="0.2">
      <c r="H1841" s="19">
        <v>-6.6975653417447904E-5</v>
      </c>
    </row>
    <row r="1842" spans="8:8" ht="15" customHeight="1" x14ac:dyDescent="0.2">
      <c r="H1842" s="19">
        <v>4.8604478823400703E-3</v>
      </c>
    </row>
    <row r="1843" spans="8:8" ht="15" customHeight="1" x14ac:dyDescent="0.2">
      <c r="H1843" s="19">
        <v>-1.27262782366575E-2</v>
      </c>
    </row>
    <row r="1844" spans="8:8" ht="15" customHeight="1" x14ac:dyDescent="0.2">
      <c r="H1844" s="19">
        <v>1.3476309576974901E-2</v>
      </c>
    </row>
    <row r="1845" spans="8:8" ht="15" customHeight="1" x14ac:dyDescent="0.2">
      <c r="H1845" s="19">
        <v>8.8135697340355999E-3</v>
      </c>
    </row>
    <row r="1846" spans="8:8" ht="15" customHeight="1" x14ac:dyDescent="0.2">
      <c r="H1846" s="19">
        <v>-5.6511614207177402E-3</v>
      </c>
    </row>
    <row r="1847" spans="8:8" ht="15" customHeight="1" x14ac:dyDescent="0.2">
      <c r="H1847" s="19">
        <v>-9.0920956718353006E-3</v>
      </c>
    </row>
    <row r="1848" spans="8:8" ht="15" customHeight="1" x14ac:dyDescent="0.2">
      <c r="H1848" s="19">
        <v>2.4812386922802598E-3</v>
      </c>
    </row>
    <row r="1849" spans="8:8" ht="15" customHeight="1" x14ac:dyDescent="0.2">
      <c r="H1849" s="19">
        <v>-6.70463246216402E-3</v>
      </c>
    </row>
    <row r="1850" spans="8:8" ht="15" customHeight="1" x14ac:dyDescent="0.2">
      <c r="H1850" s="19">
        <v>1.2824094840490101E-2</v>
      </c>
    </row>
    <row r="1851" spans="8:8" ht="15" customHeight="1" x14ac:dyDescent="0.2">
      <c r="H1851" s="19">
        <v>-1.26834975531817E-2</v>
      </c>
    </row>
    <row r="1852" spans="8:8" ht="15" customHeight="1" x14ac:dyDescent="0.2">
      <c r="H1852" s="19">
        <v>5.0726292869276504E-3</v>
      </c>
    </row>
    <row r="1853" spans="8:8" ht="15" customHeight="1" x14ac:dyDescent="0.2">
      <c r="H1853" s="19">
        <v>4.40885218720028E-3</v>
      </c>
    </row>
    <row r="1854" spans="8:8" ht="15" customHeight="1" x14ac:dyDescent="0.2">
      <c r="H1854" s="19">
        <v>1.42880453068164E-2</v>
      </c>
    </row>
    <row r="1855" spans="8:8" ht="15" customHeight="1" x14ac:dyDescent="0.2">
      <c r="H1855" s="19">
        <v>-1.0441170489946701E-3</v>
      </c>
    </row>
    <row r="1856" spans="8:8" ht="15" customHeight="1" x14ac:dyDescent="0.2">
      <c r="H1856" s="19">
        <v>-4.7521528753660903E-3</v>
      </c>
    </row>
    <row r="1857" spans="8:8" ht="15" customHeight="1" x14ac:dyDescent="0.2">
      <c r="H1857" s="19">
        <v>5.9075727421014999E-3</v>
      </c>
    </row>
    <row r="1858" spans="8:8" ht="15" customHeight="1" x14ac:dyDescent="0.2">
      <c r="H1858" s="19">
        <v>1.5874113021793701E-2</v>
      </c>
    </row>
    <row r="1859" spans="8:8" ht="15" customHeight="1" x14ac:dyDescent="0.2">
      <c r="H1859" s="19">
        <v>1.69853135526448E-3</v>
      </c>
    </row>
    <row r="1860" spans="8:8" ht="15" customHeight="1" x14ac:dyDescent="0.2">
      <c r="H1860" s="19">
        <v>-1.1488773010425799E-3</v>
      </c>
    </row>
    <row r="1861" spans="8:8" ht="15" customHeight="1" x14ac:dyDescent="0.2">
      <c r="H1861" s="19">
        <v>9.4460283820207297E-3</v>
      </c>
    </row>
    <row r="1862" spans="8:8" ht="15" customHeight="1" x14ac:dyDescent="0.2">
      <c r="H1862" s="19">
        <v>-2.2264062916018498E-2</v>
      </c>
    </row>
    <row r="1863" spans="8:8" ht="15" customHeight="1" x14ac:dyDescent="0.2">
      <c r="H1863" s="19">
        <v>1.27200776484958E-2</v>
      </c>
    </row>
    <row r="1864" spans="8:8" ht="15" customHeight="1" x14ac:dyDescent="0.2">
      <c r="H1864" s="19">
        <v>-9.8698032839222398E-3</v>
      </c>
    </row>
    <row r="1865" spans="8:8" ht="15" customHeight="1" x14ac:dyDescent="0.2">
      <c r="H1865" s="19">
        <v>8.66124631201152E-3</v>
      </c>
    </row>
    <row r="1866" spans="8:8" ht="15" customHeight="1" x14ac:dyDescent="0.2">
      <c r="H1866" s="19">
        <v>7.32812462089482E-3</v>
      </c>
    </row>
    <row r="1867" spans="8:8" ht="15" customHeight="1" x14ac:dyDescent="0.2">
      <c r="H1867" s="19">
        <v>6.9206408501700399E-3</v>
      </c>
    </row>
    <row r="1868" spans="8:8" ht="15" customHeight="1" x14ac:dyDescent="0.2">
      <c r="H1868" s="19">
        <v>-1.70226798788061E-2</v>
      </c>
    </row>
    <row r="1869" spans="8:8" ht="15" customHeight="1" x14ac:dyDescent="0.2">
      <c r="H1869" s="19">
        <v>1.99174324037418E-3</v>
      </c>
    </row>
    <row r="1870" spans="8:8" ht="15" customHeight="1" x14ac:dyDescent="0.2">
      <c r="H1870" s="19">
        <v>9.7318537685998508E-3</v>
      </c>
    </row>
    <row r="1871" spans="8:8" ht="15" customHeight="1" x14ac:dyDescent="0.2">
      <c r="H1871" s="19">
        <v>1.9070487072456E-2</v>
      </c>
    </row>
    <row r="1872" spans="8:8" ht="15" customHeight="1" x14ac:dyDescent="0.2">
      <c r="H1872" s="19">
        <v>2.32024947329426E-3</v>
      </c>
    </row>
    <row r="1873" spans="8:8" ht="15" customHeight="1" x14ac:dyDescent="0.2">
      <c r="H1873" s="19">
        <v>4.1073986211045696E-3</v>
      </c>
    </row>
    <row r="1874" spans="8:8" ht="15" customHeight="1" x14ac:dyDescent="0.2">
      <c r="H1874" s="19">
        <v>-3.7385753091507398E-3</v>
      </c>
    </row>
    <row r="1875" spans="8:8" ht="15" customHeight="1" x14ac:dyDescent="0.2">
      <c r="H1875" s="19">
        <v>6.9197828153008002E-3</v>
      </c>
    </row>
    <row r="1876" spans="8:8" ht="15" customHeight="1" x14ac:dyDescent="0.2">
      <c r="H1876" s="19">
        <v>2.8898477467529599E-3</v>
      </c>
    </row>
    <row r="1877" spans="8:8" ht="15" customHeight="1" x14ac:dyDescent="0.2">
      <c r="H1877" s="19">
        <v>-1.6550136835245501E-2</v>
      </c>
    </row>
    <row r="1878" spans="8:8" ht="15" customHeight="1" x14ac:dyDescent="0.2">
      <c r="H1878" s="19">
        <v>1.1460517502651001E-2</v>
      </c>
    </row>
    <row r="1879" spans="8:8" ht="15" customHeight="1" x14ac:dyDescent="0.2">
      <c r="H1879" s="19">
        <v>8.29650110973623E-3</v>
      </c>
    </row>
    <row r="1880" spans="8:8" ht="15" customHeight="1" x14ac:dyDescent="0.2">
      <c r="H1880" s="19">
        <v>7.9422449792670698E-4</v>
      </c>
    </row>
    <row r="1881" spans="8:8" ht="15" customHeight="1" x14ac:dyDescent="0.2">
      <c r="H1881" s="19">
        <v>-1.3123356570195199E-2</v>
      </c>
    </row>
    <row r="1882" spans="8:8" ht="15" customHeight="1" x14ac:dyDescent="0.2">
      <c r="H1882" s="19">
        <v>-5.0312556269928197E-3</v>
      </c>
    </row>
    <row r="1883" spans="8:8" ht="15" customHeight="1" x14ac:dyDescent="0.2">
      <c r="H1883" s="19">
        <v>1.9252501795113399E-3</v>
      </c>
    </row>
    <row r="1884" spans="8:8" ht="15" customHeight="1" x14ac:dyDescent="0.2">
      <c r="H1884" s="19">
        <v>1.8127082997086E-2</v>
      </c>
    </row>
    <row r="1885" spans="8:8" ht="15" customHeight="1" x14ac:dyDescent="0.2">
      <c r="H1885" s="19">
        <v>8.1992471242822999E-4</v>
      </c>
    </row>
    <row r="1886" spans="8:8" ht="15" customHeight="1" x14ac:dyDescent="0.2">
      <c r="H1886" s="19">
        <v>1.00102152534766E-2</v>
      </c>
    </row>
    <row r="1887" spans="8:8" ht="15" customHeight="1" x14ac:dyDescent="0.2">
      <c r="H1887" s="19">
        <v>-5.38934625425537E-3</v>
      </c>
    </row>
    <row r="1888" spans="8:8" ht="15" customHeight="1" x14ac:dyDescent="0.2">
      <c r="H1888" s="19">
        <v>-1.08097853175609E-2</v>
      </c>
    </row>
    <row r="1889" spans="8:8" ht="15" customHeight="1" x14ac:dyDescent="0.2">
      <c r="H1889" s="19">
        <v>-9.9797108416101593E-3</v>
      </c>
    </row>
    <row r="1890" spans="8:8" ht="15" customHeight="1" x14ac:dyDescent="0.2">
      <c r="H1890" s="19">
        <v>1.6684836217152599E-2</v>
      </c>
    </row>
    <row r="1891" spans="8:8" ht="15" customHeight="1" x14ac:dyDescent="0.2">
      <c r="H1891" s="19">
        <v>-1.09893839885335E-2</v>
      </c>
    </row>
    <row r="1892" spans="8:8" ht="15" customHeight="1" x14ac:dyDescent="0.2">
      <c r="H1892" s="19">
        <v>1.6787678596850701E-2</v>
      </c>
    </row>
    <row r="1893" spans="8:8" ht="15" customHeight="1" x14ac:dyDescent="0.2">
      <c r="H1893" s="19">
        <v>1.0184256023922E-3</v>
      </c>
    </row>
    <row r="1894" spans="8:8" ht="15" customHeight="1" x14ac:dyDescent="0.2">
      <c r="H1894" s="19">
        <v>-8.1069488394410593E-3</v>
      </c>
    </row>
    <row r="1895" spans="8:8" ht="15" customHeight="1" x14ac:dyDescent="0.2">
      <c r="H1895" s="19">
        <v>3.2272037996801698E-3</v>
      </c>
    </row>
    <row r="1896" spans="8:8" ht="15" customHeight="1" x14ac:dyDescent="0.2">
      <c r="H1896" s="19">
        <v>2.06748757988349E-2</v>
      </c>
    </row>
    <row r="1897" spans="8:8" ht="15" customHeight="1" x14ac:dyDescent="0.2">
      <c r="H1897" s="19">
        <v>-1.1661451898882E-2</v>
      </c>
    </row>
    <row r="1898" spans="8:8" ht="15" customHeight="1" x14ac:dyDescent="0.2">
      <c r="H1898" s="19">
        <v>-2.5377052458959398E-3</v>
      </c>
    </row>
    <row r="1899" spans="8:8" ht="15" customHeight="1" x14ac:dyDescent="0.2">
      <c r="H1899" s="19">
        <v>-2.60884152459466E-3</v>
      </c>
    </row>
    <row r="1900" spans="8:8" ht="15" customHeight="1" x14ac:dyDescent="0.2">
      <c r="H1900" s="19">
        <v>6.2022755168386302E-3</v>
      </c>
    </row>
    <row r="1901" spans="8:8" ht="15" customHeight="1" x14ac:dyDescent="0.2">
      <c r="H1901" s="19">
        <v>1.6758665930412499E-2</v>
      </c>
    </row>
    <row r="1902" spans="8:8" ht="15" customHeight="1" x14ac:dyDescent="0.2">
      <c r="H1902" s="19">
        <v>2.1348499292047399E-3</v>
      </c>
    </row>
    <row r="1903" spans="8:8" ht="15" customHeight="1" x14ac:dyDescent="0.2">
      <c r="H1903" s="19">
        <v>-4.44402151793842E-5</v>
      </c>
    </row>
    <row r="1904" spans="8:8" ht="15" customHeight="1" x14ac:dyDescent="0.2">
      <c r="H1904" s="19">
        <v>2.6420401680239498E-3</v>
      </c>
    </row>
    <row r="1905" spans="8:8" ht="15" customHeight="1" x14ac:dyDescent="0.2">
      <c r="H1905" s="19">
        <v>7.1652585949961703E-3</v>
      </c>
    </row>
    <row r="1906" spans="8:8" ht="15" customHeight="1" x14ac:dyDescent="0.2">
      <c r="H1906" s="19">
        <v>-3.1443550349188401E-3</v>
      </c>
    </row>
    <row r="1907" spans="8:8" ht="15" customHeight="1" x14ac:dyDescent="0.2">
      <c r="H1907" s="19">
        <v>9.6401599982385393E-3</v>
      </c>
    </row>
    <row r="1908" spans="8:8" ht="15" customHeight="1" x14ac:dyDescent="0.2">
      <c r="H1908" s="19">
        <v>-2.7706852748728899E-2</v>
      </c>
    </row>
    <row r="1909" spans="8:8" ht="15" customHeight="1" x14ac:dyDescent="0.2">
      <c r="H1909" s="19">
        <v>1.3264325007502799E-2</v>
      </c>
    </row>
    <row r="1910" spans="8:8" ht="15" customHeight="1" x14ac:dyDescent="0.2">
      <c r="H1910" s="19">
        <v>-1.2007632499301301E-2</v>
      </c>
    </row>
    <row r="1911" spans="8:8" ht="15" customHeight="1" x14ac:dyDescent="0.2">
      <c r="H1911" s="19">
        <v>9.6119390518916506E-3</v>
      </c>
    </row>
    <row r="1912" spans="8:8" ht="15" customHeight="1" x14ac:dyDescent="0.2">
      <c r="H1912" s="19">
        <v>1.99805295430532E-2</v>
      </c>
    </row>
    <row r="1913" spans="8:8" ht="15" customHeight="1" x14ac:dyDescent="0.2">
      <c r="H1913" s="19">
        <v>-4.61339077093946E-3</v>
      </c>
    </row>
    <row r="1914" spans="8:8" ht="15" customHeight="1" x14ac:dyDescent="0.2">
      <c r="H1914" s="19">
        <v>1.1088621592827801E-2</v>
      </c>
    </row>
    <row r="1915" spans="8:8" ht="15" customHeight="1" x14ac:dyDescent="0.2">
      <c r="H1915" s="19">
        <v>-1.1595105355868801E-3</v>
      </c>
    </row>
    <row r="1916" spans="8:8" ht="15" customHeight="1" x14ac:dyDescent="0.2">
      <c r="H1916" s="19">
        <v>-9.7160015495245805E-3</v>
      </c>
    </row>
    <row r="1917" spans="8:8" ht="15" customHeight="1" x14ac:dyDescent="0.2">
      <c r="H1917" s="19">
        <v>-1.1786458108759199E-2</v>
      </c>
    </row>
    <row r="1918" spans="8:8" ht="15" customHeight="1" x14ac:dyDescent="0.2">
      <c r="H1918" s="19">
        <v>-8.5337838219868706E-3</v>
      </c>
    </row>
    <row r="1919" spans="8:8" ht="15" customHeight="1" x14ac:dyDescent="0.2">
      <c r="H1919" s="19">
        <v>-7.5242524425529701E-4</v>
      </c>
    </row>
    <row r="1920" spans="8:8" ht="15" customHeight="1" x14ac:dyDescent="0.2">
      <c r="H1920" s="19">
        <v>-1.42581490276823E-3</v>
      </c>
    </row>
    <row r="1921" spans="8:8" ht="15" customHeight="1" x14ac:dyDescent="0.2">
      <c r="H1921" s="19">
        <v>1.12013561482223E-2</v>
      </c>
    </row>
    <row r="1922" spans="8:8" ht="15" customHeight="1" x14ac:dyDescent="0.2">
      <c r="H1922" s="19">
        <v>-1.89035054283367E-3</v>
      </c>
    </row>
    <row r="1923" spans="8:8" ht="15" customHeight="1" x14ac:dyDescent="0.2">
      <c r="H1923" s="19">
        <v>-1.0227849994193801E-2</v>
      </c>
    </row>
    <row r="1924" spans="8:8" ht="15" customHeight="1" x14ac:dyDescent="0.2">
      <c r="H1924" s="19">
        <v>2.5430385944242399E-3</v>
      </c>
    </row>
    <row r="1925" spans="8:8" ht="15" customHeight="1" x14ac:dyDescent="0.2">
      <c r="H1925" s="19">
        <v>-1.3144445624903E-2</v>
      </c>
    </row>
    <row r="1926" spans="8:8" ht="15" customHeight="1" x14ac:dyDescent="0.2">
      <c r="H1926" s="19">
        <v>-5.9880183332322598E-3</v>
      </c>
    </row>
    <row r="1927" spans="8:8" ht="15" customHeight="1" x14ac:dyDescent="0.2">
      <c r="H1927" s="19">
        <v>-4.2978332231370098E-3</v>
      </c>
    </row>
    <row r="1928" spans="8:8" ht="15" customHeight="1" x14ac:dyDescent="0.2">
      <c r="H1928" s="19">
        <v>6.8058892804216701E-3</v>
      </c>
    </row>
    <row r="1929" spans="8:8" ht="15" customHeight="1" x14ac:dyDescent="0.2">
      <c r="H1929" s="19">
        <v>8.5433994259282095E-3</v>
      </c>
    </row>
    <row r="1930" spans="8:8" ht="15" customHeight="1" x14ac:dyDescent="0.2">
      <c r="H1930" s="19">
        <v>1.03913869852979E-3</v>
      </c>
    </row>
    <row r="1931" spans="8:8" ht="15" customHeight="1" x14ac:dyDescent="0.2">
      <c r="H1931" s="19">
        <v>4.27513802536841E-3</v>
      </c>
    </row>
    <row r="1932" spans="8:8" ht="15" customHeight="1" x14ac:dyDescent="0.2">
      <c r="H1932" s="19">
        <v>-1.3929714968627699E-3</v>
      </c>
    </row>
    <row r="1933" spans="8:8" ht="15" customHeight="1" x14ac:dyDescent="0.2">
      <c r="H1933" s="19">
        <v>-1.08037669880107E-2</v>
      </c>
    </row>
    <row r="1934" spans="8:8" ht="15" customHeight="1" x14ac:dyDescent="0.2">
      <c r="H1934" s="19">
        <v>-4.7237193020110901E-3</v>
      </c>
    </row>
    <row r="1935" spans="8:8" ht="15" customHeight="1" x14ac:dyDescent="0.2">
      <c r="H1935" s="19">
        <v>3.5809533125989298E-3</v>
      </c>
    </row>
    <row r="1936" spans="8:8" ht="15" customHeight="1" x14ac:dyDescent="0.2">
      <c r="H1936" s="19">
        <v>-2.5975444849850201E-2</v>
      </c>
    </row>
    <row r="1937" spans="8:8" ht="15" customHeight="1" x14ac:dyDescent="0.2">
      <c r="H1937" s="19">
        <v>-5.0105733389835304E-3</v>
      </c>
    </row>
    <row r="1938" spans="8:8" ht="15" customHeight="1" x14ac:dyDescent="0.2">
      <c r="H1938" s="19">
        <v>-2.4484085714281201E-3</v>
      </c>
    </row>
    <row r="1939" spans="8:8" ht="15" customHeight="1" x14ac:dyDescent="0.2">
      <c r="H1939" s="19">
        <v>-9.4585888768026292E-3</v>
      </c>
    </row>
    <row r="1940" spans="8:8" ht="15" customHeight="1" x14ac:dyDescent="0.2">
      <c r="H1940" s="19">
        <v>-5.3895591579952397E-3</v>
      </c>
    </row>
    <row r="1941" spans="8:8" ht="15" customHeight="1" x14ac:dyDescent="0.2">
      <c r="H1941" s="19">
        <v>4.89699564830803E-3</v>
      </c>
    </row>
    <row r="1942" spans="8:8" ht="15" customHeight="1" x14ac:dyDescent="0.2">
      <c r="H1942" s="19">
        <v>-1.22610913747291E-2</v>
      </c>
    </row>
    <row r="1943" spans="8:8" ht="15" customHeight="1" x14ac:dyDescent="0.2">
      <c r="H1943" s="19">
        <v>-1.6122542887313501E-2</v>
      </c>
    </row>
    <row r="1944" spans="8:8" ht="15" customHeight="1" x14ac:dyDescent="0.2">
      <c r="H1944" s="19">
        <v>-9.5837185123444999E-3</v>
      </c>
    </row>
    <row r="1945" spans="8:8" ht="15" customHeight="1" x14ac:dyDescent="0.2">
      <c r="H1945" s="19">
        <v>1.6111318250687601E-3</v>
      </c>
    </row>
    <row r="1946" spans="8:8" ht="15" customHeight="1" x14ac:dyDescent="0.2">
      <c r="H1946" s="19">
        <v>-6.9488972665188303E-3</v>
      </c>
    </row>
    <row r="1947" spans="8:8" ht="15" customHeight="1" x14ac:dyDescent="0.2">
      <c r="H1947" s="19">
        <v>2.5108239750884602E-3</v>
      </c>
    </row>
    <row r="1948" spans="8:8" ht="15" customHeight="1" x14ac:dyDescent="0.2">
      <c r="H1948" s="19">
        <v>-1.76608038877815E-3</v>
      </c>
    </row>
    <row r="1949" spans="8:8" ht="15" customHeight="1" x14ac:dyDescent="0.2">
      <c r="H1949" s="19">
        <v>-1.9613236367946002E-3</v>
      </c>
    </row>
    <row r="1950" spans="8:8" ht="15" customHeight="1" x14ac:dyDescent="0.2">
      <c r="H1950" s="19">
        <v>1.0491934462504999E-2</v>
      </c>
    </row>
    <row r="1951" spans="8:8" ht="15" customHeight="1" x14ac:dyDescent="0.2">
      <c r="H1951" s="19">
        <v>1.29779546690501E-2</v>
      </c>
    </row>
    <row r="1952" spans="8:8" ht="15" customHeight="1" x14ac:dyDescent="0.2">
      <c r="H1952" s="19">
        <v>1.06431803675325E-2</v>
      </c>
    </row>
    <row r="1953" spans="8:8" ht="15" customHeight="1" x14ac:dyDescent="0.2">
      <c r="H1953" s="19">
        <v>3.4566611233904599E-3</v>
      </c>
    </row>
    <row r="1954" spans="8:8" ht="15" customHeight="1" x14ac:dyDescent="0.2">
      <c r="H1954" s="19">
        <v>-1.09300811233933E-2</v>
      </c>
    </row>
    <row r="1955" spans="8:8" ht="15" customHeight="1" x14ac:dyDescent="0.2">
      <c r="H1955" s="19">
        <v>-9.1805309710401103E-5</v>
      </c>
    </row>
    <row r="1956" spans="8:8" ht="15" customHeight="1" x14ac:dyDescent="0.2">
      <c r="H1956" s="19">
        <v>8.4626566034140798E-3</v>
      </c>
    </row>
    <row r="1957" spans="8:8" ht="15" customHeight="1" x14ac:dyDescent="0.2">
      <c r="H1957" s="19">
        <v>-6.5207170623248004E-3</v>
      </c>
    </row>
    <row r="1958" spans="8:8" ht="15" customHeight="1" x14ac:dyDescent="0.2">
      <c r="H1958" s="19">
        <v>-1.12089847952213E-2</v>
      </c>
    </row>
    <row r="1959" spans="8:8" ht="15" customHeight="1" x14ac:dyDescent="0.2">
      <c r="H1959" s="19">
        <v>1.80518491000173E-3</v>
      </c>
    </row>
    <row r="1960" spans="8:8" ht="15" customHeight="1" x14ac:dyDescent="0.2">
      <c r="H1960" s="19">
        <v>-5.3491543350599096E-3</v>
      </c>
    </row>
    <row r="1961" spans="8:8" ht="15" customHeight="1" x14ac:dyDescent="0.2">
      <c r="H1961" s="19">
        <v>-5.7547560562174601E-3</v>
      </c>
    </row>
    <row r="1962" spans="8:8" ht="15" customHeight="1" x14ac:dyDescent="0.2">
      <c r="H1962" s="19">
        <v>1.3697775487725901E-3</v>
      </c>
    </row>
    <row r="1963" spans="8:8" ht="15" customHeight="1" x14ac:dyDescent="0.2">
      <c r="H1963" s="19">
        <v>-1.69104708114565E-2</v>
      </c>
    </row>
    <row r="1964" spans="8:8" ht="15" customHeight="1" x14ac:dyDescent="0.2">
      <c r="H1964" s="19">
        <v>5.3485810707644098E-3</v>
      </c>
    </row>
    <row r="1965" spans="8:8" ht="15" customHeight="1" x14ac:dyDescent="0.2">
      <c r="H1965" s="19">
        <v>-3.48321544619442E-3</v>
      </c>
    </row>
    <row r="1966" spans="8:8" ht="15" customHeight="1" x14ac:dyDescent="0.2">
      <c r="H1966" s="19">
        <v>1.6621728118128599E-2</v>
      </c>
    </row>
    <row r="1967" spans="8:8" ht="15" customHeight="1" x14ac:dyDescent="0.2">
      <c r="H1967" s="19">
        <v>-1.7906416731983298E-2</v>
      </c>
    </row>
    <row r="1968" spans="8:8" ht="15" customHeight="1" x14ac:dyDescent="0.2">
      <c r="H1968" s="19">
        <v>6.6016099838731197E-3</v>
      </c>
    </row>
    <row r="1969" spans="8:8" ht="15" customHeight="1" x14ac:dyDescent="0.2">
      <c r="H1969" s="19">
        <v>8.8011000386248907E-3</v>
      </c>
    </row>
    <row r="1970" spans="8:8" ht="15" customHeight="1" x14ac:dyDescent="0.2">
      <c r="H1970" s="19">
        <v>-2.68769331561147E-2</v>
      </c>
    </row>
    <row r="1971" spans="8:8" ht="15" customHeight="1" x14ac:dyDescent="0.2">
      <c r="H1971" s="19">
        <v>5.9295654405897196E-3</v>
      </c>
    </row>
    <row r="1972" spans="8:8" ht="15" customHeight="1" x14ac:dyDescent="0.2">
      <c r="H1972" s="19">
        <v>1.21367753267694E-2</v>
      </c>
    </row>
    <row r="1973" spans="8:8" ht="15" customHeight="1" x14ac:dyDescent="0.2">
      <c r="H1973" s="19">
        <v>-3.5791528595529401E-3</v>
      </c>
    </row>
    <row r="1974" spans="8:8" ht="15" customHeight="1" x14ac:dyDescent="0.2">
      <c r="H1974" s="19">
        <v>-4.1367907282298302E-3</v>
      </c>
    </row>
    <row r="1975" spans="8:8" ht="15" customHeight="1" x14ac:dyDescent="0.2">
      <c r="H1975" s="19">
        <v>1.55869258771245E-2</v>
      </c>
    </row>
    <row r="1976" spans="8:8" ht="15" customHeight="1" x14ac:dyDescent="0.2">
      <c r="H1976" s="19">
        <v>-1.0553457906852E-2</v>
      </c>
    </row>
    <row r="1977" spans="8:8" ht="15" customHeight="1" x14ac:dyDescent="0.2">
      <c r="H1977" s="19">
        <v>1.62153896202046E-2</v>
      </c>
    </row>
    <row r="1978" spans="8:8" ht="15" customHeight="1" x14ac:dyDescent="0.2">
      <c r="H1978" s="19">
        <v>-9.8930212688425299E-3</v>
      </c>
    </row>
    <row r="1979" spans="8:8" ht="15" customHeight="1" x14ac:dyDescent="0.2">
      <c r="H1979" s="19">
        <v>-8.6550401257346997E-3</v>
      </c>
    </row>
    <row r="1980" spans="8:8" ht="15" customHeight="1" x14ac:dyDescent="0.2">
      <c r="H1980" s="19">
        <v>1.5233784535273701E-3</v>
      </c>
    </row>
    <row r="1981" spans="8:8" ht="15" customHeight="1" x14ac:dyDescent="0.2">
      <c r="H1981" s="19">
        <v>4.9085670875076001E-3</v>
      </c>
    </row>
    <row r="1982" spans="8:8" ht="15" customHeight="1" x14ac:dyDescent="0.2">
      <c r="H1982" s="19">
        <v>-1.28456587167498E-2</v>
      </c>
    </row>
    <row r="1983" spans="8:8" ht="15" customHeight="1" x14ac:dyDescent="0.2">
      <c r="H1983" s="19">
        <v>2.9518673956496801E-3</v>
      </c>
    </row>
    <row r="1984" spans="8:8" ht="15" customHeight="1" x14ac:dyDescent="0.2">
      <c r="H1984" s="19">
        <v>8.9617824680472496E-4</v>
      </c>
    </row>
    <row r="1985" spans="8:8" ht="15" customHeight="1" x14ac:dyDescent="0.2">
      <c r="H1985" s="19">
        <v>-5.7598634452030997E-4</v>
      </c>
    </row>
    <row r="1986" spans="8:8" ht="15" customHeight="1" x14ac:dyDescent="0.2">
      <c r="H1986" s="19">
        <v>1.4076537928792701E-2</v>
      </c>
    </row>
    <row r="1987" spans="8:8" ht="15" customHeight="1" x14ac:dyDescent="0.2">
      <c r="H1987" s="19">
        <v>1.9699862532007201E-2</v>
      </c>
    </row>
    <row r="1988" spans="8:8" ht="15" customHeight="1" x14ac:dyDescent="0.2">
      <c r="H1988" s="19">
        <v>-1.9348457263143001E-3</v>
      </c>
    </row>
    <row r="1989" spans="8:8" ht="15" customHeight="1" x14ac:dyDescent="0.2">
      <c r="H1989" s="19">
        <v>-6.9847560812138403E-3</v>
      </c>
    </row>
    <row r="1990" spans="8:8" ht="15" customHeight="1" x14ac:dyDescent="0.2">
      <c r="H1990" s="19">
        <v>5.6843625266279401E-3</v>
      </c>
    </row>
    <row r="1991" spans="8:8" ht="15" customHeight="1" x14ac:dyDescent="0.2">
      <c r="H1991" s="19">
        <v>-4.3487153870225698E-3</v>
      </c>
    </row>
    <row r="1992" spans="8:8" ht="15" customHeight="1" x14ac:dyDescent="0.2">
      <c r="H1992" s="19">
        <v>3.54172794167941E-3</v>
      </c>
    </row>
    <row r="1993" spans="8:8" ht="15" customHeight="1" x14ac:dyDescent="0.2">
      <c r="H1993" s="19">
        <v>5.6849180468177803E-3</v>
      </c>
    </row>
    <row r="1994" spans="8:8" ht="15" customHeight="1" x14ac:dyDescent="0.2">
      <c r="H1994" s="19">
        <v>3.6720225780242802E-4</v>
      </c>
    </row>
    <row r="1995" spans="8:8" ht="15" customHeight="1" x14ac:dyDescent="0.2">
      <c r="H1995" s="19">
        <v>7.8123644731178899E-3</v>
      </c>
    </row>
    <row r="1996" spans="8:8" ht="15" customHeight="1" x14ac:dyDescent="0.2">
      <c r="H1996" s="19">
        <v>7.3650208695178899E-3</v>
      </c>
    </row>
    <row r="1997" spans="8:8" ht="15" customHeight="1" x14ac:dyDescent="0.2">
      <c r="H1997" s="19">
        <v>1.10234500709666E-2</v>
      </c>
    </row>
    <row r="1998" spans="8:8" ht="15" customHeight="1" x14ac:dyDescent="0.2">
      <c r="H1998" s="19">
        <v>-1.04467561071552E-4</v>
      </c>
    </row>
    <row r="1999" spans="8:8" ht="15" customHeight="1" x14ac:dyDescent="0.2">
      <c r="H1999" s="19">
        <v>-5.0180454690287304E-3</v>
      </c>
    </row>
    <row r="2000" spans="8:8" ht="15" customHeight="1" x14ac:dyDescent="0.2">
      <c r="H2000" s="19">
        <v>-1.5497259044989701E-2</v>
      </c>
    </row>
    <row r="2001" spans="8:8" ht="15" customHeight="1" x14ac:dyDescent="0.2">
      <c r="H2001" s="19">
        <v>-1.45910315026445E-3</v>
      </c>
    </row>
    <row r="2002" spans="8:8" ht="15" customHeight="1" x14ac:dyDescent="0.2">
      <c r="H2002" s="19">
        <v>2.3663610944990301E-3</v>
      </c>
    </row>
    <row r="2003" spans="8:8" ht="15" customHeight="1" x14ac:dyDescent="0.2">
      <c r="H2003" s="19">
        <v>-1.23391020886559E-2</v>
      </c>
    </row>
    <row r="2004" spans="8:8" ht="15" customHeight="1" x14ac:dyDescent="0.2">
      <c r="H2004" s="19">
        <v>1.4268694765896799E-3</v>
      </c>
    </row>
    <row r="2005" spans="8:8" ht="15" customHeight="1" x14ac:dyDescent="0.2">
      <c r="H2005" s="19">
        <v>2.4810067633928702E-3</v>
      </c>
    </row>
    <row r="2006" spans="8:8" ht="15" customHeight="1" x14ac:dyDescent="0.2">
      <c r="H2006" s="19">
        <v>7.3977093990702202E-3</v>
      </c>
    </row>
    <row r="2007" spans="8:8" ht="15" customHeight="1" x14ac:dyDescent="0.2">
      <c r="H2007" s="19">
        <v>2.5402834388111001E-2</v>
      </c>
    </row>
    <row r="2008" spans="8:8" ht="15" customHeight="1" x14ac:dyDescent="0.2">
      <c r="H2008" s="19">
        <v>3.1151030873896899E-2</v>
      </c>
    </row>
    <row r="2009" spans="8:8" ht="15" customHeight="1" x14ac:dyDescent="0.2">
      <c r="H2009" s="19">
        <v>1.6340102577290402E-2</v>
      </c>
    </row>
    <row r="2010" spans="8:8" ht="15" customHeight="1" x14ac:dyDescent="0.2">
      <c r="H2010" s="19">
        <v>-1.3520089998700999E-2</v>
      </c>
    </row>
    <row r="2011" spans="8:8" ht="15" customHeight="1" x14ac:dyDescent="0.2">
      <c r="H2011" s="19">
        <v>1.9062168658654802E-2</v>
      </c>
    </row>
    <row r="2012" spans="8:8" ht="15" customHeight="1" x14ac:dyDescent="0.2">
      <c r="H2012" s="19">
        <v>4.4595161095130698E-3</v>
      </c>
    </row>
    <row r="2013" spans="8:8" ht="15" customHeight="1" x14ac:dyDescent="0.2">
      <c r="H2013" s="19">
        <v>-9.8817915164374198E-3</v>
      </c>
    </row>
    <row r="2014" spans="8:8" ht="15" customHeight="1" x14ac:dyDescent="0.2">
      <c r="H2014" s="19">
        <v>1.29590465471149E-2</v>
      </c>
    </row>
    <row r="2015" spans="8:8" ht="15" customHeight="1" x14ac:dyDescent="0.2">
      <c r="H2015" s="19">
        <v>6.2314278997901099E-3</v>
      </c>
    </row>
    <row r="2016" spans="8:8" ht="15" customHeight="1" x14ac:dyDescent="0.2">
      <c r="H2016" s="19">
        <v>-8.3280519706186102E-5</v>
      </c>
    </row>
    <row r="2017" spans="8:8" ht="15" customHeight="1" x14ac:dyDescent="0.2">
      <c r="H2017" s="19">
        <v>8.9040547210954399E-4</v>
      </c>
    </row>
    <row r="2018" spans="8:8" ht="15" customHeight="1" x14ac:dyDescent="0.2">
      <c r="H2018" s="19">
        <v>7.7270022032224503E-3</v>
      </c>
    </row>
    <row r="2019" spans="8:8" ht="15" customHeight="1" x14ac:dyDescent="0.2">
      <c r="H2019" s="19">
        <v>3.56389820176466E-4</v>
      </c>
    </row>
    <row r="2020" spans="8:8" ht="15" customHeight="1" x14ac:dyDescent="0.2">
      <c r="H2020" s="19">
        <v>1.00769439306049E-2</v>
      </c>
    </row>
    <row r="2021" spans="8:8" ht="15" customHeight="1" x14ac:dyDescent="0.2">
      <c r="H2021" s="19">
        <v>-1.26057855590057E-3</v>
      </c>
    </row>
    <row r="2022" spans="8:8" ht="15" customHeight="1" x14ac:dyDescent="0.2">
      <c r="H2022" s="19">
        <v>5.1038420846806097E-3</v>
      </c>
    </row>
    <row r="2023" spans="8:8" ht="15" customHeight="1" x14ac:dyDescent="0.2">
      <c r="H2023" s="19">
        <v>1.5299430835940099E-2</v>
      </c>
    </row>
    <row r="2024" spans="8:8" ht="15" customHeight="1" x14ac:dyDescent="0.2">
      <c r="H2024" s="19">
        <v>-1.14666958839985E-3</v>
      </c>
    </row>
    <row r="2025" spans="8:8" ht="15" customHeight="1" x14ac:dyDescent="0.2">
      <c r="H2025" s="19">
        <v>3.4382544553383499E-3</v>
      </c>
    </row>
    <row r="2026" spans="8:8" ht="15" customHeight="1" x14ac:dyDescent="0.2">
      <c r="H2026" s="19">
        <v>-1.33119228882149E-2</v>
      </c>
    </row>
    <row r="2027" spans="8:8" ht="15" customHeight="1" x14ac:dyDescent="0.2">
      <c r="H2027" s="19">
        <v>2.4220230604636898E-2</v>
      </c>
    </row>
    <row r="2028" spans="8:8" ht="15" customHeight="1" x14ac:dyDescent="0.2">
      <c r="H2028" s="19">
        <v>1.61874755008194E-2</v>
      </c>
    </row>
    <row r="2029" spans="8:8" ht="15" customHeight="1" x14ac:dyDescent="0.2">
      <c r="H2029" s="19">
        <v>-1.05473641239752E-2</v>
      </c>
    </row>
    <row r="2030" spans="8:8" ht="15" customHeight="1" x14ac:dyDescent="0.2">
      <c r="H2030" s="19">
        <v>2.05861884118386E-2</v>
      </c>
    </row>
    <row r="2031" spans="8:8" ht="15" customHeight="1" x14ac:dyDescent="0.2">
      <c r="H2031" s="19">
        <v>9.3778043804546799E-3</v>
      </c>
    </row>
    <row r="2032" spans="8:8" ht="15" customHeight="1" x14ac:dyDescent="0.2">
      <c r="H2032" s="19">
        <v>-7.79786349444092E-3</v>
      </c>
    </row>
    <row r="2033" spans="8:8" ht="15" customHeight="1" x14ac:dyDescent="0.2">
      <c r="H2033" s="19">
        <v>4.0879432457463098E-4</v>
      </c>
    </row>
    <row r="2034" spans="8:8" ht="15" customHeight="1" x14ac:dyDescent="0.2">
      <c r="H2034" s="19">
        <v>1.9857499962239399E-3</v>
      </c>
    </row>
    <row r="2035" spans="8:8" ht="15" customHeight="1" x14ac:dyDescent="0.2">
      <c r="H2035" s="19">
        <v>-5.0031927404215496E-3</v>
      </c>
    </row>
    <row r="2036" spans="8:8" ht="15" customHeight="1" x14ac:dyDescent="0.2">
      <c r="H2036" s="19">
        <v>9.1778570577845595E-3</v>
      </c>
    </row>
    <row r="2037" spans="8:8" ht="15" customHeight="1" x14ac:dyDescent="0.2">
      <c r="H2037" s="19">
        <v>9.25479946314396E-3</v>
      </c>
    </row>
    <row r="2038" spans="8:8" ht="15" customHeight="1" x14ac:dyDescent="0.2">
      <c r="H2038" s="19">
        <v>-9.5870749766783902E-3</v>
      </c>
    </row>
    <row r="2039" spans="8:8" ht="15" customHeight="1" x14ac:dyDescent="0.2">
      <c r="H2039" s="19">
        <v>-1.2911650918245E-3</v>
      </c>
    </row>
    <row r="2040" spans="8:8" ht="15" customHeight="1" x14ac:dyDescent="0.2">
      <c r="H2040" s="19">
        <v>7.7275542991244199E-3</v>
      </c>
    </row>
    <row r="2041" spans="8:8" ht="15" customHeight="1" x14ac:dyDescent="0.2">
      <c r="H2041" s="19">
        <v>5.3308695258298504E-4</v>
      </c>
    </row>
    <row r="2042" spans="8:8" ht="15" customHeight="1" x14ac:dyDescent="0.2">
      <c r="H2042" s="19">
        <v>-9.68793032819431E-4</v>
      </c>
    </row>
    <row r="2043" spans="8:8" ht="15" customHeight="1" x14ac:dyDescent="0.2">
      <c r="H2043" s="19">
        <v>8.6513064755192309E-3</v>
      </c>
    </row>
    <row r="2044" spans="8:8" ht="15" customHeight="1" x14ac:dyDescent="0.2">
      <c r="H2044" s="19">
        <v>8.7058417772791202E-3</v>
      </c>
    </row>
    <row r="2045" spans="8:8" ht="15" customHeight="1" x14ac:dyDescent="0.2">
      <c r="H2045" s="19">
        <v>6.7596334630330701E-4</v>
      </c>
    </row>
    <row r="2046" spans="8:8" ht="15" customHeight="1" x14ac:dyDescent="0.2">
      <c r="H2046" s="19">
        <v>-1.87643509278306E-2</v>
      </c>
    </row>
    <row r="2047" spans="8:8" ht="15" customHeight="1" x14ac:dyDescent="0.2">
      <c r="H2047" s="19">
        <v>3.0071261592618598E-2</v>
      </c>
    </row>
    <row r="2048" spans="8:8" ht="15" customHeight="1" x14ac:dyDescent="0.2">
      <c r="H2048" s="19">
        <v>2.7583449610842198E-3</v>
      </c>
    </row>
    <row r="2049" spans="8:8" ht="15" customHeight="1" x14ac:dyDescent="0.2">
      <c r="H2049" s="19">
        <v>-8.7685142683417601E-3</v>
      </c>
    </row>
    <row r="2050" spans="8:8" ht="15" customHeight="1" x14ac:dyDescent="0.2">
      <c r="H2050" s="19">
        <v>1.17404586187597E-3</v>
      </c>
    </row>
    <row r="2051" spans="8:8" ht="15" customHeight="1" x14ac:dyDescent="0.2">
      <c r="H2051" s="19">
        <v>-1.2356144080781801E-2</v>
      </c>
    </row>
    <row r="2052" spans="8:8" ht="15" customHeight="1" x14ac:dyDescent="0.2">
      <c r="H2052" s="19">
        <v>3.3623679158865598E-2</v>
      </c>
    </row>
    <row r="2053" spans="8:8" ht="15" customHeight="1" x14ac:dyDescent="0.2">
      <c r="H2053" s="19">
        <v>4.1462273708621697E-3</v>
      </c>
    </row>
    <row r="2054" spans="8:8" ht="15" customHeight="1" x14ac:dyDescent="0.2">
      <c r="H2054" s="19">
        <v>9.3781413215619606E-3</v>
      </c>
    </row>
    <row r="2055" spans="8:8" ht="15" customHeight="1" x14ac:dyDescent="0.2">
      <c r="H2055" s="19">
        <v>1.06485278424215E-2</v>
      </c>
    </row>
    <row r="2056" spans="8:8" ht="15" customHeight="1" x14ac:dyDescent="0.2">
      <c r="H2056" s="19">
        <v>-8.8541713909353094E-3</v>
      </c>
    </row>
    <row r="2057" spans="8:8" ht="15" customHeight="1" x14ac:dyDescent="0.2">
      <c r="H2057" s="19">
        <v>1.3295636836268001E-2</v>
      </c>
    </row>
    <row r="2058" spans="8:8" ht="15" customHeight="1" x14ac:dyDescent="0.2">
      <c r="H2058" s="19">
        <v>-5.8473035437728504E-3</v>
      </c>
    </row>
    <row r="2059" spans="8:8" ht="15" customHeight="1" x14ac:dyDescent="0.2">
      <c r="H2059" s="19">
        <v>4.5430674162201702E-4</v>
      </c>
    </row>
    <row r="2060" spans="8:8" ht="15" customHeight="1" x14ac:dyDescent="0.2">
      <c r="H2060" s="19">
        <v>2.01795244986471E-2</v>
      </c>
    </row>
    <row r="2061" spans="8:8" ht="15" customHeight="1" x14ac:dyDescent="0.2">
      <c r="H2061" s="19">
        <v>-7.5702377146141201E-3</v>
      </c>
    </row>
    <row r="2062" spans="8:8" ht="15" customHeight="1" x14ac:dyDescent="0.2">
      <c r="H2062" s="19">
        <v>-8.5896331485217701E-4</v>
      </c>
    </row>
    <row r="2063" spans="8:8" ht="15" customHeight="1" x14ac:dyDescent="0.2">
      <c r="H2063" s="19">
        <v>1.00413633569949E-2</v>
      </c>
    </row>
    <row r="2064" spans="8:8" ht="15" customHeight="1" x14ac:dyDescent="0.2">
      <c r="H2064" s="19">
        <v>-3.2545133156885397E-2</v>
      </c>
    </row>
    <row r="2065" spans="8:8" ht="15" customHeight="1" x14ac:dyDescent="0.2">
      <c r="H2065" s="19">
        <v>2.07725518309009E-2</v>
      </c>
    </row>
    <row r="2066" spans="8:8" ht="15" customHeight="1" x14ac:dyDescent="0.2">
      <c r="H2066" s="19">
        <v>-1.0109818659758499E-2</v>
      </c>
    </row>
    <row r="2067" spans="8:8" ht="15" customHeight="1" x14ac:dyDescent="0.2">
      <c r="H2067" s="19">
        <v>1.4846710942913799E-3</v>
      </c>
    </row>
    <row r="2068" spans="8:8" ht="15" customHeight="1" x14ac:dyDescent="0.2">
      <c r="H2068" s="19">
        <v>2.04651325037183E-2</v>
      </c>
    </row>
    <row r="2069" spans="8:8" ht="15" customHeight="1" x14ac:dyDescent="0.2">
      <c r="H2069" s="19">
        <v>7.3780650056731404E-3</v>
      </c>
    </row>
    <row r="2070" spans="8:8" ht="15" customHeight="1" x14ac:dyDescent="0.2">
      <c r="H2070" s="19">
        <v>7.5240902243034697E-3</v>
      </c>
    </row>
    <row r="2071" spans="8:8" ht="15" customHeight="1" x14ac:dyDescent="0.2">
      <c r="H2071" s="19">
        <v>-2.30734462393066E-2</v>
      </c>
    </row>
    <row r="2072" spans="8:8" ht="15" customHeight="1" x14ac:dyDescent="0.2">
      <c r="H2072" s="19">
        <v>-1.48788293435606E-3</v>
      </c>
    </row>
    <row r="2073" spans="8:8" ht="15" customHeight="1" x14ac:dyDescent="0.2">
      <c r="H2073" s="19">
        <v>7.1740935333509497E-3</v>
      </c>
    </row>
    <row r="2074" spans="8:8" ht="15" customHeight="1" x14ac:dyDescent="0.2">
      <c r="H2074" s="19">
        <v>1.16455078215145E-2</v>
      </c>
    </row>
    <row r="2075" spans="8:8" ht="15" customHeight="1" x14ac:dyDescent="0.2">
      <c r="H2075" s="19">
        <v>-1.25722189378657E-2</v>
      </c>
    </row>
    <row r="2076" spans="8:8" ht="15" customHeight="1" x14ac:dyDescent="0.2">
      <c r="H2076" s="19">
        <v>-1.82702089531563E-2</v>
      </c>
    </row>
    <row r="2077" spans="8:8" ht="15" customHeight="1" x14ac:dyDescent="0.2">
      <c r="H2077" s="19">
        <v>-1.1235001277493901E-2</v>
      </c>
    </row>
    <row r="2078" spans="8:8" ht="15" customHeight="1" x14ac:dyDescent="0.2">
      <c r="H2078" s="19">
        <v>-7.1478754414771202E-3</v>
      </c>
    </row>
    <row r="2079" spans="8:8" ht="15" customHeight="1" x14ac:dyDescent="0.2">
      <c r="H2079" s="19">
        <v>8.8294821218882994E-3</v>
      </c>
    </row>
    <row r="2080" spans="8:8" ht="15" customHeight="1" x14ac:dyDescent="0.2">
      <c r="H2080" s="19">
        <v>-3.3766944002509299E-4</v>
      </c>
    </row>
    <row r="2081" spans="8:8" ht="15" customHeight="1" x14ac:dyDescent="0.2">
      <c r="H2081" s="19">
        <v>8.9027947117495203E-4</v>
      </c>
    </row>
    <row r="2082" spans="8:8" ht="15" customHeight="1" x14ac:dyDescent="0.2">
      <c r="H2082" s="19">
        <v>2.1175712674943899E-2</v>
      </c>
    </row>
    <row r="2083" spans="8:8" ht="15" customHeight="1" x14ac:dyDescent="0.2">
      <c r="H2083" s="19">
        <v>-3.9156604552401802E-3</v>
      </c>
    </row>
    <row r="2084" spans="8:8" ht="15" customHeight="1" x14ac:dyDescent="0.2">
      <c r="H2084" s="19">
        <v>8.3697039270358897E-4</v>
      </c>
    </row>
    <row r="2085" spans="8:8" ht="15" customHeight="1" x14ac:dyDescent="0.2">
      <c r="H2085" s="19">
        <v>-3.3918070366822598E-3</v>
      </c>
    </row>
    <row r="2086" spans="8:8" ht="15" customHeight="1" x14ac:dyDescent="0.2">
      <c r="H2086" s="19">
        <v>1.24784351922889E-2</v>
      </c>
    </row>
    <row r="2087" spans="8:8" ht="15" customHeight="1" x14ac:dyDescent="0.2">
      <c r="H2087" s="19">
        <v>-3.1378105784149101E-3</v>
      </c>
    </row>
    <row r="2088" spans="8:8" ht="15" customHeight="1" x14ac:dyDescent="0.2">
      <c r="H2088" s="19">
        <v>1.8727826906639999E-2</v>
      </c>
    </row>
    <row r="2089" spans="8:8" ht="15" customHeight="1" x14ac:dyDescent="0.2">
      <c r="H2089" s="19">
        <v>-6.7205223672523497E-3</v>
      </c>
    </row>
    <row r="2090" spans="8:8" ht="15" customHeight="1" x14ac:dyDescent="0.2">
      <c r="H2090" s="19">
        <v>-7.0132826146240904E-3</v>
      </c>
    </row>
    <row r="2091" spans="8:8" ht="15" customHeight="1" x14ac:dyDescent="0.2">
      <c r="H2091" s="19">
        <v>3.4094796454794702E-3</v>
      </c>
    </row>
    <row r="2092" spans="8:8" ht="15" customHeight="1" x14ac:dyDescent="0.2">
      <c r="H2092" s="19">
        <v>-5.1327276147841196E-3</v>
      </c>
    </row>
    <row r="2093" spans="8:8" ht="15" customHeight="1" x14ac:dyDescent="0.2">
      <c r="H2093" s="19">
        <v>-8.9084529776982408E-3</v>
      </c>
    </row>
    <row r="2094" spans="8:8" ht="15" customHeight="1" x14ac:dyDescent="0.2">
      <c r="H2094" s="19">
        <v>-1.5172327094016801E-2</v>
      </c>
    </row>
    <row r="2095" spans="8:8" ht="15" customHeight="1" x14ac:dyDescent="0.2">
      <c r="H2095" s="19">
        <v>3.9265441319044601E-3</v>
      </c>
    </row>
    <row r="2096" spans="8:8" ht="15" customHeight="1" x14ac:dyDescent="0.2">
      <c r="H2096" s="19">
        <v>1.4689706233934501E-2</v>
      </c>
    </row>
    <row r="2097" spans="8:8" ht="15" customHeight="1" x14ac:dyDescent="0.2">
      <c r="H2097" s="19">
        <v>-8.3843066534239005E-4</v>
      </c>
    </row>
    <row r="2098" spans="8:8" ht="15" customHeight="1" x14ac:dyDescent="0.2">
      <c r="H2098" s="19">
        <v>1.3309045800134699E-3</v>
      </c>
    </row>
    <row r="2099" spans="8:8" ht="15" customHeight="1" x14ac:dyDescent="0.2">
      <c r="H2099" s="19">
        <v>8.4836710288008193E-3</v>
      </c>
    </row>
    <row r="2100" spans="8:8" ht="15" customHeight="1" x14ac:dyDescent="0.2">
      <c r="H2100" s="19">
        <v>-1.2305263647776E-2</v>
      </c>
    </row>
    <row r="2101" spans="8:8" ht="15" customHeight="1" x14ac:dyDescent="0.2">
      <c r="H2101" s="19">
        <v>-9.1706197536772296E-3</v>
      </c>
    </row>
    <row r="2102" spans="8:8" ht="15" customHeight="1" x14ac:dyDescent="0.2">
      <c r="H2102" s="19">
        <v>-5.03256140140364E-3</v>
      </c>
    </row>
    <row r="2103" spans="8:8" ht="15" customHeight="1" x14ac:dyDescent="0.2">
      <c r="H2103" s="19">
        <v>-9.1149161216646495E-3</v>
      </c>
    </row>
    <row r="2104" spans="8:8" ht="15" customHeight="1" x14ac:dyDescent="0.2">
      <c r="H2104" s="19">
        <v>6.9057753525960299E-3</v>
      </c>
    </row>
    <row r="2105" spans="8:8" ht="15" customHeight="1" x14ac:dyDescent="0.2">
      <c r="H2105" s="19">
        <v>1.0383813897290199E-2</v>
      </c>
    </row>
    <row r="2106" spans="8:8" ht="15" customHeight="1" x14ac:dyDescent="0.2">
      <c r="H2106" s="19">
        <v>1.21684198278749E-3</v>
      </c>
    </row>
    <row r="2107" spans="8:8" ht="15" customHeight="1" x14ac:dyDescent="0.2">
      <c r="H2107" s="19">
        <v>-4.11522585692957E-3</v>
      </c>
    </row>
    <row r="2108" spans="8:8" ht="15" customHeight="1" x14ac:dyDescent="0.2">
      <c r="H2108" s="19">
        <v>-6.2321102601931404E-3</v>
      </c>
    </row>
    <row r="2109" spans="8:8" ht="15" customHeight="1" x14ac:dyDescent="0.2">
      <c r="H2109" s="19">
        <v>1.9002445562784999E-2</v>
      </c>
    </row>
    <row r="2110" spans="8:8" ht="15" customHeight="1" x14ac:dyDescent="0.2">
      <c r="H2110" s="19">
        <v>5.0260670671105102E-3</v>
      </c>
    </row>
    <row r="2111" spans="8:8" ht="15" customHeight="1" x14ac:dyDescent="0.2">
      <c r="H2111" s="19">
        <v>-1.2386556000005501E-3</v>
      </c>
    </row>
    <row r="2112" spans="8:8" ht="15" customHeight="1" x14ac:dyDescent="0.2">
      <c r="H2112" s="19">
        <v>4.4390401130961002E-3</v>
      </c>
    </row>
    <row r="2113" spans="8:8" ht="15" customHeight="1" x14ac:dyDescent="0.2">
      <c r="H2113" s="19">
        <v>8.3577200010969701E-4</v>
      </c>
    </row>
    <row r="2114" spans="8:8" ht="15" customHeight="1" x14ac:dyDescent="0.2">
      <c r="H2114" s="19">
        <v>8.8362824357007801E-3</v>
      </c>
    </row>
    <row r="2115" spans="8:8" ht="15" customHeight="1" x14ac:dyDescent="0.2">
      <c r="H2115" s="19">
        <v>1.14670311729033E-2</v>
      </c>
    </row>
    <row r="2116" spans="8:8" ht="15" customHeight="1" x14ac:dyDescent="0.2">
      <c r="H2116" s="19">
        <v>-7.6183407690518703E-3</v>
      </c>
    </row>
    <row r="2117" spans="8:8" ht="15" customHeight="1" x14ac:dyDescent="0.2">
      <c r="H2117" s="19">
        <v>1.1703836940196499E-2</v>
      </c>
    </row>
    <row r="2118" spans="8:8" ht="15" customHeight="1" x14ac:dyDescent="0.2">
      <c r="H2118" s="19">
        <v>-7.9334719726496094E-3</v>
      </c>
    </row>
    <row r="2119" spans="8:8" ht="15" customHeight="1" x14ac:dyDescent="0.2">
      <c r="H2119" s="19">
        <v>1.36610608963686E-2</v>
      </c>
    </row>
    <row r="2120" spans="8:8" ht="15" customHeight="1" x14ac:dyDescent="0.2">
      <c r="H2120" s="19">
        <v>7.3681786706973696E-3</v>
      </c>
    </row>
    <row r="2121" spans="8:8" ht="15" customHeight="1" x14ac:dyDescent="0.2">
      <c r="H2121" s="19">
        <v>1.54745433314285E-4</v>
      </c>
    </row>
    <row r="2122" spans="8:8" ht="15" customHeight="1" x14ac:dyDescent="0.2">
      <c r="H2122" s="19">
        <v>1.3404506738424801E-3</v>
      </c>
    </row>
    <row r="2123" spans="8:8" ht="15" customHeight="1" x14ac:dyDescent="0.2">
      <c r="H2123" s="19">
        <v>-2.04822346686728E-2</v>
      </c>
    </row>
    <row r="2124" spans="8:8" ht="15" customHeight="1" x14ac:dyDescent="0.2">
      <c r="H2124" s="19">
        <v>-4.6617786433819997E-3</v>
      </c>
    </row>
    <row r="2125" spans="8:8" ht="15" customHeight="1" x14ac:dyDescent="0.2">
      <c r="H2125" s="19">
        <v>3.9999283298732501E-3</v>
      </c>
    </row>
    <row r="2126" spans="8:8" ht="15" customHeight="1" x14ac:dyDescent="0.2">
      <c r="H2126" s="19">
        <v>-5.2957128600589496E-3</v>
      </c>
    </row>
    <row r="2127" spans="8:8" ht="15" customHeight="1" x14ac:dyDescent="0.2">
      <c r="H2127" s="19">
        <v>-2.3673235764624701E-2</v>
      </c>
    </row>
    <row r="2128" spans="8:8" ht="15" customHeight="1" x14ac:dyDescent="0.2">
      <c r="H2128" s="19">
        <v>1.2737575218207699E-2</v>
      </c>
    </row>
    <row r="2129" spans="8:8" ht="15" customHeight="1" x14ac:dyDescent="0.2">
      <c r="H2129" s="19">
        <v>4.903317775155E-3</v>
      </c>
    </row>
    <row r="2130" spans="8:8" ht="15" customHeight="1" x14ac:dyDescent="0.2">
      <c r="H2130" s="19">
        <v>-2.3613039453777001E-3</v>
      </c>
    </row>
    <row r="2131" spans="8:8" ht="15" customHeight="1" x14ac:dyDescent="0.2">
      <c r="H2131" s="19">
        <v>7.1158713120467003E-3</v>
      </c>
    </row>
    <row r="2132" spans="8:8" ht="15" customHeight="1" x14ac:dyDescent="0.2">
      <c r="H2132" s="19">
        <v>2.3165577341738501E-3</v>
      </c>
    </row>
    <row r="2133" spans="8:8" ht="15" customHeight="1" x14ac:dyDescent="0.2">
      <c r="H2133" s="19">
        <v>1.95775424743478E-2</v>
      </c>
    </row>
    <row r="2134" spans="8:8" ht="15" customHeight="1" x14ac:dyDescent="0.2">
      <c r="H2134" s="19">
        <v>-7.5630087981609804E-3</v>
      </c>
    </row>
    <row r="2135" spans="8:8" ht="15" customHeight="1" x14ac:dyDescent="0.2">
      <c r="H2135" s="19">
        <v>-8.1341639127566808E-3</v>
      </c>
    </row>
    <row r="2136" spans="8:8" ht="15" customHeight="1" x14ac:dyDescent="0.2">
      <c r="H2136" s="19">
        <v>-9.4943508171784399E-3</v>
      </c>
    </row>
    <row r="2137" spans="8:8" ht="15" customHeight="1" x14ac:dyDescent="0.2">
      <c r="H2137" s="19">
        <v>7.2726485881975502E-3</v>
      </c>
    </row>
    <row r="2138" spans="8:8" ht="15" customHeight="1" x14ac:dyDescent="0.2">
      <c r="H2138" s="19">
        <v>-4.2255870796142504E-3</v>
      </c>
    </row>
    <row r="2139" spans="8:8" ht="15" customHeight="1" x14ac:dyDescent="0.2">
      <c r="H2139" s="19">
        <v>6.2541883938520004E-3</v>
      </c>
    </row>
    <row r="2140" spans="8:8" ht="15" customHeight="1" x14ac:dyDescent="0.2">
      <c r="H2140" s="19">
        <v>-5.2573396201564598E-3</v>
      </c>
    </row>
    <row r="2141" spans="8:8" ht="15" customHeight="1" x14ac:dyDescent="0.2">
      <c r="H2141" s="19">
        <v>-7.3027085933008104E-4</v>
      </c>
    </row>
    <row r="2142" spans="8:8" ht="15" customHeight="1" x14ac:dyDescent="0.2">
      <c r="H2142" s="19">
        <v>1.7910275292431499E-3</v>
      </c>
    </row>
    <row r="2143" spans="8:8" ht="15" customHeight="1" x14ac:dyDescent="0.2">
      <c r="H2143" s="19">
        <v>2.14329669789197E-2</v>
      </c>
    </row>
    <row r="2144" spans="8:8" ht="15" customHeight="1" x14ac:dyDescent="0.2">
      <c r="H2144" s="19">
        <v>1.13623878346372E-3</v>
      </c>
    </row>
    <row r="2145" spans="8:8" ht="15" customHeight="1" x14ac:dyDescent="0.2">
      <c r="H2145" s="19">
        <v>-5.8840980879703202E-3</v>
      </c>
    </row>
    <row r="2146" spans="8:8" ht="15" customHeight="1" x14ac:dyDescent="0.2">
      <c r="H2146" s="19">
        <v>4.8681733641950699E-3</v>
      </c>
    </row>
    <row r="2147" spans="8:8" ht="15" customHeight="1" x14ac:dyDescent="0.2">
      <c r="H2147" s="19">
        <v>2.01856922849169E-3</v>
      </c>
    </row>
    <row r="2148" spans="8:8" ht="15" customHeight="1" x14ac:dyDescent="0.2">
      <c r="H2148" s="19">
        <v>-7.7717220746422898E-4</v>
      </c>
    </row>
    <row r="2149" spans="8:8" ht="15" customHeight="1" x14ac:dyDescent="0.2">
      <c r="H2149" s="19">
        <v>5.5945161542050202E-3</v>
      </c>
    </row>
    <row r="2150" spans="8:8" ht="15" customHeight="1" x14ac:dyDescent="0.2">
      <c r="H2150" s="19">
        <v>-1.7852889648820799E-2</v>
      </c>
    </row>
    <row r="2151" spans="8:8" ht="15" customHeight="1" x14ac:dyDescent="0.2">
      <c r="H2151" s="19">
        <v>3.2344027538466001E-3</v>
      </c>
    </row>
    <row r="2152" spans="8:8" ht="15" customHeight="1" x14ac:dyDescent="0.2">
      <c r="H2152" s="19">
        <v>3.5766161548582399E-3</v>
      </c>
    </row>
    <row r="2153" spans="8:8" ht="15" customHeight="1" x14ac:dyDescent="0.2">
      <c r="H2153" s="19">
        <v>-5.9575023669051997E-3</v>
      </c>
    </row>
    <row r="2154" spans="8:8" ht="15" customHeight="1" x14ac:dyDescent="0.2">
      <c r="H2154" s="19">
        <v>2.6287917379086301E-2</v>
      </c>
    </row>
    <row r="2155" spans="8:8" ht="15" customHeight="1" x14ac:dyDescent="0.2">
      <c r="H2155" s="19">
        <v>-1.48123331443505E-3</v>
      </c>
    </row>
    <row r="2156" spans="8:8" ht="15" customHeight="1" x14ac:dyDescent="0.2">
      <c r="H2156" s="19">
        <v>1.26517610636585E-2</v>
      </c>
    </row>
    <row r="2157" spans="8:8" ht="15" customHeight="1" x14ac:dyDescent="0.2">
      <c r="H2157" s="19">
        <v>6.9119977354435199E-3</v>
      </c>
    </row>
    <row r="2158" spans="8:8" ht="15" customHeight="1" x14ac:dyDescent="0.2">
      <c r="H2158" s="19">
        <v>-8.8903035793500892E-3</v>
      </c>
    </row>
    <row r="2159" spans="8:8" ht="15" customHeight="1" x14ac:dyDescent="0.2">
      <c r="H2159" s="19">
        <v>-2.81735297941038E-3</v>
      </c>
    </row>
    <row r="2160" spans="8:8" ht="15" customHeight="1" x14ac:dyDescent="0.2">
      <c r="H2160" s="19">
        <v>-1.5659289865503499E-2</v>
      </c>
    </row>
    <row r="2161" spans="8:8" ht="15" customHeight="1" x14ac:dyDescent="0.2">
      <c r="H2161" s="19">
        <v>-9.4416390575042305E-3</v>
      </c>
    </row>
    <row r="2162" spans="8:8" ht="15" customHeight="1" x14ac:dyDescent="0.2">
      <c r="H2162" s="19">
        <v>-1.3800799517726E-2</v>
      </c>
    </row>
    <row r="2163" spans="8:8" ht="15" customHeight="1" x14ac:dyDescent="0.2">
      <c r="H2163" s="19">
        <v>4.6824913666129999E-3</v>
      </c>
    </row>
    <row r="2164" spans="8:8" ht="15" customHeight="1" x14ac:dyDescent="0.2">
      <c r="H2164" s="19">
        <v>1.99859818609942E-3</v>
      </c>
    </row>
    <row r="2165" spans="8:8" ht="15" customHeight="1" x14ac:dyDescent="0.2">
      <c r="H2165" s="19">
        <v>-5.5597193780687598E-3</v>
      </c>
    </row>
    <row r="2166" spans="8:8" ht="15" customHeight="1" x14ac:dyDescent="0.2">
      <c r="H2166" s="19">
        <v>-3.65627154641919E-5</v>
      </c>
    </row>
    <row r="2167" spans="8:8" ht="15" customHeight="1" x14ac:dyDescent="0.2">
      <c r="H2167" s="19">
        <v>-1.79443117405837E-2</v>
      </c>
    </row>
    <row r="2168" spans="8:8" ht="15" customHeight="1" x14ac:dyDescent="0.2">
      <c r="H2168" s="19">
        <v>2.2051434481815701E-3</v>
      </c>
    </row>
    <row r="2169" spans="8:8" ht="15" customHeight="1" x14ac:dyDescent="0.2">
      <c r="H2169" s="19">
        <v>-5.4665467192390998E-3</v>
      </c>
    </row>
    <row r="2170" spans="8:8" ht="15" customHeight="1" x14ac:dyDescent="0.2">
      <c r="H2170" s="19">
        <v>-1.029532132389E-3</v>
      </c>
    </row>
    <row r="2171" spans="8:8" ht="15" customHeight="1" x14ac:dyDescent="0.2">
      <c r="H2171" s="19">
        <v>-3.41337339579139E-3</v>
      </c>
    </row>
    <row r="2172" spans="8:8" ht="15" customHeight="1" x14ac:dyDescent="0.2">
      <c r="H2172" s="19">
        <v>1.25803169928492E-2</v>
      </c>
    </row>
    <row r="2173" spans="8:8" ht="15" customHeight="1" x14ac:dyDescent="0.2">
      <c r="H2173" s="19">
        <v>-6.8893542483507804E-3</v>
      </c>
    </row>
    <row r="2174" spans="8:8" ht="15" customHeight="1" x14ac:dyDescent="0.2">
      <c r="H2174" s="19">
        <v>-1.9253084069059598E-2</v>
      </c>
    </row>
    <row r="2175" spans="8:8" ht="15" customHeight="1" x14ac:dyDescent="0.2">
      <c r="H2175" s="19">
        <v>-3.8414889801428498E-3</v>
      </c>
    </row>
    <row r="2176" spans="8:8" ht="15" customHeight="1" x14ac:dyDescent="0.2">
      <c r="H2176" s="19">
        <v>-1.8433299703918798E-2</v>
      </c>
    </row>
    <row r="2177" spans="8:8" ht="15" customHeight="1" x14ac:dyDescent="0.2">
      <c r="H2177" s="19">
        <v>-1.14344658990066E-2</v>
      </c>
    </row>
    <row r="2178" spans="8:8" ht="15" customHeight="1" x14ac:dyDescent="0.2">
      <c r="H2178" s="19">
        <v>-1.7366563686000699E-2</v>
      </c>
    </row>
    <row r="2179" spans="8:8" ht="15" customHeight="1" x14ac:dyDescent="0.2">
      <c r="H2179" s="19">
        <v>-1.07226051244452E-2</v>
      </c>
    </row>
    <row r="2180" spans="8:8" ht="15" customHeight="1" x14ac:dyDescent="0.2">
      <c r="H2180" s="19">
        <v>1.13008142718494E-2</v>
      </c>
    </row>
    <row r="2181" spans="8:8" ht="15" customHeight="1" x14ac:dyDescent="0.2">
      <c r="H2181" s="19">
        <v>-6.61405654138527E-3</v>
      </c>
    </row>
    <row r="2182" spans="8:8" ht="15" customHeight="1" x14ac:dyDescent="0.2">
      <c r="H2182" s="19">
        <v>2.77920139945677E-3</v>
      </c>
    </row>
    <row r="2183" spans="8:8" ht="15" customHeight="1" x14ac:dyDescent="0.2">
      <c r="H2183" s="19">
        <v>2.4536636084421399E-5</v>
      </c>
    </row>
    <row r="2184" spans="8:8" ht="15" customHeight="1" x14ac:dyDescent="0.2">
      <c r="H2184" s="19">
        <v>-2.4465064468599902E-3</v>
      </c>
    </row>
    <row r="2185" spans="8:8" ht="15" customHeight="1" x14ac:dyDescent="0.2">
      <c r="H2185" s="19">
        <v>3.36608606237568E-3</v>
      </c>
    </row>
    <row r="2186" spans="8:8" ht="15" customHeight="1" x14ac:dyDescent="0.2">
      <c r="H2186" s="19">
        <v>-2.76007417722596E-3</v>
      </c>
    </row>
    <row r="2187" spans="8:8" ht="15" customHeight="1" x14ac:dyDescent="0.2">
      <c r="H2187" s="19">
        <v>4.1435709176419703E-3</v>
      </c>
    </row>
    <row r="2188" spans="8:8" ht="15" customHeight="1" x14ac:dyDescent="0.2">
      <c r="H2188" s="19">
        <v>-1.7025751628297999E-2</v>
      </c>
    </row>
    <row r="2189" spans="8:8" ht="15" customHeight="1" x14ac:dyDescent="0.2">
      <c r="H2189" s="19">
        <v>1.8796222434650501E-2</v>
      </c>
    </row>
    <row r="2190" spans="8:8" ht="15" customHeight="1" x14ac:dyDescent="0.2">
      <c r="H2190" s="19">
        <v>-3.3746752301913501E-3</v>
      </c>
    </row>
    <row r="2191" spans="8:8" ht="15" customHeight="1" x14ac:dyDescent="0.2">
      <c r="H2191" s="19">
        <v>4.7838384172208996E-3</v>
      </c>
    </row>
    <row r="2192" spans="8:8" ht="15" customHeight="1" x14ac:dyDescent="0.2">
      <c r="H2192" s="19">
        <v>-4.2641340245517401E-3</v>
      </c>
    </row>
    <row r="2193" spans="8:8" ht="15" customHeight="1" x14ac:dyDescent="0.2">
      <c r="H2193" s="19">
        <v>1.2640401187021099E-3</v>
      </c>
    </row>
    <row r="2194" spans="8:8" ht="15" customHeight="1" x14ac:dyDescent="0.2">
      <c r="H2194" s="19">
        <v>-9.3261267080774397E-4</v>
      </c>
    </row>
    <row r="2195" spans="8:8" ht="15" customHeight="1" x14ac:dyDescent="0.2">
      <c r="H2195" s="19">
        <v>4.5159722326855202E-3</v>
      </c>
    </row>
    <row r="2196" spans="8:8" ht="15" customHeight="1" x14ac:dyDescent="0.2">
      <c r="H2196" s="19">
        <v>-9.3268414144092205E-5</v>
      </c>
    </row>
    <row r="2197" spans="8:8" ht="15" customHeight="1" x14ac:dyDescent="0.2">
      <c r="H2197" s="19">
        <v>3.6288027971715601E-3</v>
      </c>
    </row>
    <row r="2198" spans="8:8" ht="15" customHeight="1" x14ac:dyDescent="0.2">
      <c r="H2198" s="19">
        <v>1.05056597541215E-2</v>
      </c>
    </row>
    <row r="2199" spans="8:8" ht="15" customHeight="1" x14ac:dyDescent="0.2">
      <c r="H2199" s="19">
        <v>-2.3738443884702E-3</v>
      </c>
    </row>
    <row r="2200" spans="8:8" ht="15" customHeight="1" x14ac:dyDescent="0.2">
      <c r="H2200" s="19">
        <v>1.0052552874355099E-3</v>
      </c>
    </row>
    <row r="2201" spans="8:8" ht="15" customHeight="1" x14ac:dyDescent="0.2">
      <c r="H2201" s="19">
        <v>2.4317519043496501E-3</v>
      </c>
    </row>
    <row r="2202" spans="8:8" ht="15" customHeight="1" x14ac:dyDescent="0.2">
      <c r="H2202" s="19">
        <v>1.0525249194513701E-2</v>
      </c>
    </row>
    <row r="2203" spans="8:8" ht="15" customHeight="1" x14ac:dyDescent="0.2">
      <c r="H2203" s="19">
        <v>2.2267089959619102E-3</v>
      </c>
    </row>
    <row r="2204" spans="8:8" ht="15" customHeight="1" x14ac:dyDescent="0.2">
      <c r="H2204" s="19">
        <v>-5.8565624195366199E-3</v>
      </c>
    </row>
    <row r="2205" spans="8:8" ht="15" customHeight="1" x14ac:dyDescent="0.2">
      <c r="H2205" s="19">
        <v>-2.16158772308647E-3</v>
      </c>
    </row>
    <row r="2206" spans="8:8" ht="15" customHeight="1" x14ac:dyDescent="0.2">
      <c r="H2206" s="19">
        <v>2.4422534676867402E-3</v>
      </c>
    </row>
    <row r="2207" spans="8:8" ht="15" customHeight="1" x14ac:dyDescent="0.2">
      <c r="H2207" s="19">
        <v>-6.6418542157336202E-3</v>
      </c>
    </row>
    <row r="2208" spans="8:8" ht="15" customHeight="1" x14ac:dyDescent="0.2">
      <c r="H2208" s="19">
        <v>-3.4613598073374198E-3</v>
      </c>
    </row>
    <row r="2209" spans="8:8" ht="15" customHeight="1" x14ac:dyDescent="0.2">
      <c r="H2209" s="19">
        <v>-1.2851493453300299E-3</v>
      </c>
    </row>
    <row r="2210" spans="8:8" ht="15" customHeight="1" x14ac:dyDescent="0.2">
      <c r="H2210" s="19">
        <v>2.1742685427107999E-3</v>
      </c>
    </row>
    <row r="2211" spans="8:8" ht="15" customHeight="1" x14ac:dyDescent="0.2">
      <c r="H2211" s="19">
        <v>7.5900148783320104E-3</v>
      </c>
    </row>
    <row r="2212" spans="8:8" ht="15" customHeight="1" x14ac:dyDescent="0.2">
      <c r="H2212" s="19">
        <v>5.3768952022545096E-3</v>
      </c>
    </row>
    <row r="2213" spans="8:8" ht="15" customHeight="1" x14ac:dyDescent="0.2">
      <c r="H2213" s="19">
        <v>-1.48789975536462E-3</v>
      </c>
    </row>
    <row r="2214" spans="8:8" ht="15" customHeight="1" x14ac:dyDescent="0.2">
      <c r="H2214" s="19">
        <v>1.6021493410859301E-3</v>
      </c>
    </row>
    <row r="2215" spans="8:8" ht="15" customHeight="1" x14ac:dyDescent="0.2">
      <c r="H2215" s="19">
        <v>2.0575059461052699E-2</v>
      </c>
    </row>
    <row r="2216" spans="8:8" ht="15" customHeight="1" x14ac:dyDescent="0.2">
      <c r="H2216" s="19">
        <v>-8.7729471716071897E-4</v>
      </c>
    </row>
    <row r="2217" spans="8:8" ht="15" customHeight="1" x14ac:dyDescent="0.2">
      <c r="H2217" s="19">
        <v>-2.7463581995799298E-3</v>
      </c>
    </row>
    <row r="2218" spans="8:8" ht="15" customHeight="1" x14ac:dyDescent="0.2">
      <c r="H2218" s="19">
        <v>-7.4006640782419897E-3</v>
      </c>
    </row>
    <row r="2219" spans="8:8" ht="15" customHeight="1" x14ac:dyDescent="0.2">
      <c r="H2219" s="19">
        <v>2.28738044828641E-3</v>
      </c>
    </row>
    <row r="2220" spans="8:8" ht="15" customHeight="1" x14ac:dyDescent="0.2">
      <c r="H2220" s="19">
        <v>1.7129621296253901E-2</v>
      </c>
    </row>
    <row r="2221" spans="8:8" ht="15" customHeight="1" x14ac:dyDescent="0.2">
      <c r="H2221" s="19">
        <v>5.1572836421494598E-3</v>
      </c>
    </row>
    <row r="2222" spans="8:8" ht="15" customHeight="1" x14ac:dyDescent="0.2">
      <c r="H2222" s="19">
        <v>2.041415868137E-2</v>
      </c>
    </row>
    <row r="2223" spans="8:8" ht="15" customHeight="1" x14ac:dyDescent="0.2">
      <c r="H2223" s="19">
        <v>-1.7068687751435201E-2</v>
      </c>
    </row>
    <row r="2224" spans="8:8" ht="15" customHeight="1" x14ac:dyDescent="0.2">
      <c r="H2224" s="19">
        <v>2.19661341576387E-3</v>
      </c>
    </row>
    <row r="2225" spans="8:8" ht="15" customHeight="1" x14ac:dyDescent="0.2">
      <c r="H2225" s="19">
        <v>1.3443360961343701E-2</v>
      </c>
    </row>
    <row r="2226" spans="8:8" ht="15" customHeight="1" x14ac:dyDescent="0.2">
      <c r="H2226" s="19">
        <v>-3.9692822323766997E-3</v>
      </c>
    </row>
    <row r="2227" spans="8:8" ht="15" customHeight="1" x14ac:dyDescent="0.2">
      <c r="H2227" s="19">
        <v>2.0408116538785498E-3</v>
      </c>
    </row>
    <row r="2228" spans="8:8" ht="15" customHeight="1" x14ac:dyDescent="0.2">
      <c r="H2228" s="19">
        <v>5.0170469417907598E-3</v>
      </c>
    </row>
    <row r="2229" spans="8:8" ht="15" customHeight="1" x14ac:dyDescent="0.2">
      <c r="H2229" s="19">
        <v>-5.8232908367277098E-3</v>
      </c>
    </row>
    <row r="2230" spans="8:8" ht="15" customHeight="1" x14ac:dyDescent="0.2">
      <c r="H2230" s="19">
        <v>2.2021775357008101E-3</v>
      </c>
    </row>
    <row r="2231" spans="8:8" ht="15" customHeight="1" x14ac:dyDescent="0.2">
      <c r="H2231" s="19">
        <v>-1.28980368675442E-2</v>
      </c>
    </row>
    <row r="2232" spans="8:8" ht="15" customHeight="1" x14ac:dyDescent="0.2">
      <c r="H2232" s="19">
        <v>-1.5147464736442601E-2</v>
      </c>
    </row>
    <row r="2233" spans="8:8" ht="15" customHeight="1" x14ac:dyDescent="0.2">
      <c r="H2233" s="19">
        <v>1.0581360265166401E-2</v>
      </c>
    </row>
    <row r="2234" spans="8:8" ht="15" customHeight="1" x14ac:dyDescent="0.2">
      <c r="H2234" s="19">
        <v>9.9589788379673399E-3</v>
      </c>
    </row>
    <row r="2235" spans="8:8" ht="15" customHeight="1" x14ac:dyDescent="0.2">
      <c r="H2235" s="19">
        <v>1.9707387574491001E-3</v>
      </c>
    </row>
    <row r="2236" spans="8:8" ht="15" customHeight="1" x14ac:dyDescent="0.2">
      <c r="H2236" s="19">
        <v>4.0121242245652203E-3</v>
      </c>
    </row>
    <row r="2237" spans="8:8" ht="15" customHeight="1" x14ac:dyDescent="0.2">
      <c r="H2237" s="19">
        <v>-1.6727001398995502E-2</v>
      </c>
    </row>
    <row r="2238" spans="8:8" ht="15" customHeight="1" x14ac:dyDescent="0.2">
      <c r="H2238" s="19">
        <v>1.0289653325494001E-2</v>
      </c>
    </row>
    <row r="2239" spans="8:8" ht="15" customHeight="1" x14ac:dyDescent="0.2">
      <c r="H2239" s="19">
        <v>-4.5408174096747298E-3</v>
      </c>
    </row>
    <row r="2240" spans="8:8" ht="15" customHeight="1" x14ac:dyDescent="0.2">
      <c r="H2240" s="19">
        <v>1.1122852992192799E-2</v>
      </c>
    </row>
    <row r="2241" spans="8:8" ht="15" customHeight="1" x14ac:dyDescent="0.2">
      <c r="H2241" s="19">
        <v>1.1174379294626099E-2</v>
      </c>
    </row>
    <row r="2242" spans="8:8" ht="15" customHeight="1" x14ac:dyDescent="0.2">
      <c r="H2242" s="19">
        <v>-3.7955305309588599E-3</v>
      </c>
    </row>
    <row r="2243" spans="8:8" ht="15" customHeight="1" x14ac:dyDescent="0.2">
      <c r="H2243" s="19">
        <v>-1.70815014380896E-3</v>
      </c>
    </row>
    <row r="2244" spans="8:8" ht="15" customHeight="1" x14ac:dyDescent="0.2">
      <c r="H2244" s="19">
        <v>-7.0892291496311103E-3</v>
      </c>
    </row>
    <row r="2245" spans="8:8" ht="15" customHeight="1" x14ac:dyDescent="0.2">
      <c r="H2245" s="19">
        <v>2.4836101526742498E-3</v>
      </c>
    </row>
    <row r="2246" spans="8:8" ht="15" customHeight="1" x14ac:dyDescent="0.2">
      <c r="H2246" s="19">
        <v>-2.9114439849217901E-3</v>
      </c>
    </row>
    <row r="2247" spans="8:8" ht="15" customHeight="1" x14ac:dyDescent="0.2">
      <c r="H2247" s="19">
        <v>5.4724622229443604E-4</v>
      </c>
    </row>
    <row r="2248" spans="8:8" ht="15" customHeight="1" x14ac:dyDescent="0.2">
      <c r="H2248" s="19">
        <v>-8.5288523121996402E-4</v>
      </c>
    </row>
    <row r="2249" spans="8:8" ht="15" customHeight="1" x14ac:dyDescent="0.2">
      <c r="H2249" s="19">
        <v>-1.3880714901049499E-2</v>
      </c>
    </row>
    <row r="2250" spans="8:8" ht="15" customHeight="1" x14ac:dyDescent="0.2">
      <c r="H2250" s="19">
        <v>6.1902140972126402E-3</v>
      </c>
    </row>
    <row r="2251" spans="8:8" ht="15" customHeight="1" x14ac:dyDescent="0.2">
      <c r="H2251" s="19">
        <v>-1.3172635126846801E-2</v>
      </c>
    </row>
    <row r="2252" spans="8:8" ht="15" customHeight="1" x14ac:dyDescent="0.2">
      <c r="H2252" s="19">
        <v>-1.02551926418478E-2</v>
      </c>
    </row>
    <row r="2253" spans="8:8" ht="15" customHeight="1" x14ac:dyDescent="0.2">
      <c r="H2253" s="19">
        <v>5.13780547464003E-3</v>
      </c>
    </row>
    <row r="2254" spans="8:8" ht="15" customHeight="1" x14ac:dyDescent="0.2">
      <c r="H2254" s="19">
        <v>-5.7744935711401598E-3</v>
      </c>
    </row>
    <row r="2255" spans="8:8" ht="15" customHeight="1" x14ac:dyDescent="0.2">
      <c r="H2255" s="19">
        <v>2.3517347688986699E-2</v>
      </c>
    </row>
    <row r="2256" spans="8:8" ht="15" customHeight="1" x14ac:dyDescent="0.2">
      <c r="H2256" s="19">
        <v>1.84548076782617E-2</v>
      </c>
    </row>
    <row r="2257" spans="8:8" ht="15" customHeight="1" x14ac:dyDescent="0.2">
      <c r="H2257" s="19">
        <v>-3.7413362367501699E-3</v>
      </c>
    </row>
    <row r="2258" spans="8:8" ht="15" customHeight="1" x14ac:dyDescent="0.2">
      <c r="H2258" s="19">
        <v>-7.9711023583676902E-4</v>
      </c>
    </row>
    <row r="2259" spans="8:8" ht="15" customHeight="1" x14ac:dyDescent="0.2">
      <c r="H2259" s="19">
        <v>-7.5656961040226499E-4</v>
      </c>
    </row>
    <row r="2260" spans="8:8" ht="15" customHeight="1" x14ac:dyDescent="0.2">
      <c r="H2260" s="19">
        <v>-1.17427299541589E-3</v>
      </c>
    </row>
    <row r="2261" spans="8:8" ht="15" customHeight="1" x14ac:dyDescent="0.2">
      <c r="H2261" s="19">
        <v>-3.6658861154238599E-3</v>
      </c>
    </row>
    <row r="2262" spans="8:8" ht="15" customHeight="1" x14ac:dyDescent="0.2">
      <c r="H2262" s="19">
        <v>-3.2067037733156602E-3</v>
      </c>
    </row>
    <row r="2263" spans="8:8" ht="15" customHeight="1" x14ac:dyDescent="0.2">
      <c r="H2263" s="19">
        <v>5.5357984652322501E-3</v>
      </c>
    </row>
    <row r="2264" spans="8:8" ht="15" customHeight="1" x14ac:dyDescent="0.2">
      <c r="H2264" s="19">
        <v>-5.6145812656604001E-4</v>
      </c>
    </row>
    <row r="2265" spans="8:8" ht="15" customHeight="1" x14ac:dyDescent="0.2">
      <c r="H2265" s="19">
        <v>3.3170404886443202E-3</v>
      </c>
    </row>
    <row r="2266" spans="8:8" ht="15" customHeight="1" x14ac:dyDescent="0.2">
      <c r="H2266" s="19">
        <v>4.2325315312014503E-3</v>
      </c>
    </row>
    <row r="2267" spans="8:8" ht="15" customHeight="1" x14ac:dyDescent="0.2">
      <c r="H2267" s="19">
        <v>7.1622097951814297E-4</v>
      </c>
    </row>
    <row r="2268" spans="8:8" ht="15" customHeight="1" x14ac:dyDescent="0.2">
      <c r="H2268" s="19">
        <v>-1.88772169265164E-3</v>
      </c>
    </row>
    <row r="2269" spans="8:8" ht="15" customHeight="1" x14ac:dyDescent="0.2">
      <c r="H2269" s="19">
        <v>-1.6133691770389601E-2</v>
      </c>
    </row>
    <row r="2270" spans="8:8" ht="15" customHeight="1" x14ac:dyDescent="0.2">
      <c r="H2270" s="19">
        <v>1.05370797719345E-2</v>
      </c>
    </row>
    <row r="2271" spans="8:8" ht="15" customHeight="1" x14ac:dyDescent="0.2">
      <c r="H2271" s="19">
        <v>6.7225130654793601E-3</v>
      </c>
    </row>
    <row r="2272" spans="8:8" ht="15" customHeight="1" x14ac:dyDescent="0.2">
      <c r="H2272" s="19">
        <v>-2.0016711918163601E-3</v>
      </c>
    </row>
    <row r="2273" spans="8:8" ht="15" customHeight="1" x14ac:dyDescent="0.2">
      <c r="H2273" s="19">
        <v>-1.26204684605093E-2</v>
      </c>
    </row>
    <row r="2274" spans="8:8" ht="15" customHeight="1" x14ac:dyDescent="0.2">
      <c r="H2274" s="19">
        <v>2.2863709771101101E-3</v>
      </c>
    </row>
    <row r="2275" spans="8:8" ht="15" customHeight="1" x14ac:dyDescent="0.2">
      <c r="H2275" s="19">
        <v>7.2214092129345301E-3</v>
      </c>
    </row>
    <row r="2276" spans="8:8" ht="15" customHeight="1" x14ac:dyDescent="0.2">
      <c r="H2276" s="19">
        <v>1.48483162929961E-2</v>
      </c>
    </row>
    <row r="2277" spans="8:8" ht="15" customHeight="1" x14ac:dyDescent="0.2">
      <c r="H2277" s="19">
        <v>1.08065716699233E-3</v>
      </c>
    </row>
    <row r="2278" spans="8:8" ht="15" customHeight="1" x14ac:dyDescent="0.2">
      <c r="H2278" s="19">
        <v>9.9669095684675104E-3</v>
      </c>
    </row>
    <row r="2279" spans="8:8" ht="15" customHeight="1" x14ac:dyDescent="0.2">
      <c r="H2279" s="19">
        <v>-1.6310119350683099E-2</v>
      </c>
    </row>
    <row r="2280" spans="8:8" ht="15" customHeight="1" x14ac:dyDescent="0.2">
      <c r="H2280" s="19">
        <v>-8.3702469974470603E-3</v>
      </c>
    </row>
    <row r="2281" spans="8:8" ht="15" customHeight="1" x14ac:dyDescent="0.2">
      <c r="H2281" s="19">
        <v>-1.5700740676934302E-2</v>
      </c>
    </row>
    <row r="2282" spans="8:8" ht="15" customHeight="1" x14ac:dyDescent="0.2">
      <c r="H2282" s="19">
        <v>2.3597268852188501E-2</v>
      </c>
    </row>
    <row r="2283" spans="8:8" ht="15" customHeight="1" x14ac:dyDescent="0.2">
      <c r="H2283" s="19">
        <v>-6.1108356661512602E-3</v>
      </c>
    </row>
    <row r="2284" spans="8:8" ht="15" customHeight="1" x14ac:dyDescent="0.2">
      <c r="H2284" s="19">
        <v>-7.5938146604059903E-3</v>
      </c>
    </row>
    <row r="2285" spans="8:8" ht="15" customHeight="1" x14ac:dyDescent="0.2">
      <c r="H2285" s="19">
        <v>-1.1853689392540699E-3</v>
      </c>
    </row>
    <row r="2286" spans="8:8" ht="15" customHeight="1" x14ac:dyDescent="0.2">
      <c r="H2286" s="19">
        <v>6.8847039947269304E-4</v>
      </c>
    </row>
    <row r="2287" spans="8:8" ht="15" customHeight="1" x14ac:dyDescent="0.2">
      <c r="H2287" s="19">
        <v>5.5221842570582198E-4</v>
      </c>
    </row>
    <row r="2288" spans="8:8" ht="15" customHeight="1" x14ac:dyDescent="0.2">
      <c r="H2288" s="19">
        <v>8.5134999071753703E-3</v>
      </c>
    </row>
    <row r="2289" spans="8:8" ht="15" customHeight="1" x14ac:dyDescent="0.2">
      <c r="H2289" s="19">
        <v>3.7986637403669E-3</v>
      </c>
    </row>
    <row r="2290" spans="8:8" ht="15" customHeight="1" x14ac:dyDescent="0.2">
      <c r="H2290" s="19">
        <v>-1.00087654693126E-2</v>
      </c>
    </row>
    <row r="2291" spans="8:8" ht="15" customHeight="1" x14ac:dyDescent="0.2">
      <c r="H2291" s="19">
        <v>-4.6571340125300901E-3</v>
      </c>
    </row>
    <row r="2292" spans="8:8" ht="15" customHeight="1" x14ac:dyDescent="0.2">
      <c r="H2292" s="19">
        <v>5.51005563922687E-3</v>
      </c>
    </row>
    <row r="2293" spans="8:8" ht="15" customHeight="1" x14ac:dyDescent="0.2">
      <c r="H2293" s="19">
        <v>-7.2879766900295602E-3</v>
      </c>
    </row>
    <row r="2294" spans="8:8" ht="15" customHeight="1" x14ac:dyDescent="0.2">
      <c r="H2294" s="19">
        <v>-1.81060341565673E-3</v>
      </c>
    </row>
    <row r="2295" spans="8:8" ht="15" customHeight="1" x14ac:dyDescent="0.2">
      <c r="H2295" s="19">
        <v>-3.8794875773214602E-3</v>
      </c>
    </row>
    <row r="2296" spans="8:8" ht="15" customHeight="1" x14ac:dyDescent="0.2">
      <c r="H2296" s="19">
        <v>-9.1987553028656695E-3</v>
      </c>
    </row>
    <row r="2297" spans="8:8" ht="15" customHeight="1" x14ac:dyDescent="0.2">
      <c r="H2297" s="19">
        <v>2.5907370135064998E-3</v>
      </c>
    </row>
    <row r="2298" spans="8:8" ht="15" customHeight="1" x14ac:dyDescent="0.2">
      <c r="H2298" s="19">
        <v>3.95913727978637E-3</v>
      </c>
    </row>
    <row r="2299" spans="8:8" ht="15" customHeight="1" x14ac:dyDescent="0.2">
      <c r="H2299" s="19">
        <v>-2.1506730446127901E-3</v>
      </c>
    </row>
    <row r="2300" spans="8:8" ht="15" customHeight="1" x14ac:dyDescent="0.2">
      <c r="H2300" s="19">
        <v>-5.65516688478026E-3</v>
      </c>
    </row>
    <row r="2301" spans="8:8" ht="15" customHeight="1" x14ac:dyDescent="0.2">
      <c r="H2301" s="19">
        <v>-1.4968081359397801E-2</v>
      </c>
    </row>
    <row r="2302" spans="8:8" ht="15" customHeight="1" x14ac:dyDescent="0.2">
      <c r="H2302" s="19">
        <v>-1.35619198228828E-2</v>
      </c>
    </row>
    <row r="2303" spans="8:8" ht="15" customHeight="1" x14ac:dyDescent="0.2">
      <c r="H2303" s="19">
        <v>1.3296458519573799E-2</v>
      </c>
    </row>
    <row r="2304" spans="8:8" ht="15" customHeight="1" x14ac:dyDescent="0.2">
      <c r="H2304" s="19">
        <v>-2.83554517142797E-3</v>
      </c>
    </row>
    <row r="2305" spans="8:8" ht="15" customHeight="1" x14ac:dyDescent="0.2">
      <c r="H2305" s="19">
        <v>-1.1080064284205901E-2</v>
      </c>
    </row>
    <row r="2306" spans="8:8" ht="15" customHeight="1" x14ac:dyDescent="0.2">
      <c r="H2306" s="19">
        <v>-1.06869463788106E-2</v>
      </c>
    </row>
    <row r="2307" spans="8:8" ht="15" customHeight="1" x14ac:dyDescent="0.2">
      <c r="H2307" s="19">
        <v>-3.1313062124877899E-3</v>
      </c>
    </row>
    <row r="2308" spans="8:8" ht="15" customHeight="1" x14ac:dyDescent="0.2">
      <c r="H2308" s="19">
        <v>1.42472778914631E-2</v>
      </c>
    </row>
    <row r="2309" spans="8:8" ht="15" customHeight="1" x14ac:dyDescent="0.2">
      <c r="H2309" s="19">
        <v>1.7197532449366199E-2</v>
      </c>
    </row>
    <row r="2310" spans="8:8" ht="15" customHeight="1" x14ac:dyDescent="0.2">
      <c r="H2310" s="19">
        <v>-1.3816105312138001E-3</v>
      </c>
    </row>
    <row r="2311" spans="8:8" ht="15" customHeight="1" x14ac:dyDescent="0.2">
      <c r="H2311" s="19">
        <v>-2.6370912950429199E-4</v>
      </c>
    </row>
    <row r="2312" spans="8:8" ht="15" customHeight="1" x14ac:dyDescent="0.2">
      <c r="H2312" s="19">
        <v>-7.0097501825347602E-3</v>
      </c>
    </row>
    <row r="2313" spans="8:8" ht="15" customHeight="1" x14ac:dyDescent="0.2">
      <c r="H2313" s="19">
        <v>4.3645822579496197E-3</v>
      </c>
    </row>
    <row r="2314" spans="8:8" ht="15" customHeight="1" x14ac:dyDescent="0.2">
      <c r="H2314" s="19">
        <v>-6.7076352903333901E-3</v>
      </c>
    </row>
    <row r="2315" spans="8:8" ht="15" customHeight="1" x14ac:dyDescent="0.2">
      <c r="H2315" s="19">
        <v>7.23317908887994E-3</v>
      </c>
    </row>
    <row r="2316" spans="8:8" ht="15" customHeight="1" x14ac:dyDescent="0.2">
      <c r="H2316" s="19">
        <v>8.16702691046663E-3</v>
      </c>
    </row>
    <row r="2317" spans="8:8" ht="15" customHeight="1" x14ac:dyDescent="0.2">
      <c r="H2317" s="19">
        <v>1.41508130208076E-2</v>
      </c>
    </row>
    <row r="2318" spans="8:8" ht="15" customHeight="1" x14ac:dyDescent="0.2">
      <c r="H2318" s="19">
        <v>7.20779942907325E-3</v>
      </c>
    </row>
    <row r="2319" spans="8:8" ht="15" customHeight="1" x14ac:dyDescent="0.2">
      <c r="H2319" s="19">
        <v>-1.6127463943051E-2</v>
      </c>
    </row>
    <row r="2320" spans="8:8" ht="15" customHeight="1" x14ac:dyDescent="0.2">
      <c r="H2320" s="19">
        <v>7.4021751768611798E-3</v>
      </c>
    </row>
    <row r="2321" spans="8:8" ht="15" customHeight="1" x14ac:dyDescent="0.2">
      <c r="H2321" s="19">
        <v>3.8520927547821102E-3</v>
      </c>
    </row>
    <row r="2322" spans="8:8" ht="15" customHeight="1" x14ac:dyDescent="0.2">
      <c r="H2322" s="19">
        <v>-9.4000251085155691E-3</v>
      </c>
    </row>
    <row r="2323" spans="8:8" ht="15" customHeight="1" x14ac:dyDescent="0.2">
      <c r="H2323" s="19">
        <v>4.2301829879422704E-3</v>
      </c>
    </row>
    <row r="2324" spans="8:8" ht="15" customHeight="1" x14ac:dyDescent="0.2">
      <c r="H2324" s="19">
        <v>-1.0290835478902699E-3</v>
      </c>
    </row>
    <row r="2325" spans="8:8" ht="15" customHeight="1" x14ac:dyDescent="0.2">
      <c r="H2325" s="19">
        <v>1.2004047657853E-2</v>
      </c>
    </row>
    <row r="2326" spans="8:8" ht="15" customHeight="1" x14ac:dyDescent="0.2">
      <c r="H2326" s="19">
        <v>8.7418510678813604E-3</v>
      </c>
    </row>
    <row r="2327" spans="8:8" ht="15" customHeight="1" x14ac:dyDescent="0.2">
      <c r="H2327" s="19">
        <v>-6.4952728365050196E-3</v>
      </c>
    </row>
    <row r="2328" spans="8:8" ht="15" customHeight="1" x14ac:dyDescent="0.2">
      <c r="H2328" s="19">
        <v>-1.16104934937169E-2</v>
      </c>
    </row>
    <row r="2329" spans="8:8" ht="15" customHeight="1" x14ac:dyDescent="0.2">
      <c r="H2329" s="19">
        <v>-6.0679657844491999E-3</v>
      </c>
    </row>
    <row r="2330" spans="8:8" ht="15" customHeight="1" x14ac:dyDescent="0.2">
      <c r="H2330" s="19">
        <v>-9.7596889491583308E-3</v>
      </c>
    </row>
    <row r="2331" spans="8:8" ht="15" customHeight="1" x14ac:dyDescent="0.2">
      <c r="H2331" s="19">
        <v>5.5196177023994096E-3</v>
      </c>
    </row>
    <row r="2332" spans="8:8" ht="15" customHeight="1" x14ac:dyDescent="0.2">
      <c r="H2332" s="19">
        <v>4.9832570169891502E-3</v>
      </c>
    </row>
    <row r="2333" spans="8:8" ht="15" customHeight="1" x14ac:dyDescent="0.2">
      <c r="H2333" s="19">
        <v>1.42299041719761E-2</v>
      </c>
    </row>
    <row r="2334" spans="8:8" ht="15" customHeight="1" x14ac:dyDescent="0.2">
      <c r="H2334" s="19">
        <v>-4.4345721362796598E-3</v>
      </c>
    </row>
    <row r="2335" spans="8:8" ht="15" customHeight="1" x14ac:dyDescent="0.2">
      <c r="H2335" s="19">
        <v>3.2862751302674001E-3</v>
      </c>
    </row>
    <row r="2336" spans="8:8" ht="15" customHeight="1" x14ac:dyDescent="0.2">
      <c r="H2336" s="19">
        <v>-1.20153020238137E-2</v>
      </c>
    </row>
    <row r="2337" spans="8:8" ht="15" customHeight="1" x14ac:dyDescent="0.2">
      <c r="H2337" s="19">
        <v>7.8743716946079092E-3</v>
      </c>
    </row>
    <row r="2338" spans="8:8" ht="15" customHeight="1" x14ac:dyDescent="0.2">
      <c r="H2338" s="19">
        <v>5.1962158070294998E-4</v>
      </c>
    </row>
    <row r="2339" spans="8:8" ht="15" customHeight="1" x14ac:dyDescent="0.2">
      <c r="H2339" s="19">
        <v>-4.5616252757051598E-3</v>
      </c>
    </row>
    <row r="2340" spans="8:8" ht="15" customHeight="1" x14ac:dyDescent="0.2">
      <c r="H2340" s="19">
        <v>1.1660968109310201E-2</v>
      </c>
    </row>
    <row r="2341" spans="8:8" ht="15" customHeight="1" x14ac:dyDescent="0.2">
      <c r="H2341" s="19">
        <v>-6.9308912408179999E-3</v>
      </c>
    </row>
    <row r="2342" spans="8:8" ht="15" customHeight="1" x14ac:dyDescent="0.2">
      <c r="H2342" s="19">
        <v>-1.5993495754182099E-2</v>
      </c>
    </row>
    <row r="2343" spans="8:8" ht="15" customHeight="1" x14ac:dyDescent="0.2">
      <c r="H2343" s="19">
        <v>-5.6367318593849901E-3</v>
      </c>
    </row>
    <row r="2344" spans="8:8" ht="15" customHeight="1" x14ac:dyDescent="0.2">
      <c r="H2344" s="19">
        <v>-8.0771804445265109E-3</v>
      </c>
    </row>
    <row r="2345" spans="8:8" ht="15" customHeight="1" x14ac:dyDescent="0.2">
      <c r="H2345" s="19">
        <v>5.6282265986595404E-3</v>
      </c>
    </row>
    <row r="2346" spans="8:8" ht="15" customHeight="1" x14ac:dyDescent="0.2">
      <c r="H2346" s="19">
        <v>1.7330969897825999E-2</v>
      </c>
    </row>
    <row r="2347" spans="8:8" ht="15" customHeight="1" x14ac:dyDescent="0.2">
      <c r="H2347" s="19">
        <v>3.8184441506576702E-3</v>
      </c>
    </row>
    <row r="2348" spans="8:8" ht="15" customHeight="1" x14ac:dyDescent="0.2">
      <c r="H2348" s="19">
        <v>7.7086757841337899E-3</v>
      </c>
    </row>
    <row r="2349" spans="8:8" ht="15" customHeight="1" x14ac:dyDescent="0.2">
      <c r="H2349" s="19">
        <v>-1.0342238631294499E-2</v>
      </c>
    </row>
    <row r="2350" spans="8:8" ht="15" customHeight="1" x14ac:dyDescent="0.2">
      <c r="H2350" s="19">
        <v>2.67248562207794E-3</v>
      </c>
    </row>
    <row r="2351" spans="8:8" ht="15" customHeight="1" x14ac:dyDescent="0.2">
      <c r="H2351" s="19">
        <v>-3.6360397489571101E-3</v>
      </c>
    </row>
    <row r="2352" spans="8:8" ht="15" customHeight="1" x14ac:dyDescent="0.2">
      <c r="H2352" s="19">
        <v>-3.8613686191975301E-3</v>
      </c>
    </row>
    <row r="2353" spans="8:8" ht="15" customHeight="1" x14ac:dyDescent="0.2">
      <c r="H2353" s="19">
        <v>-8.5433095833052398E-3</v>
      </c>
    </row>
    <row r="2354" spans="8:8" ht="15" customHeight="1" x14ac:dyDescent="0.2">
      <c r="H2354" s="19">
        <v>7.0115674612434501E-4</v>
      </c>
    </row>
    <row r="2355" spans="8:8" ht="15" customHeight="1" x14ac:dyDescent="0.2">
      <c r="H2355" s="19">
        <v>-2.94362810097047E-3</v>
      </c>
    </row>
    <row r="2356" spans="8:8" ht="15" customHeight="1" x14ac:dyDescent="0.2">
      <c r="H2356" s="19">
        <v>-1.6754257346788402E-2</v>
      </c>
    </row>
    <row r="2357" spans="8:8" ht="15" customHeight="1" x14ac:dyDescent="0.2">
      <c r="H2357" s="19">
        <v>-3.1179209132558799E-3</v>
      </c>
    </row>
    <row r="2358" spans="8:8" ht="15" customHeight="1" x14ac:dyDescent="0.2">
      <c r="H2358" s="19">
        <v>-6.96204846916348E-3</v>
      </c>
    </row>
    <row r="2359" spans="8:8" ht="15" customHeight="1" x14ac:dyDescent="0.2">
      <c r="H2359" s="19">
        <v>1.3156941094904E-2</v>
      </c>
    </row>
    <row r="2360" spans="8:8" ht="15" customHeight="1" x14ac:dyDescent="0.2">
      <c r="H2360" s="19">
        <v>2.6827022123668701E-3</v>
      </c>
    </row>
    <row r="2361" spans="8:8" ht="15" customHeight="1" x14ac:dyDescent="0.2">
      <c r="H2361" s="19">
        <v>-1.1300487674655801E-3</v>
      </c>
    </row>
    <row r="2362" spans="8:8" ht="15" customHeight="1" x14ac:dyDescent="0.2">
      <c r="H2362" s="19">
        <v>1.8395113297323001E-2</v>
      </c>
    </row>
    <row r="2363" spans="8:8" ht="15" customHeight="1" x14ac:dyDescent="0.2">
      <c r="H2363" s="19">
        <v>-8.2892561834130001E-3</v>
      </c>
    </row>
    <row r="2364" spans="8:8" ht="15" customHeight="1" x14ac:dyDescent="0.2">
      <c r="H2364" s="19">
        <v>2.63139183584459E-3</v>
      </c>
    </row>
    <row r="2365" spans="8:8" ht="15" customHeight="1" x14ac:dyDescent="0.2">
      <c r="H2365" s="19">
        <v>4.82061876928222E-3</v>
      </c>
    </row>
    <row r="2366" spans="8:8" ht="15" customHeight="1" x14ac:dyDescent="0.2">
      <c r="H2366" s="19">
        <v>-7.9571548780832599E-3</v>
      </c>
    </row>
    <row r="2367" spans="8:8" ht="15" customHeight="1" x14ac:dyDescent="0.2">
      <c r="H2367" s="19">
        <v>-2.7947091814501199E-3</v>
      </c>
    </row>
    <row r="2368" spans="8:8" ht="15" customHeight="1" x14ac:dyDescent="0.2">
      <c r="H2368" s="19">
        <v>-3.5754394931537602E-3</v>
      </c>
    </row>
    <row r="2369" spans="8:8" ht="15" customHeight="1" x14ac:dyDescent="0.2">
      <c r="H2369" s="19">
        <v>7.2400570865283898E-3</v>
      </c>
    </row>
    <row r="2370" spans="8:8" ht="15" customHeight="1" x14ac:dyDescent="0.2">
      <c r="H2370" s="19">
        <v>2.0980703274985801E-2</v>
      </c>
    </row>
    <row r="2371" spans="8:8" ht="15" customHeight="1" x14ac:dyDescent="0.2">
      <c r="H2371" s="19">
        <v>-5.4955237764034498E-3</v>
      </c>
    </row>
    <row r="2372" spans="8:8" ht="15" customHeight="1" x14ac:dyDescent="0.2">
      <c r="H2372" s="19">
        <v>-2.54233904334163E-3</v>
      </c>
    </row>
    <row r="2373" spans="8:8" ht="15" customHeight="1" x14ac:dyDescent="0.2">
      <c r="H2373" s="19">
        <v>1.19488934584589E-2</v>
      </c>
    </row>
    <row r="2374" spans="8:8" ht="15" customHeight="1" x14ac:dyDescent="0.2">
      <c r="H2374" s="19">
        <v>4.1329138991365701E-3</v>
      </c>
    </row>
    <row r="2375" spans="8:8" ht="15" customHeight="1" x14ac:dyDescent="0.2">
      <c r="H2375" s="19">
        <v>4.0662703837786602E-3</v>
      </c>
    </row>
    <row r="2376" spans="8:8" ht="15" customHeight="1" x14ac:dyDescent="0.2">
      <c r="H2376" s="19">
        <v>-1.22864451342254E-2</v>
      </c>
    </row>
    <row r="2377" spans="8:8" ht="15" customHeight="1" x14ac:dyDescent="0.2">
      <c r="H2377" s="19">
        <v>-5.9136654591998203E-4</v>
      </c>
    </row>
    <row r="2378" spans="8:8" ht="15" customHeight="1" x14ac:dyDescent="0.2">
      <c r="H2378" s="19">
        <v>-1.8682719854624E-2</v>
      </c>
    </row>
    <row r="2379" spans="8:8" ht="15" customHeight="1" x14ac:dyDescent="0.2">
      <c r="H2379" s="19">
        <v>4.2086423725253303E-3</v>
      </c>
    </row>
    <row r="2380" spans="8:8" ht="15" customHeight="1" x14ac:dyDescent="0.2">
      <c r="H2380" s="19">
        <v>-8.7082797950202104E-3</v>
      </c>
    </row>
    <row r="2381" spans="8:8" ht="15" customHeight="1" x14ac:dyDescent="0.2">
      <c r="H2381" s="19">
        <v>-1.9451687026230301E-2</v>
      </c>
    </row>
    <row r="2382" spans="8:8" ht="15" customHeight="1" x14ac:dyDescent="0.2">
      <c r="H2382" s="19">
        <v>-1.3865628250489001E-2</v>
      </c>
    </row>
    <row r="2383" spans="8:8" ht="15" customHeight="1" x14ac:dyDescent="0.2">
      <c r="H2383" s="19">
        <v>1.2243734018137E-2</v>
      </c>
    </row>
    <row r="2384" spans="8:8" ht="15" customHeight="1" x14ac:dyDescent="0.2">
      <c r="H2384" s="19">
        <v>-1.1330314487675601E-3</v>
      </c>
    </row>
    <row r="2385" spans="8:8" ht="15" customHeight="1" x14ac:dyDescent="0.2">
      <c r="H2385" s="19">
        <v>1.51790894572693E-2</v>
      </c>
    </row>
    <row r="2386" spans="8:8" ht="15" customHeight="1" x14ac:dyDescent="0.2">
      <c r="H2386" s="19">
        <v>6.66527383384986E-3</v>
      </c>
    </row>
    <row r="2387" spans="8:8" ht="15" customHeight="1" x14ac:dyDescent="0.2">
      <c r="H2387" s="19">
        <v>-2.1632330254759799E-3</v>
      </c>
    </row>
    <row r="2388" spans="8:8" ht="15" customHeight="1" x14ac:dyDescent="0.2">
      <c r="H2388" s="19">
        <v>-1.2725506754072E-2</v>
      </c>
    </row>
    <row r="2389" spans="8:8" ht="15" customHeight="1" x14ac:dyDescent="0.2">
      <c r="H2389" s="19">
        <v>1.07933942128896E-2</v>
      </c>
    </row>
    <row r="2390" spans="8:8" ht="15" customHeight="1" x14ac:dyDescent="0.2">
      <c r="H2390" s="19">
        <v>-3.0914615199707199E-3</v>
      </c>
    </row>
    <row r="2391" spans="8:8" ht="15" customHeight="1" x14ac:dyDescent="0.2">
      <c r="H2391" s="19">
        <v>1.29350471485689E-2</v>
      </c>
    </row>
    <row r="2392" spans="8:8" ht="15" customHeight="1" x14ac:dyDescent="0.2">
      <c r="H2392" s="19">
        <v>5.2468768259825403E-3</v>
      </c>
    </row>
    <row r="2393" spans="8:8" ht="15" customHeight="1" x14ac:dyDescent="0.2">
      <c r="H2393" s="19">
        <v>-3.0421158070569301E-3</v>
      </c>
    </row>
    <row r="2394" spans="8:8" ht="15" customHeight="1" x14ac:dyDescent="0.2">
      <c r="H2394" s="19">
        <v>-1.8572147633164199E-2</v>
      </c>
    </row>
    <row r="2395" spans="8:8" ht="15" customHeight="1" x14ac:dyDescent="0.2">
      <c r="H2395" s="19">
        <v>1.0760506415466199E-2</v>
      </c>
    </row>
    <row r="2396" spans="8:8" ht="15" customHeight="1" x14ac:dyDescent="0.2">
      <c r="H2396" s="19">
        <v>1.46469162730903E-2</v>
      </c>
    </row>
    <row r="2397" spans="8:8" ht="15" customHeight="1" x14ac:dyDescent="0.2">
      <c r="H2397" s="19">
        <v>-8.3987284974618402E-3</v>
      </c>
    </row>
    <row r="2398" spans="8:8" ht="15" customHeight="1" x14ac:dyDescent="0.2">
      <c r="H2398" s="19">
        <v>-6.7590725899599399E-3</v>
      </c>
    </row>
    <row r="2399" spans="8:8" ht="15" customHeight="1" x14ac:dyDescent="0.2">
      <c r="H2399" s="19">
        <v>1.6915597509849601E-2</v>
      </c>
    </row>
    <row r="2400" spans="8:8" ht="15" customHeight="1" x14ac:dyDescent="0.2">
      <c r="H2400" s="19">
        <v>-1.40719243755601E-2</v>
      </c>
    </row>
    <row r="2401" spans="8:8" ht="15" customHeight="1" x14ac:dyDescent="0.2">
      <c r="H2401" s="19">
        <v>9.0078169392632194E-3</v>
      </c>
    </row>
    <row r="2402" spans="8:8" ht="15" customHeight="1" x14ac:dyDescent="0.2">
      <c r="H2402" s="19">
        <v>1.7729669045258099E-2</v>
      </c>
    </row>
    <row r="2403" spans="8:8" ht="15" customHeight="1" x14ac:dyDescent="0.2">
      <c r="H2403" s="19">
        <v>-8.2894607684896107E-3</v>
      </c>
    </row>
    <row r="2404" spans="8:8" ht="15" customHeight="1" x14ac:dyDescent="0.2">
      <c r="H2404" s="19">
        <v>1.2727786236985001E-2</v>
      </c>
    </row>
    <row r="2405" spans="8:8" ht="15" customHeight="1" x14ac:dyDescent="0.2">
      <c r="H2405" s="19">
        <v>1.0045638972186501E-2</v>
      </c>
    </row>
    <row r="2406" spans="8:8" ht="15" customHeight="1" x14ac:dyDescent="0.2">
      <c r="H2406" s="19">
        <v>-7.4320996174681297E-3</v>
      </c>
    </row>
    <row r="2407" spans="8:8" ht="15" customHeight="1" x14ac:dyDescent="0.2">
      <c r="H2407" s="19">
        <v>-1.5763616072062699E-3</v>
      </c>
    </row>
    <row r="2408" spans="8:8" ht="15" customHeight="1" x14ac:dyDescent="0.2">
      <c r="H2408" s="19">
        <v>1.4143352691295401E-2</v>
      </c>
    </row>
    <row r="2409" spans="8:8" ht="15" customHeight="1" x14ac:dyDescent="0.2">
      <c r="H2409" s="19">
        <v>1.9078749994116599E-3</v>
      </c>
    </row>
    <row r="2410" spans="8:8" ht="15" customHeight="1" x14ac:dyDescent="0.2">
      <c r="H2410" s="19">
        <v>4.4644738712840996E-3</v>
      </c>
    </row>
    <row r="2411" spans="8:8" ht="15" customHeight="1" x14ac:dyDescent="0.2">
      <c r="H2411" s="19">
        <v>-1.7860475379879101E-3</v>
      </c>
    </row>
    <row r="2412" spans="8:8" ht="15" customHeight="1" x14ac:dyDescent="0.2">
      <c r="H2412" s="19">
        <v>1.52576826671324E-2</v>
      </c>
    </row>
    <row r="2413" spans="8:8" ht="15" customHeight="1" x14ac:dyDescent="0.2">
      <c r="H2413" s="19">
        <v>2.71370298431494E-3</v>
      </c>
    </row>
    <row r="2414" spans="8:8" ht="15" customHeight="1" x14ac:dyDescent="0.2">
      <c r="H2414" s="19">
        <v>-3.76276461497544E-3</v>
      </c>
    </row>
    <row r="2415" spans="8:8" ht="15" customHeight="1" x14ac:dyDescent="0.2">
      <c r="H2415" s="19">
        <v>-4.7833791605433997E-3</v>
      </c>
    </row>
    <row r="2416" spans="8:8" ht="15" customHeight="1" x14ac:dyDescent="0.2">
      <c r="H2416" s="19">
        <v>-2.0637619210044501E-3</v>
      </c>
    </row>
    <row r="2417" spans="8:8" ht="15" customHeight="1" x14ac:dyDescent="0.2">
      <c r="H2417" s="19">
        <v>7.1782789407958097E-4</v>
      </c>
    </row>
    <row r="2418" spans="8:8" ht="15" customHeight="1" x14ac:dyDescent="0.2">
      <c r="H2418" s="19">
        <v>3.0278631673002401E-3</v>
      </c>
    </row>
    <row r="2419" spans="8:8" ht="15" customHeight="1" x14ac:dyDescent="0.2">
      <c r="H2419" s="19">
        <v>8.4460264328643092E-3</v>
      </c>
    </row>
    <row r="2420" spans="8:8" ht="15" customHeight="1" x14ac:dyDescent="0.2">
      <c r="H2420" s="19">
        <v>1.3700049356935201E-2</v>
      </c>
    </row>
    <row r="2421" spans="8:8" ht="15" customHeight="1" x14ac:dyDescent="0.2">
      <c r="H2421" s="19">
        <v>6.1044826033582501E-3</v>
      </c>
    </row>
    <row r="2422" spans="8:8" ht="15" customHeight="1" x14ac:dyDescent="0.2">
      <c r="H2422" s="19">
        <v>6.2287157871030998E-3</v>
      </c>
    </row>
    <row r="2423" spans="8:8" ht="15" customHeight="1" x14ac:dyDescent="0.2">
      <c r="H2423" s="19">
        <v>6.6957522501821303E-3</v>
      </c>
    </row>
    <row r="2424" spans="8:8" ht="15" customHeight="1" x14ac:dyDescent="0.2">
      <c r="H2424" s="19">
        <v>-5.7447259546678398E-4</v>
      </c>
    </row>
    <row r="2425" spans="8:8" ht="15" customHeight="1" x14ac:dyDescent="0.2">
      <c r="H2425" s="19">
        <v>-2.2628284656593001E-2</v>
      </c>
    </row>
    <row r="2426" spans="8:8" ht="15" customHeight="1" x14ac:dyDescent="0.2">
      <c r="H2426" s="19">
        <v>-3.71308906578344E-3</v>
      </c>
    </row>
    <row r="2427" spans="8:8" ht="15" customHeight="1" x14ac:dyDescent="0.2">
      <c r="H2427" s="19">
        <v>1.20276628043559E-3</v>
      </c>
    </row>
    <row r="2428" spans="8:8" ht="15" customHeight="1" x14ac:dyDescent="0.2">
      <c r="H2428" s="19">
        <v>-3.80538103453924E-3</v>
      </c>
    </row>
    <row r="2429" spans="8:8" ht="15" customHeight="1" x14ac:dyDescent="0.2">
      <c r="H2429" s="19">
        <v>1.6724494968024299E-2</v>
      </c>
    </row>
    <row r="2430" spans="8:8" ht="15" customHeight="1" x14ac:dyDescent="0.2">
      <c r="H2430" s="19">
        <v>1.27905367545918E-2</v>
      </c>
    </row>
    <row r="2431" spans="8:8" ht="15" customHeight="1" x14ac:dyDescent="0.2">
      <c r="H2431" s="19">
        <v>-2.11278340693261E-4</v>
      </c>
    </row>
    <row r="2432" spans="8:8" ht="15" customHeight="1" x14ac:dyDescent="0.2">
      <c r="H2432" s="19">
        <v>2.8764182102331698E-3</v>
      </c>
    </row>
    <row r="2433" spans="8:8" ht="15" customHeight="1" x14ac:dyDescent="0.2">
      <c r="H2433" s="19">
        <v>7.7177333767779596E-3</v>
      </c>
    </row>
    <row r="2434" spans="8:8" ht="15" customHeight="1" x14ac:dyDescent="0.2">
      <c r="H2434" s="19">
        <v>5.4788930219640203E-3</v>
      </c>
    </row>
    <row r="2435" spans="8:8" ht="15" customHeight="1" x14ac:dyDescent="0.2">
      <c r="H2435" s="19">
        <v>-9.7697657505474607E-3</v>
      </c>
    </row>
    <row r="2436" spans="8:8" ht="15" customHeight="1" x14ac:dyDescent="0.2">
      <c r="H2436" s="19">
        <v>-2.9820177014260201E-3</v>
      </c>
    </row>
    <row r="2437" spans="8:8" ht="15" customHeight="1" x14ac:dyDescent="0.2">
      <c r="H2437" s="19">
        <v>1.22040593863449E-2</v>
      </c>
    </row>
    <row r="2438" spans="8:8" ht="15" customHeight="1" x14ac:dyDescent="0.2">
      <c r="H2438" s="19">
        <v>-6.6385943732482E-3</v>
      </c>
    </row>
    <row r="2439" spans="8:8" ht="15" customHeight="1" x14ac:dyDescent="0.2">
      <c r="H2439" s="19">
        <v>4.67369135455267E-3</v>
      </c>
    </row>
    <row r="2440" spans="8:8" ht="15" customHeight="1" x14ac:dyDescent="0.2">
      <c r="H2440" s="19">
        <v>1.05149740895471E-2</v>
      </c>
    </row>
    <row r="2441" spans="8:8" ht="15" customHeight="1" x14ac:dyDescent="0.2">
      <c r="H2441" s="19">
        <v>-5.6410059735095899E-3</v>
      </c>
    </row>
    <row r="2442" spans="8:8" ht="15" customHeight="1" x14ac:dyDescent="0.2">
      <c r="H2442" s="19">
        <v>1.5638022228578002E-2</v>
      </c>
    </row>
    <row r="2443" spans="8:8" ht="15" customHeight="1" x14ac:dyDescent="0.2">
      <c r="H2443" s="19">
        <v>-1.0418025969084401E-3</v>
      </c>
    </row>
    <row r="2444" spans="8:8" ht="15" customHeight="1" x14ac:dyDescent="0.2">
      <c r="H2444" s="19">
        <v>1.78909467950473E-3</v>
      </c>
    </row>
    <row r="2445" spans="8:8" ht="15" customHeight="1" x14ac:dyDescent="0.2">
      <c r="H2445" s="19">
        <v>1.5081227678565901E-2</v>
      </c>
    </row>
    <row r="2446" spans="8:8" ht="15" customHeight="1" x14ac:dyDescent="0.2">
      <c r="H2446" s="19">
        <v>-4.2791322223096001E-3</v>
      </c>
    </row>
    <row r="2447" spans="8:8" ht="15" customHeight="1" x14ac:dyDescent="0.2">
      <c r="H2447" s="19">
        <v>3.4107253014618198E-3</v>
      </c>
    </row>
    <row r="2448" spans="8:8" ht="15" customHeight="1" x14ac:dyDescent="0.2">
      <c r="H2448" s="19">
        <v>1.48299026330431E-2</v>
      </c>
    </row>
    <row r="2449" spans="8:8" ht="15" customHeight="1" x14ac:dyDescent="0.2">
      <c r="H2449" s="19">
        <v>1.5822679138369999E-2</v>
      </c>
    </row>
    <row r="2450" spans="8:8" ht="15" customHeight="1" x14ac:dyDescent="0.2">
      <c r="H2450" s="19">
        <v>1.9946411327563698E-3</v>
      </c>
    </row>
    <row r="2451" spans="8:8" ht="15" customHeight="1" x14ac:dyDescent="0.2">
      <c r="H2451" s="19">
        <v>-1.92744197670411E-4</v>
      </c>
    </row>
    <row r="2452" spans="8:8" ht="15" customHeight="1" x14ac:dyDescent="0.2">
      <c r="H2452" s="19">
        <v>-1.18700761176515E-2</v>
      </c>
    </row>
    <row r="2453" spans="8:8" ht="15" customHeight="1" x14ac:dyDescent="0.2">
      <c r="H2453" s="19">
        <v>-3.9549073806655196E-3</v>
      </c>
    </row>
    <row r="2454" spans="8:8" ht="15" customHeight="1" x14ac:dyDescent="0.2">
      <c r="H2454" s="19">
        <v>2.0571671609039499E-2</v>
      </c>
    </row>
    <row r="2455" spans="8:8" ht="15" customHeight="1" x14ac:dyDescent="0.2">
      <c r="H2455" s="19">
        <v>-5.50958062798757E-3</v>
      </c>
    </row>
    <row r="2456" spans="8:8" ht="15" customHeight="1" x14ac:dyDescent="0.2">
      <c r="H2456" s="19">
        <v>8.0484634232056297E-4</v>
      </c>
    </row>
    <row r="2457" spans="8:8" ht="15" customHeight="1" x14ac:dyDescent="0.2">
      <c r="H2457" s="19">
        <v>-2.5843077654999101E-3</v>
      </c>
    </row>
    <row r="2458" spans="8:8" ht="15" customHeight="1" x14ac:dyDescent="0.2">
      <c r="H2458" s="19">
        <v>7.0575082532551301E-3</v>
      </c>
    </row>
    <row r="2459" spans="8:8" ht="15" customHeight="1" x14ac:dyDescent="0.2">
      <c r="H2459" s="19">
        <v>-2.1946100178603599E-3</v>
      </c>
    </row>
    <row r="2460" spans="8:8" ht="15" customHeight="1" x14ac:dyDescent="0.2">
      <c r="H2460" s="19">
        <v>3.89763273395344E-3</v>
      </c>
    </row>
    <row r="2461" spans="8:8" ht="15" customHeight="1" x14ac:dyDescent="0.2">
      <c r="H2461" s="19">
        <v>-1.12598773916308E-2</v>
      </c>
    </row>
    <row r="2462" spans="8:8" ht="15" customHeight="1" x14ac:dyDescent="0.2">
      <c r="H2462" s="19">
        <v>7.8003385691393003E-3</v>
      </c>
    </row>
    <row r="2463" spans="8:8" ht="15" customHeight="1" x14ac:dyDescent="0.2">
      <c r="H2463" s="19">
        <v>4.89612021490958E-3</v>
      </c>
    </row>
    <row r="2464" spans="8:8" ht="15" customHeight="1" x14ac:dyDescent="0.2">
      <c r="H2464" s="19">
        <v>7.1615016162778497E-3</v>
      </c>
    </row>
    <row r="2465" spans="8:8" ht="15" customHeight="1" x14ac:dyDescent="0.2">
      <c r="H2465" s="19">
        <v>-3.6966603911859201E-3</v>
      </c>
    </row>
    <row r="2466" spans="8:8" ht="15" customHeight="1" x14ac:dyDescent="0.2">
      <c r="H2466" s="19">
        <v>9.5539676947205693E-3</v>
      </c>
    </row>
    <row r="2467" spans="8:8" ht="15" customHeight="1" x14ac:dyDescent="0.2">
      <c r="H2467" s="19">
        <v>-7.1067685977403202E-3</v>
      </c>
    </row>
    <row r="2468" spans="8:8" ht="15" customHeight="1" x14ac:dyDescent="0.2">
      <c r="H2468" s="19">
        <v>-7.79347157511305E-4</v>
      </c>
    </row>
    <row r="2469" spans="8:8" ht="15" customHeight="1" x14ac:dyDescent="0.2">
      <c r="H2469" s="19">
        <v>-2.79628457943141E-3</v>
      </c>
    </row>
    <row r="2470" spans="8:8" ht="15" customHeight="1" x14ac:dyDescent="0.2">
      <c r="H2470" s="19">
        <v>-5.8499410215822001E-5</v>
      </c>
    </row>
    <row r="2471" spans="8:8" ht="15" customHeight="1" x14ac:dyDescent="0.2">
      <c r="H2471" s="19">
        <v>-1.2424602946674501E-2</v>
      </c>
    </row>
    <row r="2472" spans="8:8" ht="15" customHeight="1" x14ac:dyDescent="0.2">
      <c r="H2472" s="19">
        <v>1.88879313846623E-3</v>
      </c>
    </row>
    <row r="2473" spans="8:8" ht="15" customHeight="1" x14ac:dyDescent="0.2">
      <c r="H2473" s="19">
        <v>-2.0304797843103701E-3</v>
      </c>
    </row>
    <row r="2474" spans="8:8" ht="15" customHeight="1" x14ac:dyDescent="0.2">
      <c r="H2474" s="19">
        <v>-1.5619946249525801E-4</v>
      </c>
    </row>
    <row r="2475" spans="8:8" ht="15" customHeight="1" x14ac:dyDescent="0.2">
      <c r="H2475" s="19">
        <v>4.2421287219478803E-3</v>
      </c>
    </row>
    <row r="2476" spans="8:8" ht="15" customHeight="1" x14ac:dyDescent="0.2">
      <c r="H2476" s="19">
        <v>4.0699775670021698E-3</v>
      </c>
    </row>
    <row r="2477" spans="8:8" ht="15" customHeight="1" x14ac:dyDescent="0.2">
      <c r="H2477" s="19">
        <v>-8.0589756670682092E-3</v>
      </c>
    </row>
    <row r="2478" spans="8:8" ht="15" customHeight="1" x14ac:dyDescent="0.2">
      <c r="H2478" s="19">
        <v>-5.4499290254257596E-3</v>
      </c>
    </row>
    <row r="2479" spans="8:8" ht="15" customHeight="1" x14ac:dyDescent="0.2">
      <c r="H2479" s="19">
        <v>-1.25687789674294E-2</v>
      </c>
    </row>
    <row r="2480" spans="8:8" ht="15" customHeight="1" x14ac:dyDescent="0.2">
      <c r="H2480" s="19">
        <v>4.8249235171089399E-3</v>
      </c>
    </row>
    <row r="2481" spans="8:8" ht="15" customHeight="1" x14ac:dyDescent="0.2">
      <c r="H2481" s="19">
        <v>-1.03248794886088E-2</v>
      </c>
    </row>
    <row r="2482" spans="8:8" ht="15" customHeight="1" x14ac:dyDescent="0.2">
      <c r="H2482" s="19">
        <v>1.1512575936550799E-2</v>
      </c>
    </row>
    <row r="2483" spans="8:8" ht="15" customHeight="1" x14ac:dyDescent="0.2">
      <c r="H2483" s="19">
        <v>1.9593962723466599E-3</v>
      </c>
    </row>
    <row r="2484" spans="8:8" ht="15" customHeight="1" x14ac:dyDescent="0.2">
      <c r="H2484" s="19">
        <v>-6.8278326731601299E-3</v>
      </c>
    </row>
    <row r="2485" spans="8:8" ht="15" customHeight="1" x14ac:dyDescent="0.2">
      <c r="H2485" s="19">
        <v>-3.9737205185707896E-3</v>
      </c>
    </row>
    <row r="2486" spans="8:8" ht="15" customHeight="1" x14ac:dyDescent="0.2">
      <c r="H2486" s="19">
        <v>-3.8811736768887702E-3</v>
      </c>
    </row>
    <row r="2487" spans="8:8" ht="15" customHeight="1" x14ac:dyDescent="0.2">
      <c r="H2487" s="19">
        <v>3.3676519897493602E-4</v>
      </c>
    </row>
    <row r="2488" spans="8:8" ht="15" customHeight="1" x14ac:dyDescent="0.2">
      <c r="H2488" s="19">
        <v>8.3943302808768792E-3</v>
      </c>
    </row>
    <row r="2489" spans="8:8" ht="15" customHeight="1" x14ac:dyDescent="0.2">
      <c r="H2489" s="19">
        <v>-1.4118591532927801E-3</v>
      </c>
    </row>
    <row r="2490" spans="8:8" ht="15" customHeight="1" x14ac:dyDescent="0.2">
      <c r="H2490" s="19">
        <v>1.1013257387702801E-2</v>
      </c>
    </row>
    <row r="2491" spans="8:8" ht="15" customHeight="1" x14ac:dyDescent="0.2">
      <c r="H2491" s="19">
        <v>-1.22573977187273E-3</v>
      </c>
    </row>
    <row r="2492" spans="8:8" ht="15" customHeight="1" x14ac:dyDescent="0.2">
      <c r="H2492" s="19">
        <v>1.15724147311826E-2</v>
      </c>
    </row>
    <row r="2493" spans="8:8" ht="15" customHeight="1" x14ac:dyDescent="0.2">
      <c r="H2493" s="19">
        <v>-1.5041379925431701E-2</v>
      </c>
    </row>
    <row r="2494" spans="8:8" ht="15" customHeight="1" x14ac:dyDescent="0.2">
      <c r="H2494" s="19">
        <v>2.6724665416339201E-3</v>
      </c>
    </row>
    <row r="2495" spans="8:8" ht="15" customHeight="1" x14ac:dyDescent="0.2">
      <c r="H2495" s="19">
        <v>-1.03837397381501E-2</v>
      </c>
    </row>
    <row r="2496" spans="8:8" ht="15" customHeight="1" x14ac:dyDescent="0.2">
      <c r="H2496" s="19">
        <v>-1.26821614407393E-2</v>
      </c>
    </row>
    <row r="2497" spans="8:8" ht="15" customHeight="1" x14ac:dyDescent="0.2">
      <c r="H2497" s="19">
        <v>5.4074509006113002E-3</v>
      </c>
    </row>
    <row r="2498" spans="8:8" ht="15" customHeight="1" x14ac:dyDescent="0.2">
      <c r="H2498" s="19">
        <v>1.2270568449226501E-2</v>
      </c>
    </row>
    <row r="2499" spans="8:8" ht="15" customHeight="1" x14ac:dyDescent="0.2">
      <c r="H2499" s="19">
        <v>1.01553283813728E-2</v>
      </c>
    </row>
    <row r="2500" spans="8:8" ht="15" customHeight="1" x14ac:dyDescent="0.2">
      <c r="H2500" s="19">
        <v>-2.8798120986033701E-3</v>
      </c>
    </row>
    <row r="2501" spans="8:8" ht="15" customHeight="1" x14ac:dyDescent="0.2">
      <c r="H2501" s="19">
        <v>2.05135033194834E-2</v>
      </c>
    </row>
    <row r="2502" spans="8:8" ht="15" customHeight="1" x14ac:dyDescent="0.2">
      <c r="H2502" s="19">
        <v>8.1163955017869403E-3</v>
      </c>
    </row>
    <row r="2503" spans="8:8" ht="15" customHeight="1" x14ac:dyDescent="0.2">
      <c r="H2503" s="19">
        <v>-1.0077544799030501E-2</v>
      </c>
    </row>
    <row r="2504" spans="8:8" ht="15" customHeight="1" x14ac:dyDescent="0.2">
      <c r="H2504" s="19">
        <v>5.9224809308271002E-3</v>
      </c>
    </row>
    <row r="2505" spans="8:8" ht="15" customHeight="1" x14ac:dyDescent="0.2">
      <c r="H2505" s="19">
        <v>1.3087191013476799E-2</v>
      </c>
    </row>
    <row r="2506" spans="8:8" ht="15" customHeight="1" x14ac:dyDescent="0.2">
      <c r="H2506" s="19">
        <v>1.070502840005E-2</v>
      </c>
    </row>
    <row r="2507" spans="8:8" ht="15" customHeight="1" x14ac:dyDescent="0.2">
      <c r="H2507" s="19">
        <v>-1.65593852007626E-2</v>
      </c>
    </row>
    <row r="2508" spans="8:8" ht="15" customHeight="1" x14ac:dyDescent="0.2">
      <c r="H2508" s="19">
        <v>-1.0390202590962599E-2</v>
      </c>
    </row>
    <row r="2509" spans="8:8" ht="15" customHeight="1" x14ac:dyDescent="0.2">
      <c r="H2509" s="19">
        <v>1.6128226902127601E-2</v>
      </c>
    </row>
    <row r="2510" spans="8:8" ht="15" customHeight="1" x14ac:dyDescent="0.2">
      <c r="H2510" s="19">
        <v>-1.28675397645974E-3</v>
      </c>
    </row>
    <row r="2511" spans="8:8" ht="15" customHeight="1" x14ac:dyDescent="0.2">
      <c r="H2511" s="19">
        <v>4.1462072138430802E-3</v>
      </c>
    </row>
    <row r="2512" spans="8:8" ht="15" customHeight="1" x14ac:dyDescent="0.2">
      <c r="H2512" s="19">
        <v>1.2300758054846801E-4</v>
      </c>
    </row>
    <row r="2513" spans="8:8" ht="15" customHeight="1" x14ac:dyDescent="0.2">
      <c r="H2513" s="19">
        <v>7.5844845988932699E-3</v>
      </c>
    </row>
    <row r="2514" spans="8:8" ht="15" customHeight="1" x14ac:dyDescent="0.2">
      <c r="H2514" s="19">
        <v>-2.9218003093030099E-3</v>
      </c>
    </row>
    <row r="2515" spans="8:8" ht="15" customHeight="1" x14ac:dyDescent="0.2">
      <c r="H2515" s="19">
        <v>1.04604558956567E-2</v>
      </c>
    </row>
    <row r="2516" spans="8:8" ht="15" customHeight="1" x14ac:dyDescent="0.2">
      <c r="H2516" s="19">
        <v>5.5376881786959901E-3</v>
      </c>
    </row>
    <row r="2517" spans="8:8" ht="15" customHeight="1" x14ac:dyDescent="0.2">
      <c r="H2517" s="19">
        <v>-1.59130861307933E-3</v>
      </c>
    </row>
    <row r="2518" spans="8:8" ht="15" customHeight="1" x14ac:dyDescent="0.2">
      <c r="H2518" s="19">
        <v>1.3737497992376099E-2</v>
      </c>
    </row>
    <row r="2519" spans="8:8" ht="15" customHeight="1" x14ac:dyDescent="0.2">
      <c r="H2519" s="19">
        <v>-6.6979853342607001E-4</v>
      </c>
    </row>
    <row r="2520" spans="8:8" ht="15" customHeight="1" x14ac:dyDescent="0.2">
      <c r="H2520" s="19">
        <v>-1.0744414480753301E-2</v>
      </c>
    </row>
    <row r="2521" spans="8:8" ht="15" customHeight="1" x14ac:dyDescent="0.2">
      <c r="H2521" s="19">
        <v>8.4313594132806608E-3</v>
      </c>
    </row>
    <row r="2522" spans="8:8" ht="15" customHeight="1" x14ac:dyDescent="0.2">
      <c r="H2522" s="19">
        <v>-1.34402694868892E-2</v>
      </c>
    </row>
    <row r="2523" spans="8:8" ht="15" customHeight="1" x14ac:dyDescent="0.2">
      <c r="H2523" s="19">
        <v>-5.0691338417566401E-3</v>
      </c>
    </row>
    <row r="2524" spans="8:8" ht="15" customHeight="1" x14ac:dyDescent="0.2">
      <c r="H2524" s="19">
        <v>-1.01605813248162E-2</v>
      </c>
    </row>
    <row r="2525" spans="8:8" ht="15" customHeight="1" x14ac:dyDescent="0.2">
      <c r="H2525" s="19">
        <v>2.6327707763805198E-2</v>
      </c>
    </row>
    <row r="2526" spans="8:8" ht="15" customHeight="1" x14ac:dyDescent="0.2">
      <c r="H2526" s="19">
        <v>-6.3192210316263897E-3</v>
      </c>
    </row>
    <row r="2527" spans="8:8" ht="15" customHeight="1" x14ac:dyDescent="0.2">
      <c r="H2527" s="19">
        <v>-1.1354746975633E-2</v>
      </c>
    </row>
    <row r="2528" spans="8:8" ht="15" customHeight="1" x14ac:dyDescent="0.2">
      <c r="H2528" s="19">
        <v>9.1987865812719494E-3</v>
      </c>
    </row>
    <row r="2529" spans="8:8" ht="15" customHeight="1" x14ac:dyDescent="0.2">
      <c r="H2529" s="19">
        <v>-5.6672421618090597E-4</v>
      </c>
    </row>
    <row r="2530" spans="8:8" ht="15" customHeight="1" x14ac:dyDescent="0.2">
      <c r="H2530" s="19">
        <v>6.8441166480688997E-3</v>
      </c>
    </row>
    <row r="2531" spans="8:8" ht="15" customHeight="1" x14ac:dyDescent="0.2">
      <c r="H2531" s="19">
        <v>-4.3406644816979204E-3</v>
      </c>
    </row>
    <row r="2532" spans="8:8" ht="15" customHeight="1" x14ac:dyDescent="0.2">
      <c r="H2532" s="19">
        <v>-2.2917900671814598E-2</v>
      </c>
    </row>
    <row r="2533" spans="8:8" ht="15" customHeight="1" x14ac:dyDescent="0.2">
      <c r="H2533" s="19">
        <v>2.0352364134872299E-3</v>
      </c>
    </row>
    <row r="2534" spans="8:8" ht="15" customHeight="1" x14ac:dyDescent="0.2">
      <c r="H2534" s="19">
        <v>9.5722176819904795E-4</v>
      </c>
    </row>
    <row r="2535" spans="8:8" ht="15" customHeight="1" x14ac:dyDescent="0.2">
      <c r="H2535" s="19">
        <v>9.9182638375073708E-3</v>
      </c>
    </row>
    <row r="2536" spans="8:8" ht="15" customHeight="1" x14ac:dyDescent="0.2">
      <c r="H2536" s="19">
        <v>1.4486374169240399E-2</v>
      </c>
    </row>
    <row r="2537" spans="8:8" ht="15" customHeight="1" x14ac:dyDescent="0.2">
      <c r="H2537" s="19">
        <v>7.02074261813582E-4</v>
      </c>
    </row>
    <row r="2538" spans="8:8" ht="15" customHeight="1" x14ac:dyDescent="0.2">
      <c r="H2538" s="19">
        <v>-3.1776557814459502E-3</v>
      </c>
    </row>
    <row r="2539" spans="8:8" ht="15" customHeight="1" x14ac:dyDescent="0.2">
      <c r="H2539" s="19">
        <v>1.7235069401946902E-2</v>
      </c>
    </row>
    <row r="2540" spans="8:8" ht="15" customHeight="1" x14ac:dyDescent="0.2">
      <c r="H2540" s="19">
        <v>8.3009176284610103E-3</v>
      </c>
    </row>
    <row r="2541" spans="8:8" ht="15" customHeight="1" x14ac:dyDescent="0.2">
      <c r="H2541" s="19">
        <v>1.21040621968494E-2</v>
      </c>
    </row>
    <row r="2542" spans="8:8" ht="15" customHeight="1" x14ac:dyDescent="0.2">
      <c r="H2542" s="19">
        <v>1.4505154294793699E-2</v>
      </c>
    </row>
    <row r="2543" spans="8:8" ht="15" customHeight="1" x14ac:dyDescent="0.2">
      <c r="H2543" s="19">
        <v>2.1046277177161302E-2</v>
      </c>
    </row>
    <row r="2544" spans="8:8" ht="15" customHeight="1" x14ac:dyDescent="0.2">
      <c r="H2544" s="19">
        <v>9.9544196794548994E-3</v>
      </c>
    </row>
    <row r="2545" spans="8:8" ht="15" customHeight="1" x14ac:dyDescent="0.2">
      <c r="H2545" s="19">
        <v>-5.7582060609439201E-3</v>
      </c>
    </row>
    <row r="2546" spans="8:8" ht="15" customHeight="1" x14ac:dyDescent="0.2">
      <c r="H2546" s="19">
        <v>-1.0855933890499699E-3</v>
      </c>
    </row>
    <row r="2547" spans="8:8" ht="15" customHeight="1" x14ac:dyDescent="0.2">
      <c r="H2547" s="19">
        <v>1.2726739551694E-2</v>
      </c>
    </row>
    <row r="2548" spans="8:8" ht="15" customHeight="1" x14ac:dyDescent="0.2">
      <c r="H2548" s="19">
        <v>4.1721528784214099E-4</v>
      </c>
    </row>
    <row r="2549" spans="8:8" ht="15" customHeight="1" x14ac:dyDescent="0.2">
      <c r="H2549" s="19">
        <v>-5.9123379458705704E-3</v>
      </c>
    </row>
    <row r="2550" spans="8:8" ht="15" customHeight="1" x14ac:dyDescent="0.2">
      <c r="H2550" s="19">
        <v>-9.0123684515968205E-3</v>
      </c>
    </row>
    <row r="2551" spans="8:8" ht="15" customHeight="1" x14ac:dyDescent="0.2">
      <c r="H2551" s="19">
        <v>-5.5396492372239096E-3</v>
      </c>
    </row>
    <row r="2552" spans="8:8" ht="15" customHeight="1" x14ac:dyDescent="0.2">
      <c r="H2552" s="19">
        <v>-3.1637949480916301E-3</v>
      </c>
    </row>
    <row r="2553" spans="8:8" ht="15" customHeight="1" x14ac:dyDescent="0.2">
      <c r="H2553" s="19">
        <v>-4.1983505400040597E-3</v>
      </c>
    </row>
    <row r="2554" spans="8:8" ht="15" customHeight="1" x14ac:dyDescent="0.2">
      <c r="H2554" s="19">
        <v>2.4180625546766301E-3</v>
      </c>
    </row>
    <row r="2555" spans="8:8" ht="15" customHeight="1" x14ac:dyDescent="0.2">
      <c r="H2555" s="19">
        <v>-4.0387463987614797E-3</v>
      </c>
    </row>
    <row r="2556" spans="8:8" ht="15" customHeight="1" x14ac:dyDescent="0.2">
      <c r="H2556" s="19">
        <v>-2.4397553652865801E-3</v>
      </c>
    </row>
    <row r="2557" spans="8:8" ht="15" customHeight="1" x14ac:dyDescent="0.2">
      <c r="H2557" s="19">
        <v>-9.2607792569888193E-3</v>
      </c>
    </row>
    <row r="2558" spans="8:8" ht="15" customHeight="1" x14ac:dyDescent="0.2">
      <c r="H2558" s="19">
        <v>-1.28956290997644E-2</v>
      </c>
    </row>
    <row r="2559" spans="8:8" ht="15" customHeight="1" x14ac:dyDescent="0.2">
      <c r="H2559" s="19">
        <v>6.0666652183141703E-3</v>
      </c>
    </row>
    <row r="2560" spans="8:8" ht="15" customHeight="1" x14ac:dyDescent="0.2">
      <c r="H2560" s="19">
        <v>1.2818731269978701E-2</v>
      </c>
    </row>
    <row r="2561" spans="8:8" ht="15" customHeight="1" x14ac:dyDescent="0.2">
      <c r="H2561" s="19">
        <v>-8.2290503502419204E-3</v>
      </c>
    </row>
    <row r="2562" spans="8:8" ht="15" customHeight="1" x14ac:dyDescent="0.2">
      <c r="H2562" s="19">
        <v>-1.31100616842659E-2</v>
      </c>
    </row>
    <row r="2563" spans="8:8" ht="15" customHeight="1" x14ac:dyDescent="0.2">
      <c r="H2563" s="19">
        <v>-1.1975537428584201E-2</v>
      </c>
    </row>
    <row r="2564" spans="8:8" ht="15" customHeight="1" x14ac:dyDescent="0.2">
      <c r="H2564" s="19">
        <v>-6.1218422413758999E-3</v>
      </c>
    </row>
    <row r="2565" spans="8:8" ht="15" customHeight="1" x14ac:dyDescent="0.2">
      <c r="H2565" s="19">
        <v>-3.1519599971688698E-3</v>
      </c>
    </row>
    <row r="2566" spans="8:8" ht="15" customHeight="1" x14ac:dyDescent="0.2">
      <c r="H2566" s="19">
        <v>-4.9035799732727601E-3</v>
      </c>
    </row>
    <row r="2567" spans="8:8" ht="15" customHeight="1" x14ac:dyDescent="0.2">
      <c r="H2567" s="19">
        <v>-2.5651752199117302E-3</v>
      </c>
    </row>
    <row r="2568" spans="8:8" ht="15" customHeight="1" x14ac:dyDescent="0.2">
      <c r="H2568" s="19">
        <v>-7.2063136603950301E-3</v>
      </c>
    </row>
    <row r="2569" spans="8:8" ht="15" customHeight="1" x14ac:dyDescent="0.2">
      <c r="H2569" s="19">
        <v>9.0852840072564898E-4</v>
      </c>
    </row>
    <row r="2570" spans="8:8" ht="15" customHeight="1" x14ac:dyDescent="0.2">
      <c r="H2570" s="19">
        <v>-1.9148057871406499E-2</v>
      </c>
    </row>
    <row r="2571" spans="8:8" ht="15" customHeight="1" x14ac:dyDescent="0.2">
      <c r="H2571" s="19">
        <v>-1.2500084558434001E-3</v>
      </c>
    </row>
    <row r="2572" spans="8:8" ht="15" customHeight="1" x14ac:dyDescent="0.2">
      <c r="H2572" s="19">
        <v>-3.4795378659615299E-3</v>
      </c>
    </row>
    <row r="2573" spans="8:8" ht="15" customHeight="1" x14ac:dyDescent="0.2">
      <c r="H2573" s="19">
        <v>-1.2819973351283101E-3</v>
      </c>
    </row>
    <row r="2574" spans="8:8" ht="15" customHeight="1" x14ac:dyDescent="0.2">
      <c r="H2574" s="19">
        <v>8.1616401618213198E-3</v>
      </c>
    </row>
    <row r="2575" spans="8:8" ht="15" customHeight="1" x14ac:dyDescent="0.2">
      <c r="H2575" s="19">
        <v>8.9084154061800994E-3</v>
      </c>
    </row>
    <row r="2576" spans="8:8" ht="15" customHeight="1" x14ac:dyDescent="0.2">
      <c r="H2576" s="19">
        <v>1.79397874742214E-2</v>
      </c>
    </row>
    <row r="2577" spans="8:8" ht="15" customHeight="1" x14ac:dyDescent="0.2">
      <c r="H2577" s="19">
        <v>-1.71076730103914E-2</v>
      </c>
    </row>
    <row r="2578" spans="8:8" ht="15" customHeight="1" x14ac:dyDescent="0.2">
      <c r="H2578" s="19">
        <v>1.3349635960326E-3</v>
      </c>
    </row>
    <row r="2579" spans="8:8" ht="15" customHeight="1" x14ac:dyDescent="0.2">
      <c r="H2579" s="19">
        <v>7.1776108121364701E-6</v>
      </c>
    </row>
    <row r="2580" spans="8:8" ht="15" customHeight="1" x14ac:dyDescent="0.2">
      <c r="H2580" s="19">
        <v>4.8082780110630698E-3</v>
      </c>
    </row>
    <row r="2581" spans="8:8" ht="15" customHeight="1" x14ac:dyDescent="0.2">
      <c r="H2581" s="19">
        <v>-7.39894272165381E-3</v>
      </c>
    </row>
    <row r="2582" spans="8:8" ht="15" customHeight="1" x14ac:dyDescent="0.2">
      <c r="H2582" s="19">
        <v>-4.3071394722158096E-3</v>
      </c>
    </row>
    <row r="2583" spans="8:8" ht="15" customHeight="1" x14ac:dyDescent="0.2">
      <c r="H2583" s="19">
        <v>1.87747925515705E-3</v>
      </c>
    </row>
    <row r="2584" spans="8:8" ht="15" customHeight="1" x14ac:dyDescent="0.2">
      <c r="H2584" s="19">
        <v>-6.2544569436018497E-3</v>
      </c>
    </row>
    <row r="2585" spans="8:8" ht="15" customHeight="1" x14ac:dyDescent="0.2">
      <c r="H2585" s="19">
        <v>-1.7043721451629801E-2</v>
      </c>
    </row>
    <row r="2586" spans="8:8" ht="15" customHeight="1" x14ac:dyDescent="0.2">
      <c r="H2586" s="19">
        <v>4.4944072097972201E-3</v>
      </c>
    </row>
    <row r="2587" spans="8:8" ht="15" customHeight="1" x14ac:dyDescent="0.2">
      <c r="H2587" s="19">
        <v>9.6153223357365192E-3</v>
      </c>
    </row>
    <row r="2588" spans="8:8" ht="15" customHeight="1" x14ac:dyDescent="0.2">
      <c r="H2588" s="19">
        <v>-4.0596814947987904E-3</v>
      </c>
    </row>
    <row r="2589" spans="8:8" ht="15" customHeight="1" x14ac:dyDescent="0.2">
      <c r="H2589" s="19">
        <v>-6.9391518079445101E-3</v>
      </c>
    </row>
    <row r="2590" spans="8:8" ht="15" customHeight="1" x14ac:dyDescent="0.2">
      <c r="H2590" s="19">
        <v>3.9534001594872499E-3</v>
      </c>
    </row>
    <row r="2591" spans="8:8" ht="15" customHeight="1" x14ac:dyDescent="0.2">
      <c r="H2591" s="19">
        <v>8.2560718440817602E-4</v>
      </c>
    </row>
    <row r="2592" spans="8:8" ht="15" customHeight="1" x14ac:dyDescent="0.2">
      <c r="H2592" s="19">
        <v>7.2388399318312703E-4</v>
      </c>
    </row>
    <row r="2593" spans="8:8" ht="15" customHeight="1" x14ac:dyDescent="0.2">
      <c r="H2593" s="19">
        <v>8.9260464883131295E-3</v>
      </c>
    </row>
    <row r="2594" spans="8:8" ht="15" customHeight="1" x14ac:dyDescent="0.2">
      <c r="H2594" s="19">
        <v>9.8073155809933008E-3</v>
      </c>
    </row>
    <row r="2595" spans="8:8" ht="15" customHeight="1" x14ac:dyDescent="0.2">
      <c r="H2595" s="19">
        <v>-1.2213824201367E-3</v>
      </c>
    </row>
    <row r="2596" spans="8:8" ht="15" customHeight="1" x14ac:dyDescent="0.2">
      <c r="H2596" s="19">
        <v>-1.01933885027891E-2</v>
      </c>
    </row>
    <row r="2597" spans="8:8" ht="15" customHeight="1" x14ac:dyDescent="0.2">
      <c r="H2597" s="19">
        <v>-2.2726562720542999E-2</v>
      </c>
    </row>
    <row r="2598" spans="8:8" ht="15" customHeight="1" x14ac:dyDescent="0.2">
      <c r="H2598" s="19">
        <v>4.9320278681314299E-3</v>
      </c>
    </row>
    <row r="2599" spans="8:8" ht="15" customHeight="1" x14ac:dyDescent="0.2">
      <c r="H2599" s="19">
        <v>-1.50195758935737E-2</v>
      </c>
    </row>
    <row r="2600" spans="8:8" ht="15" customHeight="1" x14ac:dyDescent="0.2">
      <c r="H2600" s="19">
        <v>-9.7927086813675499E-3</v>
      </c>
    </row>
    <row r="2601" spans="8:8" ht="15" customHeight="1" x14ac:dyDescent="0.2">
      <c r="H2601" s="19">
        <v>1.0199409925859299E-3</v>
      </c>
    </row>
    <row r="2602" spans="8:8" ht="15" customHeight="1" x14ac:dyDescent="0.2">
      <c r="H2602" s="19">
        <v>1.5253245868895E-4</v>
      </c>
    </row>
    <row r="2603" spans="8:8" ht="15" customHeight="1" x14ac:dyDescent="0.2">
      <c r="H2603" s="19">
        <v>1.6303527905688999E-3</v>
      </c>
    </row>
    <row r="2604" spans="8:8" ht="15" customHeight="1" x14ac:dyDescent="0.2">
      <c r="H2604" s="19">
        <v>-1.0671883876987099E-2</v>
      </c>
    </row>
    <row r="2605" spans="8:8" ht="15" customHeight="1" x14ac:dyDescent="0.2">
      <c r="H2605" s="19">
        <v>1.16269987094139E-2</v>
      </c>
    </row>
    <row r="2606" spans="8:8" ht="15" customHeight="1" x14ac:dyDescent="0.2">
      <c r="H2606" s="19">
        <v>-1.2670531511129899E-2</v>
      </c>
    </row>
    <row r="2607" spans="8:8" ht="15" customHeight="1" x14ac:dyDescent="0.2">
      <c r="H2607" s="19">
        <v>-1.02986641464541E-2</v>
      </c>
    </row>
    <row r="2608" spans="8:8" ht="15" customHeight="1" x14ac:dyDescent="0.2">
      <c r="H2608" s="19">
        <v>8.0802275924917299E-3</v>
      </c>
    </row>
    <row r="2609" spans="8:8" ht="15" customHeight="1" x14ac:dyDescent="0.2">
      <c r="H2609" s="19">
        <v>-6.1878571010139903E-3</v>
      </c>
    </row>
    <row r="2610" spans="8:8" ht="15" customHeight="1" x14ac:dyDescent="0.2">
      <c r="H2610" s="19">
        <v>-2.51463229972369E-3</v>
      </c>
    </row>
    <row r="2611" spans="8:8" ht="15" customHeight="1" x14ac:dyDescent="0.2">
      <c r="H2611" s="19">
        <v>1.37157029166019E-2</v>
      </c>
    </row>
    <row r="2612" spans="8:8" ht="15" customHeight="1" x14ac:dyDescent="0.2">
      <c r="H2612" s="19">
        <v>4.5980228663728001E-3</v>
      </c>
    </row>
    <row r="2613" spans="8:8" ht="15" customHeight="1" x14ac:dyDescent="0.2">
      <c r="H2613" s="19">
        <v>-5.57975465535516E-3</v>
      </c>
    </row>
    <row r="2614" spans="8:8" ht="15" customHeight="1" x14ac:dyDescent="0.2">
      <c r="H2614" s="19">
        <v>3.4954384074717799E-3</v>
      </c>
    </row>
    <row r="2615" spans="8:8" ht="15" customHeight="1" x14ac:dyDescent="0.2">
      <c r="H2615" s="19">
        <v>-1.0046855550263099E-2</v>
      </c>
    </row>
    <row r="2616" spans="8:8" ht="15" customHeight="1" x14ac:dyDescent="0.2">
      <c r="H2616" s="19">
        <v>3.0553741397948701E-4</v>
      </c>
    </row>
    <row r="2617" spans="8:8" ht="15" customHeight="1" x14ac:dyDescent="0.2">
      <c r="H2617" s="19">
        <v>1.4948382937880301E-2</v>
      </c>
    </row>
    <row r="2618" spans="8:8" ht="15" customHeight="1" x14ac:dyDescent="0.2">
      <c r="H2618" s="19">
        <v>5.7829241618773397E-3</v>
      </c>
    </row>
    <row r="2619" spans="8:8" ht="15" customHeight="1" x14ac:dyDescent="0.2">
      <c r="H2619" s="19">
        <v>-1.35795062168877E-2</v>
      </c>
    </row>
    <row r="2620" spans="8:8" ht="15" customHeight="1" x14ac:dyDescent="0.2">
      <c r="H2620" s="19">
        <v>6.60216625931743E-3</v>
      </c>
    </row>
    <row r="2621" spans="8:8" ht="15" customHeight="1" x14ac:dyDescent="0.2">
      <c r="H2621" s="19">
        <v>5.44684787019078E-3</v>
      </c>
    </row>
    <row r="2622" spans="8:8" ht="15" customHeight="1" x14ac:dyDescent="0.2">
      <c r="H2622" s="19">
        <v>-7.8072665513826299E-3</v>
      </c>
    </row>
    <row r="2623" spans="8:8" ht="15" customHeight="1" x14ac:dyDescent="0.2">
      <c r="H2623" s="19">
        <v>-4.4358523684181299E-3</v>
      </c>
    </row>
    <row r="2624" spans="8:8" ht="15" customHeight="1" x14ac:dyDescent="0.2">
      <c r="H2624" s="19">
        <v>1.24406716476082E-2</v>
      </c>
    </row>
    <row r="2625" spans="8:8" ht="15" customHeight="1" x14ac:dyDescent="0.2">
      <c r="H2625" s="19">
        <v>1.27880558415854E-2</v>
      </c>
    </row>
    <row r="2626" spans="8:8" ht="15" customHeight="1" x14ac:dyDescent="0.2">
      <c r="H2626" s="19">
        <v>1.3040740285546601E-2</v>
      </c>
    </row>
    <row r="2627" spans="8:8" ht="15" customHeight="1" x14ac:dyDescent="0.2">
      <c r="H2627" s="19">
        <v>-1.7674518417080599E-2</v>
      </c>
    </row>
    <row r="2628" spans="8:8" ht="15" customHeight="1" x14ac:dyDescent="0.2">
      <c r="H2628" s="19">
        <v>-1.7624691072323101E-3</v>
      </c>
    </row>
    <row r="2629" spans="8:8" ht="15" customHeight="1" x14ac:dyDescent="0.2">
      <c r="H2629" s="19">
        <v>-5.7956580506114404E-4</v>
      </c>
    </row>
    <row r="2630" spans="8:8" ht="15" customHeight="1" x14ac:dyDescent="0.2">
      <c r="H2630" s="19">
        <v>4.8235888077928901E-3</v>
      </c>
    </row>
    <row r="2631" spans="8:8" ht="15" customHeight="1" x14ac:dyDescent="0.2">
      <c r="H2631" s="19">
        <v>1.02200547918422E-2</v>
      </c>
    </row>
    <row r="2632" spans="8:8" ht="15" customHeight="1" x14ac:dyDescent="0.2">
      <c r="H2632" s="19">
        <v>5.7234843124648899E-3</v>
      </c>
    </row>
    <row r="2633" spans="8:8" ht="15" customHeight="1" x14ac:dyDescent="0.2">
      <c r="H2633" s="19">
        <v>-1.23655029616687E-3</v>
      </c>
    </row>
    <row r="2634" spans="8:8" ht="15" customHeight="1" x14ac:dyDescent="0.2">
      <c r="H2634" s="19">
        <v>-1.1732472084762E-2</v>
      </c>
    </row>
    <row r="2635" spans="8:8" ht="15" customHeight="1" x14ac:dyDescent="0.2">
      <c r="H2635" s="19">
        <v>3.7508017264211799E-3</v>
      </c>
    </row>
    <row r="2636" spans="8:8" ht="15" customHeight="1" x14ac:dyDescent="0.2">
      <c r="H2636" s="19">
        <v>-4.7045881227763299E-3</v>
      </c>
    </row>
    <row r="2637" spans="8:8" ht="15" customHeight="1" x14ac:dyDescent="0.2">
      <c r="H2637" s="19">
        <v>1.20470169899586E-2</v>
      </c>
    </row>
    <row r="2638" spans="8:8" ht="15" customHeight="1" x14ac:dyDescent="0.2">
      <c r="H2638" s="19">
        <v>1.9158982776687501E-3</v>
      </c>
    </row>
    <row r="2639" spans="8:8" ht="15" customHeight="1" x14ac:dyDescent="0.2">
      <c r="H2639" s="19">
        <v>2.6147648379582101E-3</v>
      </c>
    </row>
    <row r="2640" spans="8:8" ht="15" customHeight="1" x14ac:dyDescent="0.2">
      <c r="H2640" s="19">
        <v>1.45326367319982E-2</v>
      </c>
    </row>
    <row r="2641" spans="8:8" ht="15" customHeight="1" x14ac:dyDescent="0.2">
      <c r="H2641" s="19">
        <v>-8.94534093993793E-4</v>
      </c>
    </row>
    <row r="2642" spans="8:8" ht="15" customHeight="1" x14ac:dyDescent="0.2">
      <c r="H2642" s="19">
        <v>3.0717507376058998E-3</v>
      </c>
    </row>
    <row r="2643" spans="8:8" ht="15" customHeight="1" x14ac:dyDescent="0.2">
      <c r="H2643" s="19">
        <v>-1.8588308666293001E-2</v>
      </c>
    </row>
    <row r="2644" spans="8:8" ht="15" customHeight="1" x14ac:dyDescent="0.2">
      <c r="H2644" s="19">
        <v>2.72203532661278E-3</v>
      </c>
    </row>
    <row r="2645" spans="8:8" ht="15" customHeight="1" x14ac:dyDescent="0.2">
      <c r="H2645" s="19">
        <v>1.19809049919584E-2</v>
      </c>
    </row>
    <row r="2646" spans="8:8" ht="15" customHeight="1" x14ac:dyDescent="0.2">
      <c r="H2646" s="19">
        <v>2.8878216151441301E-3</v>
      </c>
    </row>
    <row r="2647" spans="8:8" ht="15" customHeight="1" x14ac:dyDescent="0.2">
      <c r="H2647" s="19">
        <v>3.8459358390834498E-3</v>
      </c>
    </row>
    <row r="2648" spans="8:8" ht="15" customHeight="1" x14ac:dyDescent="0.2">
      <c r="H2648" s="19">
        <v>1.06211147466458E-2</v>
      </c>
    </row>
    <row r="2649" spans="8:8" ht="15" customHeight="1" x14ac:dyDescent="0.2">
      <c r="H2649" s="19">
        <v>-2.2350922637957502E-3</v>
      </c>
    </row>
    <row r="2650" spans="8:8" ht="15" customHeight="1" x14ac:dyDescent="0.2">
      <c r="H2650" s="19">
        <v>-8.3601392462696802E-4</v>
      </c>
    </row>
    <row r="2651" spans="8:8" ht="15" customHeight="1" x14ac:dyDescent="0.2">
      <c r="H2651" s="19">
        <v>-6.3677003322843697E-3</v>
      </c>
    </row>
    <row r="2652" spans="8:8" ht="15" customHeight="1" x14ac:dyDescent="0.2">
      <c r="H2652" s="19">
        <v>-8.6557512758380292E-3</v>
      </c>
    </row>
    <row r="2653" spans="8:8" ht="15" customHeight="1" x14ac:dyDescent="0.2">
      <c r="H2653" s="19">
        <v>2.61818204043897E-3</v>
      </c>
    </row>
    <row r="2654" spans="8:8" ht="15" customHeight="1" x14ac:dyDescent="0.2">
      <c r="H2654" s="19">
        <v>-7.9642286500133698E-3</v>
      </c>
    </row>
    <row r="2655" spans="8:8" ht="15" customHeight="1" x14ac:dyDescent="0.2">
      <c r="H2655" s="19">
        <v>-1.08986437232411E-2</v>
      </c>
    </row>
    <row r="2656" spans="8:8" ht="15" customHeight="1" x14ac:dyDescent="0.2">
      <c r="H2656" s="19">
        <v>-4.2127705588174301E-3</v>
      </c>
    </row>
    <row r="2657" spans="8:8" ht="15" customHeight="1" x14ac:dyDescent="0.2">
      <c r="H2657" s="19">
        <v>3.4066882338267398E-3</v>
      </c>
    </row>
    <row r="2658" spans="8:8" ht="15" customHeight="1" x14ac:dyDescent="0.2">
      <c r="H2658" s="19">
        <v>-1.14689372822552E-2</v>
      </c>
    </row>
    <row r="2659" spans="8:8" ht="15" customHeight="1" x14ac:dyDescent="0.2">
      <c r="H2659" s="19">
        <v>-1.34845671726244E-2</v>
      </c>
    </row>
    <row r="2660" spans="8:8" ht="15" customHeight="1" x14ac:dyDescent="0.2">
      <c r="H2660" s="19">
        <v>6.4649121290195699E-3</v>
      </c>
    </row>
    <row r="2661" spans="8:8" ht="15" customHeight="1" x14ac:dyDescent="0.2">
      <c r="H2661" s="19">
        <v>1.10652171772006E-2</v>
      </c>
    </row>
    <row r="2662" spans="8:8" ht="15" customHeight="1" x14ac:dyDescent="0.2">
      <c r="H2662" s="19">
        <v>-1.73279100203904E-3</v>
      </c>
    </row>
    <row r="2663" spans="8:8" ht="15" customHeight="1" x14ac:dyDescent="0.2">
      <c r="H2663" s="19">
        <v>5.5961528642984896E-3</v>
      </c>
    </row>
    <row r="2664" spans="8:8" ht="15" customHeight="1" x14ac:dyDescent="0.2">
      <c r="H2664" s="19">
        <v>7.6991599166827502E-3</v>
      </c>
    </row>
    <row r="2665" spans="8:8" ht="15" customHeight="1" x14ac:dyDescent="0.2">
      <c r="H2665" s="19">
        <v>9.2469350735042404E-3</v>
      </c>
    </row>
    <row r="2666" spans="8:8" ht="15" customHeight="1" x14ac:dyDescent="0.2">
      <c r="H2666" s="19">
        <v>-1.18460647923056E-2</v>
      </c>
    </row>
    <row r="2667" spans="8:8" ht="15" customHeight="1" x14ac:dyDescent="0.2">
      <c r="H2667" s="19">
        <v>-1.4633369207597601E-2</v>
      </c>
    </row>
    <row r="2668" spans="8:8" ht="15" customHeight="1" x14ac:dyDescent="0.2">
      <c r="H2668" s="19">
        <v>-6.2950999046907201E-3</v>
      </c>
    </row>
    <row r="2669" spans="8:8" ht="15" customHeight="1" x14ac:dyDescent="0.2">
      <c r="H2669" s="19">
        <v>5.2471728936280505E-4</v>
      </c>
    </row>
    <row r="2670" spans="8:8" ht="15" customHeight="1" x14ac:dyDescent="0.2">
      <c r="H2670" s="19">
        <v>1.1962799204869E-2</v>
      </c>
    </row>
    <row r="2671" spans="8:8" ht="15" customHeight="1" x14ac:dyDescent="0.2">
      <c r="H2671" s="19">
        <v>-9.4412603252317998E-3</v>
      </c>
    </row>
    <row r="2672" spans="8:8" ht="15" customHeight="1" x14ac:dyDescent="0.2">
      <c r="H2672" s="19">
        <v>8.4588509855753804E-3</v>
      </c>
    </row>
    <row r="2673" spans="8:8" ht="15" customHeight="1" x14ac:dyDescent="0.2">
      <c r="H2673" s="19">
        <v>1.8602618307925801E-2</v>
      </c>
    </row>
    <row r="2674" spans="8:8" ht="15" customHeight="1" x14ac:dyDescent="0.2">
      <c r="H2674" s="19">
        <v>-8.8650167283722599E-3</v>
      </c>
    </row>
    <row r="2675" spans="8:8" ht="15" customHeight="1" x14ac:dyDescent="0.2">
      <c r="H2675" s="19">
        <v>-1.02672380762566E-2</v>
      </c>
    </row>
    <row r="2676" spans="8:8" ht="15" customHeight="1" x14ac:dyDescent="0.2">
      <c r="H2676" s="19">
        <v>-1.8530110661789299E-2</v>
      </c>
    </row>
    <row r="2677" spans="8:8" ht="15" customHeight="1" x14ac:dyDescent="0.2">
      <c r="H2677" s="19">
        <v>5.0920592800561401E-3</v>
      </c>
    </row>
    <row r="2678" spans="8:8" ht="15" customHeight="1" x14ac:dyDescent="0.2">
      <c r="H2678" s="19">
        <v>-3.6864839080614701E-3</v>
      </c>
    </row>
    <row r="2679" spans="8:8" ht="15" customHeight="1" x14ac:dyDescent="0.2">
      <c r="H2679" s="19">
        <v>3.09851043067177E-3</v>
      </c>
    </row>
    <row r="2680" spans="8:8" ht="15" customHeight="1" x14ac:dyDescent="0.2">
      <c r="H2680" s="19">
        <v>1.8011844968440702E-2</v>
      </c>
    </row>
    <row r="2681" spans="8:8" ht="15" customHeight="1" x14ac:dyDescent="0.2">
      <c r="H2681" s="19">
        <v>-3.0004664069305199E-3</v>
      </c>
    </row>
    <row r="2682" spans="8:8" ht="15" customHeight="1" x14ac:dyDescent="0.2">
      <c r="H2682" s="19">
        <v>6.8797474427802199E-3</v>
      </c>
    </row>
    <row r="2683" spans="8:8" ht="15" customHeight="1" x14ac:dyDescent="0.2">
      <c r="H2683" s="19">
        <v>-3.9177173483445201E-3</v>
      </c>
    </row>
    <row r="2684" spans="8:8" ht="15" customHeight="1" x14ac:dyDescent="0.2">
      <c r="H2684" s="19">
        <v>2.5997211402983299E-2</v>
      </c>
    </row>
    <row r="2685" spans="8:8" ht="15" customHeight="1" x14ac:dyDescent="0.2">
      <c r="H2685" s="19">
        <v>6.39561207020636E-3</v>
      </c>
    </row>
    <row r="2686" spans="8:8" ht="15" customHeight="1" x14ac:dyDescent="0.2">
      <c r="H2686" s="19">
        <v>-1.13595739690258E-2</v>
      </c>
    </row>
    <row r="2687" spans="8:8" ht="15" customHeight="1" x14ac:dyDescent="0.2">
      <c r="H2687" s="19">
        <v>-8.2695527584232698E-3</v>
      </c>
    </row>
    <row r="2688" spans="8:8" ht="15" customHeight="1" x14ac:dyDescent="0.2">
      <c r="H2688" s="19">
        <v>-1.5136393979141899E-2</v>
      </c>
    </row>
    <row r="2689" spans="8:8" ht="15" customHeight="1" x14ac:dyDescent="0.2">
      <c r="H2689" s="19">
        <v>1.8592450222961399E-2</v>
      </c>
    </row>
    <row r="2690" spans="8:8" ht="15" customHeight="1" x14ac:dyDescent="0.2">
      <c r="H2690" s="19">
        <v>2.4602328674957201E-2</v>
      </c>
    </row>
    <row r="2691" spans="8:8" ht="15" customHeight="1" x14ac:dyDescent="0.2">
      <c r="H2691" s="19">
        <v>1.440236827267E-3</v>
      </c>
    </row>
    <row r="2692" spans="8:8" ht="15" customHeight="1" x14ac:dyDescent="0.2">
      <c r="H2692" s="19">
        <v>-8.38998740496061E-3</v>
      </c>
    </row>
    <row r="2693" spans="8:8" ht="15" customHeight="1" x14ac:dyDescent="0.2">
      <c r="H2693" s="19">
        <v>-1.28494699100869E-2</v>
      </c>
    </row>
    <row r="2694" spans="8:8" ht="15" customHeight="1" x14ac:dyDescent="0.2">
      <c r="H2694" s="19">
        <v>-1.2195036950692901E-2</v>
      </c>
    </row>
    <row r="2695" spans="8:8" ht="15" customHeight="1" x14ac:dyDescent="0.2">
      <c r="H2695" s="19">
        <v>-1.2613049759424301E-2</v>
      </c>
    </row>
    <row r="2696" spans="8:8" ht="15" customHeight="1" x14ac:dyDescent="0.2">
      <c r="H2696" s="19">
        <v>1.5524127318313201E-2</v>
      </c>
    </row>
    <row r="2697" spans="8:8" ht="15" customHeight="1" x14ac:dyDescent="0.2">
      <c r="H2697" s="19">
        <v>1.6856741071276399E-2</v>
      </c>
    </row>
    <row r="2698" spans="8:8" ht="15" customHeight="1" x14ac:dyDescent="0.2">
      <c r="H2698" s="19">
        <v>-1.73821572073601E-2</v>
      </c>
    </row>
    <row r="2699" spans="8:8" ht="15" customHeight="1" x14ac:dyDescent="0.2">
      <c r="H2699" s="19">
        <v>1.7861054007979001E-2</v>
      </c>
    </row>
    <row r="2700" spans="8:8" ht="15" customHeight="1" x14ac:dyDescent="0.2">
      <c r="H2700" s="19">
        <v>-1.9315581720942001E-3</v>
      </c>
    </row>
    <row r="2701" spans="8:8" ht="15" customHeight="1" x14ac:dyDescent="0.2">
      <c r="H2701" s="19">
        <v>1.97304525395521E-2</v>
      </c>
    </row>
    <row r="2702" spans="8:8" ht="15" customHeight="1" x14ac:dyDescent="0.2">
      <c r="H2702" s="19">
        <v>4.3391011411890697E-3</v>
      </c>
    </row>
    <row r="2703" spans="8:8" ht="15" customHeight="1" x14ac:dyDescent="0.2">
      <c r="H2703" s="19">
        <v>-6.1230229848648499E-3</v>
      </c>
    </row>
    <row r="2704" spans="8:8" ht="15" customHeight="1" x14ac:dyDescent="0.2">
      <c r="H2704" s="19">
        <v>6.01806547663026E-3</v>
      </c>
    </row>
    <row r="2705" spans="8:8" ht="15" customHeight="1" x14ac:dyDescent="0.2">
      <c r="H2705" s="19">
        <v>1.2376003200966E-3</v>
      </c>
    </row>
    <row r="2706" spans="8:8" ht="15" customHeight="1" x14ac:dyDescent="0.2">
      <c r="H2706" s="19">
        <v>-2.9692117975547002E-4</v>
      </c>
    </row>
    <row r="2707" spans="8:8" ht="15" customHeight="1" x14ac:dyDescent="0.2">
      <c r="H2707" s="19">
        <v>1.1463346967227801E-2</v>
      </c>
    </row>
    <row r="2708" spans="8:8" ht="15" customHeight="1" x14ac:dyDescent="0.2">
      <c r="H2708" s="19">
        <v>1.19733905263527E-2</v>
      </c>
    </row>
    <row r="2709" spans="8:8" ht="15" customHeight="1" x14ac:dyDescent="0.2">
      <c r="H2709" s="19">
        <v>5.7854172651630297E-3</v>
      </c>
    </row>
    <row r="2710" spans="8:8" ht="15" customHeight="1" x14ac:dyDescent="0.2">
      <c r="H2710" s="19">
        <v>4.6935156008280103E-3</v>
      </c>
    </row>
    <row r="2711" spans="8:8" ht="15" customHeight="1" x14ac:dyDescent="0.2">
      <c r="H2711" s="19">
        <v>8.8152453566845302E-3</v>
      </c>
    </row>
    <row r="2712" spans="8:8" ht="15" customHeight="1" x14ac:dyDescent="0.2">
      <c r="H2712" s="19">
        <v>1.5998403984251099E-2</v>
      </c>
    </row>
    <row r="2713" spans="8:8" ht="15" customHeight="1" x14ac:dyDescent="0.2">
      <c r="H2713" s="19">
        <v>3.7796063390452498E-3</v>
      </c>
    </row>
    <row r="2714" spans="8:8" ht="15" customHeight="1" x14ac:dyDescent="0.2">
      <c r="H2714" s="19">
        <v>5.6199339011087698E-3</v>
      </c>
    </row>
    <row r="2715" spans="8:8" ht="15" customHeight="1" x14ac:dyDescent="0.2">
      <c r="H2715" s="19">
        <v>3.7916504268680901E-3</v>
      </c>
    </row>
    <row r="2716" spans="8:8" ht="15" customHeight="1" x14ac:dyDescent="0.2">
      <c r="H2716" s="19">
        <v>-5.4753853509250403E-4</v>
      </c>
    </row>
    <row r="2717" spans="8:8" ht="15" customHeight="1" x14ac:dyDescent="0.2">
      <c r="H2717" s="19">
        <v>4.8871574424350899E-3</v>
      </c>
    </row>
    <row r="2718" spans="8:8" ht="15" customHeight="1" x14ac:dyDescent="0.2">
      <c r="H2718" s="19">
        <v>-2.8912170819060702E-3</v>
      </c>
    </row>
    <row r="2719" spans="8:8" ht="15" customHeight="1" x14ac:dyDescent="0.2">
      <c r="H2719" s="19">
        <v>4.62813743709997E-3</v>
      </c>
    </row>
    <row r="2720" spans="8:8" ht="15" customHeight="1" x14ac:dyDescent="0.2">
      <c r="H2720" s="19">
        <v>-9.3222926192242806E-3</v>
      </c>
    </row>
    <row r="2721" spans="8:8" ht="15" customHeight="1" x14ac:dyDescent="0.2">
      <c r="H2721" s="19">
        <v>-7.0679929762183001E-3</v>
      </c>
    </row>
    <row r="2722" spans="8:8" ht="15" customHeight="1" x14ac:dyDescent="0.2">
      <c r="H2722" s="19">
        <v>1.06418225655603E-2</v>
      </c>
    </row>
    <row r="2723" spans="8:8" ht="15" customHeight="1" x14ac:dyDescent="0.2">
      <c r="H2723" s="19">
        <v>-9.5965430562468292E-3</v>
      </c>
    </row>
    <row r="2724" spans="8:8" ht="15" customHeight="1" x14ac:dyDescent="0.2">
      <c r="H2724" s="19">
        <v>-1.3197416000626801E-2</v>
      </c>
    </row>
    <row r="2725" spans="8:8" ht="15" customHeight="1" x14ac:dyDescent="0.2">
      <c r="H2725" s="19">
        <v>-4.7263284649815002E-5</v>
      </c>
    </row>
    <row r="2726" spans="8:8" ht="15" customHeight="1" x14ac:dyDescent="0.2">
      <c r="H2726" s="19">
        <v>1.66719293428579E-2</v>
      </c>
    </row>
    <row r="2727" spans="8:8" ht="15" customHeight="1" x14ac:dyDescent="0.2">
      <c r="H2727" s="19">
        <v>1.1957886305049899E-2</v>
      </c>
    </row>
    <row r="2728" spans="8:8" ht="15" customHeight="1" x14ac:dyDescent="0.2">
      <c r="H2728" s="19">
        <v>6.1040155179929298E-3</v>
      </c>
    </row>
    <row r="2729" spans="8:8" ht="15" customHeight="1" x14ac:dyDescent="0.2">
      <c r="H2729" s="19">
        <v>7.35403116353901E-3</v>
      </c>
    </row>
    <row r="2730" spans="8:8" ht="15" customHeight="1" x14ac:dyDescent="0.2">
      <c r="H2730" s="19">
        <v>1.33426582447478E-2</v>
      </c>
    </row>
    <row r="2731" spans="8:8" ht="15" customHeight="1" x14ac:dyDescent="0.2">
      <c r="H2731" s="19">
        <v>2.8975396319024199E-3</v>
      </c>
    </row>
    <row r="2732" spans="8:8" ht="15" customHeight="1" x14ac:dyDescent="0.2">
      <c r="H2732" s="19">
        <v>-1.3166209811352201E-2</v>
      </c>
    </row>
    <row r="2733" spans="8:8" ht="15" customHeight="1" x14ac:dyDescent="0.2">
      <c r="H2733" s="19">
        <v>3.2282148486828801E-3</v>
      </c>
    </row>
    <row r="2734" spans="8:8" ht="15" customHeight="1" x14ac:dyDescent="0.2">
      <c r="H2734" s="19">
        <v>1.1724888596447601E-2</v>
      </c>
    </row>
    <row r="2735" spans="8:8" ht="15" customHeight="1" x14ac:dyDescent="0.2">
      <c r="H2735" s="19">
        <v>1.05312924417822E-2</v>
      </c>
    </row>
    <row r="2736" spans="8:8" ht="15" customHeight="1" x14ac:dyDescent="0.2">
      <c r="H2736" s="19">
        <v>-2.4516088370724401E-3</v>
      </c>
    </row>
    <row r="2737" spans="8:8" ht="15" customHeight="1" x14ac:dyDescent="0.2">
      <c r="H2737" s="19">
        <v>1.2577736466122799E-2</v>
      </c>
    </row>
    <row r="2738" spans="8:8" ht="15" customHeight="1" x14ac:dyDescent="0.2">
      <c r="H2738" s="19">
        <v>-1.0009130653159099E-2</v>
      </c>
    </row>
    <row r="2739" spans="8:8" ht="15" customHeight="1" x14ac:dyDescent="0.2">
      <c r="H2739" s="19">
        <v>3.3411952714291998E-3</v>
      </c>
    </row>
    <row r="2740" spans="8:8" ht="15" customHeight="1" x14ac:dyDescent="0.2">
      <c r="H2740" s="19">
        <v>-7.5391735317961901E-3</v>
      </c>
    </row>
    <row r="2741" spans="8:8" ht="15" customHeight="1" x14ac:dyDescent="0.2">
      <c r="H2741" s="19">
        <v>1.9767704428484099E-2</v>
      </c>
    </row>
    <row r="2742" spans="8:8" ht="15" customHeight="1" x14ac:dyDescent="0.2">
      <c r="H2742" s="19">
        <v>3.1941197669741003E-2</v>
      </c>
    </row>
    <row r="2743" spans="8:8" ht="15" customHeight="1" x14ac:dyDescent="0.2">
      <c r="H2743" s="19">
        <v>-2.7496356247178801E-3</v>
      </c>
    </row>
    <row r="2744" spans="8:8" ht="15" customHeight="1" x14ac:dyDescent="0.2">
      <c r="H2744" s="19">
        <v>-6.7142413813212898E-3</v>
      </c>
    </row>
    <row r="2745" spans="8:8" ht="15" customHeight="1" x14ac:dyDescent="0.2">
      <c r="H2745" s="19">
        <v>-1.6740752839580399E-2</v>
      </c>
    </row>
    <row r="2746" spans="8:8" ht="15" customHeight="1" x14ac:dyDescent="0.2">
      <c r="H2746" s="19">
        <v>-6.0462541716012203E-3</v>
      </c>
    </row>
    <row r="2747" spans="8:8" ht="15" customHeight="1" x14ac:dyDescent="0.2">
      <c r="H2747" s="19">
        <v>2.2192553814937101E-2</v>
      </c>
    </row>
    <row r="2748" spans="8:8" ht="15" customHeight="1" x14ac:dyDescent="0.2">
      <c r="H2748" s="19">
        <v>-1.03753387949877E-2</v>
      </c>
    </row>
    <row r="2749" spans="8:8" ht="15" customHeight="1" x14ac:dyDescent="0.2">
      <c r="H2749" s="19">
        <v>-6.8514283622368296E-3</v>
      </c>
    </row>
    <row r="2750" spans="8:8" ht="15" customHeight="1" x14ac:dyDescent="0.2">
      <c r="H2750" s="19">
        <v>8.3152984168499491E-3</v>
      </c>
    </row>
    <row r="2751" spans="8:8" ht="15" customHeight="1" x14ac:dyDescent="0.2">
      <c r="H2751" s="19">
        <v>-6.1107590836561396E-3</v>
      </c>
    </row>
    <row r="2752" spans="8:8" ht="15" customHeight="1" x14ac:dyDescent="0.2">
      <c r="H2752" s="19">
        <v>9.6915116588701094E-3</v>
      </c>
    </row>
    <row r="2753" spans="8:8" ht="15" customHeight="1" x14ac:dyDescent="0.2">
      <c r="H2753" s="19">
        <v>-8.9449501574320207E-3</v>
      </c>
    </row>
    <row r="2754" spans="8:8" ht="15" customHeight="1" x14ac:dyDescent="0.2">
      <c r="H2754" s="19">
        <v>9.5694005127105596E-4</v>
      </c>
    </row>
    <row r="2755" spans="8:8" ht="15" customHeight="1" x14ac:dyDescent="0.2">
      <c r="H2755" s="19">
        <v>2.6874956786961698E-3</v>
      </c>
    </row>
    <row r="2756" spans="8:8" ht="15" customHeight="1" x14ac:dyDescent="0.2">
      <c r="H2756" s="19">
        <v>5.5280360671325001E-3</v>
      </c>
    </row>
    <row r="2757" spans="8:8" ht="15" customHeight="1" x14ac:dyDescent="0.2">
      <c r="H2757" s="19">
        <v>-1.31332788199878E-3</v>
      </c>
    </row>
    <row r="2758" spans="8:8" ht="15" customHeight="1" x14ac:dyDescent="0.2">
      <c r="H2758" s="19">
        <v>-5.0567777972613604E-3</v>
      </c>
    </row>
    <row r="2759" spans="8:8" ht="15" customHeight="1" x14ac:dyDescent="0.2">
      <c r="H2759" s="19">
        <v>-2.7299587812876398E-3</v>
      </c>
    </row>
    <row r="2760" spans="8:8" ht="15" customHeight="1" x14ac:dyDescent="0.2">
      <c r="H2760" s="19">
        <v>1.4224281877682E-2</v>
      </c>
    </row>
    <row r="2761" spans="8:8" ht="15" customHeight="1" x14ac:dyDescent="0.2">
      <c r="H2761" s="19">
        <v>1.434148949119E-4</v>
      </c>
    </row>
    <row r="2762" spans="8:8" ht="15" customHeight="1" x14ac:dyDescent="0.2">
      <c r="H2762" s="19">
        <v>8.4072264696491393E-3</v>
      </c>
    </row>
    <row r="2763" spans="8:8" ht="15" customHeight="1" x14ac:dyDescent="0.2">
      <c r="H2763" s="19">
        <v>-3.0159163924362701E-3</v>
      </c>
    </row>
    <row r="2764" spans="8:8" ht="15" customHeight="1" x14ac:dyDescent="0.2">
      <c r="H2764" s="19">
        <v>-4.7143672159931796E-3</v>
      </c>
    </row>
    <row r="2765" spans="8:8" ht="15" customHeight="1" x14ac:dyDescent="0.2">
      <c r="H2765" s="19">
        <v>-4.1408679658912597E-3</v>
      </c>
    </row>
    <row r="2766" spans="8:8" ht="15" customHeight="1" x14ac:dyDescent="0.2">
      <c r="H2766" s="19">
        <v>1.0691975061233301E-2</v>
      </c>
    </row>
    <row r="2767" spans="8:8" ht="15" customHeight="1" x14ac:dyDescent="0.2">
      <c r="H2767" s="19">
        <v>1.49487358475935E-2</v>
      </c>
    </row>
    <row r="2768" spans="8:8" ht="15" customHeight="1" x14ac:dyDescent="0.2">
      <c r="H2768" s="19">
        <v>-1.01732086442568E-2</v>
      </c>
    </row>
    <row r="2769" spans="8:8" ht="15" customHeight="1" x14ac:dyDescent="0.2">
      <c r="H2769" s="19">
        <v>-1.41030958017583E-2</v>
      </c>
    </row>
    <row r="2770" spans="8:8" ht="15" customHeight="1" x14ac:dyDescent="0.2">
      <c r="H2770" s="19">
        <v>1.1391055848296E-2</v>
      </c>
    </row>
    <row r="2771" spans="8:8" ht="15" customHeight="1" x14ac:dyDescent="0.2">
      <c r="H2771" s="19">
        <v>9.7194304755587498E-3</v>
      </c>
    </row>
    <row r="2772" spans="8:8" ht="15" customHeight="1" x14ac:dyDescent="0.2">
      <c r="H2772" s="19">
        <v>-1.24612153809571E-2</v>
      </c>
    </row>
    <row r="2773" spans="8:8" ht="15" customHeight="1" x14ac:dyDescent="0.2">
      <c r="H2773" s="19">
        <v>-1.19922887774671E-2</v>
      </c>
    </row>
    <row r="2774" spans="8:8" ht="15" customHeight="1" x14ac:dyDescent="0.2">
      <c r="H2774" s="19">
        <v>2.3896487536234301E-2</v>
      </c>
    </row>
    <row r="2775" spans="8:8" ht="15" customHeight="1" x14ac:dyDescent="0.2">
      <c r="H2775" s="19">
        <v>1.4486436894525401E-3</v>
      </c>
    </row>
    <row r="2776" spans="8:8" ht="15" customHeight="1" x14ac:dyDescent="0.2">
      <c r="H2776" s="19">
        <v>1.16554503266327E-2</v>
      </c>
    </row>
    <row r="2777" spans="8:8" ht="15" customHeight="1" x14ac:dyDescent="0.2">
      <c r="H2777" s="19">
        <v>3.0870661168456E-4</v>
      </c>
    </row>
    <row r="2778" spans="8:8" ht="15" customHeight="1" x14ac:dyDescent="0.2">
      <c r="H2778" s="19">
        <v>-2.15567554049159E-3</v>
      </c>
    </row>
    <row r="2779" spans="8:8" ht="15" customHeight="1" x14ac:dyDescent="0.2">
      <c r="H2779" s="19">
        <v>6.5114282438755097E-3</v>
      </c>
    </row>
    <row r="2780" spans="8:8" ht="15" customHeight="1" x14ac:dyDescent="0.2">
      <c r="H2780" s="19">
        <v>1.3437326953361401E-3</v>
      </c>
    </row>
    <row r="2781" spans="8:8" ht="15" customHeight="1" x14ac:dyDescent="0.2">
      <c r="H2781" s="19">
        <v>-4.1331243424471403E-3</v>
      </c>
    </row>
    <row r="2782" spans="8:8" ht="15" customHeight="1" x14ac:dyDescent="0.2">
      <c r="H2782" s="19">
        <v>-3.9969796805526103E-3</v>
      </c>
    </row>
    <row r="2783" spans="8:8" ht="15" customHeight="1" x14ac:dyDescent="0.2">
      <c r="H2783" s="19">
        <v>-1.0907633248395899E-2</v>
      </c>
    </row>
    <row r="2784" spans="8:8" ht="15" customHeight="1" x14ac:dyDescent="0.2">
      <c r="H2784" s="19">
        <v>6.36066581209342E-3</v>
      </c>
    </row>
    <row r="2785" spans="8:8" ht="15" customHeight="1" x14ac:dyDescent="0.2">
      <c r="H2785" s="19">
        <v>-6.20844261830477E-3</v>
      </c>
    </row>
    <row r="2786" spans="8:8" ht="15" customHeight="1" x14ac:dyDescent="0.2">
      <c r="H2786" s="19">
        <v>1.2614629774160301E-2</v>
      </c>
    </row>
    <row r="2787" spans="8:8" ht="15" customHeight="1" x14ac:dyDescent="0.2">
      <c r="H2787" s="19">
        <v>9.6282039206221498E-3</v>
      </c>
    </row>
    <row r="2788" spans="8:8" ht="15" customHeight="1" x14ac:dyDescent="0.2">
      <c r="H2788" s="19">
        <v>-1.18849968992416E-2</v>
      </c>
    </row>
    <row r="2789" spans="8:8" ht="15" customHeight="1" x14ac:dyDescent="0.2">
      <c r="H2789" s="19">
        <v>1.02164313343409E-2</v>
      </c>
    </row>
    <row r="2790" spans="8:8" ht="15" customHeight="1" x14ac:dyDescent="0.2">
      <c r="H2790" s="19">
        <v>1.8986959982511299E-2</v>
      </c>
    </row>
    <row r="2791" spans="8:8" ht="15" customHeight="1" x14ac:dyDescent="0.2">
      <c r="H2791" s="19">
        <v>4.6363240558843898E-3</v>
      </c>
    </row>
    <row r="2792" spans="8:8" ht="15" customHeight="1" x14ac:dyDescent="0.2">
      <c r="H2792" s="19">
        <v>-7.0088661725879499E-3</v>
      </c>
    </row>
    <row r="2793" spans="8:8" ht="15" customHeight="1" x14ac:dyDescent="0.2">
      <c r="H2793" s="19">
        <v>-1.9598261122908699E-2</v>
      </c>
    </row>
    <row r="2794" spans="8:8" ht="15" customHeight="1" x14ac:dyDescent="0.2">
      <c r="H2794" s="19">
        <v>1.0391456701568701E-3</v>
      </c>
    </row>
    <row r="2795" spans="8:8" ht="15" customHeight="1" x14ac:dyDescent="0.2">
      <c r="H2795" s="19">
        <v>1.18558725198645E-2</v>
      </c>
    </row>
    <row r="2796" spans="8:8" ht="15" customHeight="1" x14ac:dyDescent="0.2">
      <c r="H2796" s="19">
        <v>-3.7231545110715798E-3</v>
      </c>
    </row>
    <row r="2797" spans="8:8" ht="15" customHeight="1" x14ac:dyDescent="0.2">
      <c r="H2797" s="19">
        <v>3.2163612535614998E-2</v>
      </c>
    </row>
    <row r="2798" spans="8:8" ht="15" customHeight="1" x14ac:dyDescent="0.2">
      <c r="H2798" s="19">
        <v>6.5042965014273698E-3</v>
      </c>
    </row>
    <row r="2799" spans="8:8" ht="15" customHeight="1" x14ac:dyDescent="0.2">
      <c r="H2799" s="19">
        <v>-3.14693846148744E-3</v>
      </c>
    </row>
    <row r="2800" spans="8:8" ht="15" customHeight="1" x14ac:dyDescent="0.2">
      <c r="H2800" s="19">
        <v>5.1420359092548499E-3</v>
      </c>
    </row>
    <row r="2801" spans="8:8" ht="15" customHeight="1" x14ac:dyDescent="0.2">
      <c r="H2801" s="19">
        <v>1.3736336947947301E-2</v>
      </c>
    </row>
    <row r="2802" spans="8:8" ht="15" customHeight="1" x14ac:dyDescent="0.2">
      <c r="H2802" s="19">
        <v>-4.0204038215667396E-3</v>
      </c>
    </row>
    <row r="2803" spans="8:8" ht="15" customHeight="1" x14ac:dyDescent="0.2">
      <c r="H2803" s="19">
        <v>-1.27518928211207E-2</v>
      </c>
    </row>
    <row r="2804" spans="8:8" ht="15" customHeight="1" x14ac:dyDescent="0.2">
      <c r="H2804" s="19">
        <v>-8.8942736136826302E-3</v>
      </c>
    </row>
    <row r="2805" spans="8:8" ht="15" customHeight="1" x14ac:dyDescent="0.2">
      <c r="H2805" s="19">
        <v>-7.2454495202308698E-3</v>
      </c>
    </row>
    <row r="2806" spans="8:8" ht="15" customHeight="1" x14ac:dyDescent="0.2">
      <c r="H2806" s="19">
        <v>-1.0239295946203399E-2</v>
      </c>
    </row>
    <row r="2807" spans="8:8" ht="15" customHeight="1" x14ac:dyDescent="0.2">
      <c r="H2807" s="19">
        <v>9.2323140867299099E-3</v>
      </c>
    </row>
    <row r="2808" spans="8:8" ht="15" customHeight="1" x14ac:dyDescent="0.2">
      <c r="H2808" s="19">
        <v>-3.1297772166223002E-3</v>
      </c>
    </row>
    <row r="2809" spans="8:8" ht="15" customHeight="1" x14ac:dyDescent="0.2">
      <c r="H2809" s="19">
        <v>2.4208124967850199E-3</v>
      </c>
    </row>
    <row r="2810" spans="8:8" ht="15" customHeight="1" x14ac:dyDescent="0.2">
      <c r="H2810" s="19">
        <v>-8.2402307856569996E-4</v>
      </c>
    </row>
    <row r="2811" spans="8:8" ht="15" customHeight="1" x14ac:dyDescent="0.2">
      <c r="H2811" s="19">
        <v>1.2535618629371701E-2</v>
      </c>
    </row>
    <row r="2812" spans="8:8" ht="15" customHeight="1" x14ac:dyDescent="0.2">
      <c r="H2812" s="19">
        <v>2.6670599496011397E-4</v>
      </c>
    </row>
    <row r="2813" spans="8:8" ht="15" customHeight="1" x14ac:dyDescent="0.2">
      <c r="H2813" s="19">
        <v>-1.1654129639075901E-2</v>
      </c>
    </row>
    <row r="2814" spans="8:8" ht="15" customHeight="1" x14ac:dyDescent="0.2">
      <c r="H2814" s="19">
        <v>-1.1677591271279099E-2</v>
      </c>
    </row>
    <row r="2815" spans="8:8" ht="15" customHeight="1" x14ac:dyDescent="0.2">
      <c r="H2815" s="19">
        <v>7.41825453892797E-3</v>
      </c>
    </row>
    <row r="2816" spans="8:8" ht="15" customHeight="1" x14ac:dyDescent="0.2">
      <c r="H2816" s="19">
        <v>2.5994356682170601E-2</v>
      </c>
    </row>
    <row r="2817" spans="8:8" ht="15" customHeight="1" x14ac:dyDescent="0.2">
      <c r="H2817" s="19">
        <v>6.5626892638802701E-3</v>
      </c>
    </row>
    <row r="2818" spans="8:8" ht="15" customHeight="1" x14ac:dyDescent="0.2">
      <c r="H2818" s="19">
        <v>-5.6183338551478498E-3</v>
      </c>
    </row>
    <row r="2819" spans="8:8" ht="15" customHeight="1" x14ac:dyDescent="0.2">
      <c r="H2819" s="19">
        <v>-1.44914767470439E-2</v>
      </c>
    </row>
    <row r="2820" spans="8:8" ht="15" customHeight="1" x14ac:dyDescent="0.2">
      <c r="H2820" s="19">
        <v>4.9730146166321798E-3</v>
      </c>
    </row>
    <row r="2821" spans="8:8" ht="15" customHeight="1" x14ac:dyDescent="0.2">
      <c r="H2821" s="19">
        <v>-1.7878508908680101E-2</v>
      </c>
    </row>
    <row r="2822" spans="8:8" ht="15" customHeight="1" x14ac:dyDescent="0.2">
      <c r="H2822" s="19">
        <v>-1.84693553220961E-2</v>
      </c>
    </row>
    <row r="2823" spans="8:8" ht="15" customHeight="1" x14ac:dyDescent="0.2">
      <c r="H2823" s="19">
        <v>8.2212833363446997E-3</v>
      </c>
    </row>
    <row r="2824" spans="8:8" ht="15" customHeight="1" x14ac:dyDescent="0.2">
      <c r="H2824" s="19">
        <v>2.9171700016327302E-3</v>
      </c>
    </row>
    <row r="2825" spans="8:8" ht="15" customHeight="1" x14ac:dyDescent="0.2">
      <c r="H2825" s="19">
        <v>-1.35096644060466E-2</v>
      </c>
    </row>
    <row r="2826" spans="8:8" ht="15" customHeight="1" x14ac:dyDescent="0.2">
      <c r="H2826" s="19">
        <v>9.2014856405007207E-3</v>
      </c>
    </row>
    <row r="2827" spans="8:8" ht="15" customHeight="1" x14ac:dyDescent="0.2">
      <c r="H2827" s="19">
        <v>-1.69804318868657E-3</v>
      </c>
    </row>
    <row r="2828" spans="8:8" ht="15" customHeight="1" x14ac:dyDescent="0.2">
      <c r="H2828" s="19">
        <v>1.0869942022427701E-2</v>
      </c>
    </row>
    <row r="2829" spans="8:8" ht="15" customHeight="1" x14ac:dyDescent="0.2">
      <c r="H2829" s="19">
        <v>7.44493714175624E-3</v>
      </c>
    </row>
    <row r="2830" spans="8:8" ht="15" customHeight="1" x14ac:dyDescent="0.2">
      <c r="H2830" s="19">
        <v>1.12912993476788E-2</v>
      </c>
    </row>
    <row r="2831" spans="8:8" ht="15" customHeight="1" x14ac:dyDescent="0.2">
      <c r="H2831" s="19">
        <v>-9.1106325949805705E-3</v>
      </c>
    </row>
    <row r="2832" spans="8:8" ht="15" customHeight="1" x14ac:dyDescent="0.2">
      <c r="H2832" s="19">
        <v>-4.2540434765187696E-3</v>
      </c>
    </row>
    <row r="2833" spans="8:8" ht="15" customHeight="1" x14ac:dyDescent="0.2">
      <c r="H2833" s="19">
        <v>-5.8128061613285801E-3</v>
      </c>
    </row>
    <row r="2834" spans="8:8" ht="15" customHeight="1" x14ac:dyDescent="0.2">
      <c r="H2834" s="19">
        <v>8.77196304198824E-3</v>
      </c>
    </row>
    <row r="2835" spans="8:8" ht="15" customHeight="1" x14ac:dyDescent="0.2">
      <c r="H2835" s="19">
        <v>-5.8002449439294203E-3</v>
      </c>
    </row>
    <row r="2836" spans="8:8" ht="15" customHeight="1" x14ac:dyDescent="0.2">
      <c r="H2836" s="19">
        <v>-2.93691510561324E-3</v>
      </c>
    </row>
    <row r="2837" spans="8:8" ht="15" customHeight="1" x14ac:dyDescent="0.2">
      <c r="H2837" s="19">
        <v>2.8718374787541799E-3</v>
      </c>
    </row>
    <row r="2838" spans="8:8" ht="15" customHeight="1" x14ac:dyDescent="0.2">
      <c r="H2838" s="19">
        <v>1.2110367367304199E-3</v>
      </c>
    </row>
    <row r="2839" spans="8:8" ht="15" customHeight="1" x14ac:dyDescent="0.2">
      <c r="H2839" s="19">
        <v>-1.1576306751193101E-2</v>
      </c>
    </row>
    <row r="2840" spans="8:8" ht="15" customHeight="1" x14ac:dyDescent="0.2">
      <c r="H2840" s="19">
        <v>-1.7384429761247801E-2</v>
      </c>
    </row>
    <row r="2841" spans="8:8" ht="15" customHeight="1" x14ac:dyDescent="0.2">
      <c r="H2841" s="19">
        <v>-7.3473918219547202E-4</v>
      </c>
    </row>
    <row r="2842" spans="8:8" ht="15" customHeight="1" x14ac:dyDescent="0.2">
      <c r="H2842" s="19">
        <v>-9.7059629840392896E-3</v>
      </c>
    </row>
    <row r="2843" spans="8:8" ht="15" customHeight="1" x14ac:dyDescent="0.2">
      <c r="H2843" s="19">
        <v>2.0961145841718299E-3</v>
      </c>
    </row>
    <row r="2844" spans="8:8" ht="15" customHeight="1" x14ac:dyDescent="0.2">
      <c r="H2844" s="19">
        <v>9.7111377500547803E-3</v>
      </c>
    </row>
    <row r="2845" spans="8:8" ht="15" customHeight="1" x14ac:dyDescent="0.2">
      <c r="H2845" s="19">
        <v>-6.72659876250251E-4</v>
      </c>
    </row>
    <row r="2846" spans="8:8" ht="15" customHeight="1" x14ac:dyDescent="0.2">
      <c r="H2846" s="19">
        <v>-2.2216725926954102E-3</v>
      </c>
    </row>
    <row r="2847" spans="8:8" ht="15" customHeight="1" x14ac:dyDescent="0.2">
      <c r="H2847" s="19">
        <v>-3.0617418986251502E-3</v>
      </c>
    </row>
    <row r="2848" spans="8:8" ht="15" customHeight="1" x14ac:dyDescent="0.2">
      <c r="H2848" s="19">
        <v>2.2200095253279398E-3</v>
      </c>
    </row>
    <row r="2849" spans="8:8" ht="15" customHeight="1" x14ac:dyDescent="0.2">
      <c r="H2849" s="19">
        <v>-3.08060542252788E-3</v>
      </c>
    </row>
    <row r="2850" spans="8:8" ht="15" customHeight="1" x14ac:dyDescent="0.2">
      <c r="H2850" s="19">
        <v>1.6771712180863501E-3</v>
      </c>
    </row>
    <row r="2851" spans="8:8" ht="15" customHeight="1" x14ac:dyDescent="0.2">
      <c r="H2851" s="19">
        <v>1.2140895387066199E-3</v>
      </c>
    </row>
    <row r="2852" spans="8:8" ht="15" customHeight="1" x14ac:dyDescent="0.2">
      <c r="H2852" s="19">
        <v>3.8653608585782202E-3</v>
      </c>
    </row>
    <row r="2853" spans="8:8" ht="15" customHeight="1" x14ac:dyDescent="0.2">
      <c r="H2853" s="19">
        <v>-3.1513489051502299E-3</v>
      </c>
    </row>
    <row r="2854" spans="8:8" ht="15" customHeight="1" x14ac:dyDescent="0.2">
      <c r="H2854" s="19">
        <v>-2.1323769598815599E-4</v>
      </c>
    </row>
    <row r="2855" spans="8:8" ht="15" customHeight="1" x14ac:dyDescent="0.2">
      <c r="H2855" s="19">
        <v>-4.0857041219396102E-3</v>
      </c>
    </row>
    <row r="2856" spans="8:8" ht="15" customHeight="1" x14ac:dyDescent="0.2">
      <c r="H2856" s="19">
        <v>2.5619743015538798E-3</v>
      </c>
    </row>
    <row r="2857" spans="8:8" ht="15" customHeight="1" x14ac:dyDescent="0.2">
      <c r="H2857" s="19">
        <v>-2.54326736483893E-3</v>
      </c>
    </row>
    <row r="2858" spans="8:8" ht="15" customHeight="1" x14ac:dyDescent="0.2">
      <c r="H2858" s="19">
        <v>1.49907065338975E-2</v>
      </c>
    </row>
    <row r="2859" spans="8:8" ht="15" customHeight="1" x14ac:dyDescent="0.2">
      <c r="H2859" s="19">
        <v>3.1144251018469098E-4</v>
      </c>
    </row>
    <row r="2860" spans="8:8" ht="15" customHeight="1" x14ac:dyDescent="0.2">
      <c r="H2860" s="19">
        <v>2.2098977705647699E-2</v>
      </c>
    </row>
    <row r="2861" spans="8:8" ht="15" customHeight="1" x14ac:dyDescent="0.2">
      <c r="H2861" s="19">
        <v>-1.06585039385508E-3</v>
      </c>
    </row>
    <row r="2862" spans="8:8" ht="15" customHeight="1" x14ac:dyDescent="0.2">
      <c r="H2862" s="19">
        <v>2.9764041641282398E-3</v>
      </c>
    </row>
    <row r="2863" spans="8:8" ht="15" customHeight="1" x14ac:dyDescent="0.2">
      <c r="H2863" s="19">
        <v>1.26688121042163E-2</v>
      </c>
    </row>
    <row r="2864" spans="8:8" ht="15" customHeight="1" x14ac:dyDescent="0.2">
      <c r="H2864" s="19">
        <v>-4.3374818396453201E-3</v>
      </c>
    </row>
    <row r="2865" spans="8:8" ht="15" customHeight="1" x14ac:dyDescent="0.2">
      <c r="H2865" s="19">
        <v>1.7721908600442302E-2</v>
      </c>
    </row>
    <row r="2866" spans="8:8" ht="15" customHeight="1" x14ac:dyDescent="0.2">
      <c r="H2866" s="19">
        <v>-1.8749637691975098E-2</v>
      </c>
    </row>
    <row r="2867" spans="8:8" ht="15" customHeight="1" x14ac:dyDescent="0.2">
      <c r="H2867" s="19">
        <v>-5.9840319332116702E-3</v>
      </c>
    </row>
    <row r="2868" spans="8:8" ht="15" customHeight="1" x14ac:dyDescent="0.2">
      <c r="H2868" s="19">
        <v>-2.9496497169931201E-2</v>
      </c>
    </row>
    <row r="2869" spans="8:8" ht="15" customHeight="1" x14ac:dyDescent="0.2">
      <c r="H2869" s="19">
        <v>1.2292637774423401E-3</v>
      </c>
    </row>
    <row r="2870" spans="8:8" ht="15" customHeight="1" x14ac:dyDescent="0.2">
      <c r="H2870" s="19">
        <v>1.26158581510003E-2</v>
      </c>
    </row>
    <row r="2871" spans="8:8" ht="15" customHeight="1" x14ac:dyDescent="0.2">
      <c r="H2871" s="19">
        <v>-9.9035683814706395E-3</v>
      </c>
    </row>
    <row r="2872" spans="8:8" ht="15" customHeight="1" x14ac:dyDescent="0.2">
      <c r="H2872" s="19">
        <v>-2.4565169058659301E-4</v>
      </c>
    </row>
    <row r="2873" spans="8:8" ht="15" customHeight="1" x14ac:dyDescent="0.2">
      <c r="H2873" s="19">
        <v>7.9145379534426297E-3</v>
      </c>
    </row>
    <row r="2874" spans="8:8" ht="15" customHeight="1" x14ac:dyDescent="0.2">
      <c r="H2874" s="19">
        <v>4.3511629577435203E-3</v>
      </c>
    </row>
    <row r="2875" spans="8:8" ht="15" customHeight="1" x14ac:dyDescent="0.2">
      <c r="H2875" s="19">
        <v>-5.8274228024696199E-3</v>
      </c>
    </row>
    <row r="2876" spans="8:8" ht="15" customHeight="1" x14ac:dyDescent="0.2">
      <c r="H2876" s="19">
        <v>6.5404818740596796E-3</v>
      </c>
    </row>
    <row r="2877" spans="8:8" ht="15" customHeight="1" x14ac:dyDescent="0.2">
      <c r="H2877" s="19">
        <v>-5.7741075004819498E-3</v>
      </c>
    </row>
    <row r="2878" spans="8:8" ht="15" customHeight="1" x14ac:dyDescent="0.2">
      <c r="H2878" s="19">
        <v>-1.8309304447242599E-2</v>
      </c>
    </row>
    <row r="2879" spans="8:8" ht="15" customHeight="1" x14ac:dyDescent="0.2">
      <c r="H2879" s="19">
        <v>-1.39280559525302E-2</v>
      </c>
    </row>
    <row r="2880" spans="8:8" ht="15" customHeight="1" x14ac:dyDescent="0.2">
      <c r="H2880" s="19">
        <v>1.0509392375195501E-2</v>
      </c>
    </row>
    <row r="2881" spans="8:8" ht="15" customHeight="1" x14ac:dyDescent="0.2">
      <c r="H2881" s="19">
        <v>6.7639999462582403E-4</v>
      </c>
    </row>
    <row r="2882" spans="8:8" ht="15" customHeight="1" x14ac:dyDescent="0.2">
      <c r="H2882" s="19">
        <v>-4.2072833777055899E-3</v>
      </c>
    </row>
    <row r="2883" spans="8:8" ht="15" customHeight="1" x14ac:dyDescent="0.2">
      <c r="H2883" s="19">
        <v>7.2146931744132602E-3</v>
      </c>
    </row>
    <row r="2884" spans="8:8" ht="15" customHeight="1" x14ac:dyDescent="0.2">
      <c r="H2884" s="19">
        <v>-1.5984738249244399E-3</v>
      </c>
    </row>
    <row r="2885" spans="8:8" ht="15" customHeight="1" x14ac:dyDescent="0.2">
      <c r="H2885" s="19">
        <v>9.5755931393160798E-3</v>
      </c>
    </row>
    <row r="2886" spans="8:8" ht="15" customHeight="1" x14ac:dyDescent="0.2">
      <c r="H2886" s="19">
        <v>-1.45839323973335E-2</v>
      </c>
    </row>
    <row r="2887" spans="8:8" ht="15" customHeight="1" x14ac:dyDescent="0.2">
      <c r="H2887" s="19">
        <v>3.9441210370010802E-3</v>
      </c>
    </row>
    <row r="2888" spans="8:8" ht="15" customHeight="1" x14ac:dyDescent="0.2">
      <c r="H2888" s="19">
        <v>-4.96079912361459E-3</v>
      </c>
    </row>
    <row r="2889" spans="8:8" ht="15" customHeight="1" x14ac:dyDescent="0.2">
      <c r="H2889" s="19">
        <v>-1.20449602310236E-2</v>
      </c>
    </row>
    <row r="2890" spans="8:8" ht="15" customHeight="1" x14ac:dyDescent="0.2">
      <c r="H2890" s="19">
        <v>-1.3337100758805899E-2</v>
      </c>
    </row>
    <row r="2891" spans="8:8" ht="15" customHeight="1" x14ac:dyDescent="0.2">
      <c r="H2891" s="19">
        <v>7.3524766281064498E-4</v>
      </c>
    </row>
    <row r="2892" spans="8:8" ht="15" customHeight="1" x14ac:dyDescent="0.2">
      <c r="H2892" s="19">
        <v>3.1864904396734198E-3</v>
      </c>
    </row>
    <row r="2893" spans="8:8" ht="15" customHeight="1" x14ac:dyDescent="0.2">
      <c r="H2893" s="19">
        <v>-9.7276899582977704E-3</v>
      </c>
    </row>
    <row r="2894" spans="8:8" ht="15" customHeight="1" x14ac:dyDescent="0.2">
      <c r="H2894" s="19">
        <v>-4.2646467653991698E-3</v>
      </c>
    </row>
    <row r="2895" spans="8:8" ht="15" customHeight="1" x14ac:dyDescent="0.2">
      <c r="H2895" s="19">
        <v>5.0133575958408103E-3</v>
      </c>
    </row>
    <row r="2896" spans="8:8" ht="15" customHeight="1" x14ac:dyDescent="0.2">
      <c r="H2896" s="19">
        <v>3.0397673237803498E-3</v>
      </c>
    </row>
    <row r="2897" spans="8:8" ht="15" customHeight="1" x14ac:dyDescent="0.2">
      <c r="H2897" s="19">
        <v>1.19763239039066E-3</v>
      </c>
    </row>
    <row r="2898" spans="8:8" ht="15" customHeight="1" x14ac:dyDescent="0.2">
      <c r="H2898" s="19">
        <v>-6.9566581480439401E-3</v>
      </c>
    </row>
    <row r="2899" spans="8:8" ht="15" customHeight="1" x14ac:dyDescent="0.2">
      <c r="H2899" s="19">
        <v>4.6863230348699499E-3</v>
      </c>
    </row>
    <row r="2900" spans="8:8" ht="15" customHeight="1" x14ac:dyDescent="0.2">
      <c r="H2900" s="19">
        <v>-2.39895974687876E-2</v>
      </c>
    </row>
    <row r="2901" spans="8:8" ht="15" customHeight="1" x14ac:dyDescent="0.2">
      <c r="H2901" s="19">
        <v>1.0403609925290901E-2</v>
      </c>
    </row>
    <row r="2902" spans="8:8" ht="15" customHeight="1" x14ac:dyDescent="0.2">
      <c r="H2902" s="19">
        <v>1.7727552528658101E-2</v>
      </c>
    </row>
    <row r="2903" spans="8:8" ht="15" customHeight="1" x14ac:dyDescent="0.2">
      <c r="H2903" s="19">
        <v>8.8879044939256004E-3</v>
      </c>
    </row>
    <row r="2904" spans="8:8" ht="15" customHeight="1" x14ac:dyDescent="0.2">
      <c r="H2904" s="19">
        <v>1.44341690182686E-2</v>
      </c>
    </row>
    <row r="2905" spans="8:8" ht="15" customHeight="1" x14ac:dyDescent="0.2">
      <c r="H2905" s="19">
        <v>-1.48376171053948E-3</v>
      </c>
    </row>
    <row r="2906" spans="8:8" ht="15" customHeight="1" x14ac:dyDescent="0.2">
      <c r="H2906" s="19">
        <v>1.75526615648688E-3</v>
      </c>
    </row>
    <row r="2907" spans="8:8" ht="15" customHeight="1" x14ac:dyDescent="0.2">
      <c r="H2907" s="19">
        <v>1.7334434938740499E-4</v>
      </c>
    </row>
    <row r="2908" spans="8:8" ht="15" customHeight="1" x14ac:dyDescent="0.2">
      <c r="H2908" s="19">
        <v>-1.5101762879653299E-2</v>
      </c>
    </row>
    <row r="2909" spans="8:8" ht="15" customHeight="1" x14ac:dyDescent="0.2">
      <c r="H2909" s="19">
        <v>-2.8589644662315901E-2</v>
      </c>
    </row>
    <row r="2910" spans="8:8" ht="15" customHeight="1" x14ac:dyDescent="0.2">
      <c r="H2910" s="19">
        <v>-2.38343339598821E-2</v>
      </c>
    </row>
    <row r="2911" spans="8:8" ht="15" customHeight="1" x14ac:dyDescent="0.2">
      <c r="H2911" s="19">
        <v>1.93415652936014E-3</v>
      </c>
    </row>
    <row r="2912" spans="8:8" ht="15" customHeight="1" x14ac:dyDescent="0.2">
      <c r="H2912" s="19">
        <v>-5.2634294772849997E-3</v>
      </c>
    </row>
    <row r="2913" spans="8:8" ht="15" customHeight="1" x14ac:dyDescent="0.2">
      <c r="H2913" s="19">
        <v>-7.0181629665534298E-3</v>
      </c>
    </row>
    <row r="2914" spans="8:8" ht="15" customHeight="1" x14ac:dyDescent="0.2">
      <c r="H2914" s="19">
        <v>-5.2242828415687299E-3</v>
      </c>
    </row>
    <row r="2915" spans="8:8" ht="15" customHeight="1" x14ac:dyDescent="0.2">
      <c r="H2915" s="19">
        <v>-4.1525333325139104E-3</v>
      </c>
    </row>
    <row r="2916" spans="8:8" ht="15" customHeight="1" x14ac:dyDescent="0.2">
      <c r="H2916" s="19">
        <v>-1.6349357635480701E-2</v>
      </c>
    </row>
    <row r="2917" spans="8:8" ht="15" customHeight="1" x14ac:dyDescent="0.2">
      <c r="H2917" s="19">
        <v>8.4320701145264593E-3</v>
      </c>
    </row>
    <row r="2918" spans="8:8" ht="15" customHeight="1" x14ac:dyDescent="0.2">
      <c r="H2918" s="19">
        <v>3.2739501296511798E-4</v>
      </c>
    </row>
    <row r="2919" spans="8:8" ht="15" customHeight="1" x14ac:dyDescent="0.2">
      <c r="H2919" s="19">
        <v>6.8069322322998104E-3</v>
      </c>
    </row>
    <row r="2920" spans="8:8" ht="15" customHeight="1" x14ac:dyDescent="0.2">
      <c r="H2920" s="19">
        <v>9.6072430732145296E-3</v>
      </c>
    </row>
    <row r="2921" spans="8:8" ht="15" customHeight="1" x14ac:dyDescent="0.2">
      <c r="H2921" s="19">
        <v>1.88438868452823E-3</v>
      </c>
    </row>
    <row r="2922" spans="8:8" ht="15" customHeight="1" x14ac:dyDescent="0.2">
      <c r="H2922" s="19">
        <v>8.6026890538836599E-3</v>
      </c>
    </row>
    <row r="2923" spans="8:8" ht="15" customHeight="1" x14ac:dyDescent="0.2">
      <c r="H2923" s="19">
        <v>-1.36940886429846E-2</v>
      </c>
    </row>
    <row r="2924" spans="8:8" ht="15" customHeight="1" x14ac:dyDescent="0.2">
      <c r="H2924" s="19">
        <v>1.4197969960462601E-3</v>
      </c>
    </row>
    <row r="2925" spans="8:8" ht="15" customHeight="1" x14ac:dyDescent="0.2">
      <c r="H2925" s="19">
        <v>-1.21312905145968E-2</v>
      </c>
    </row>
    <row r="2926" spans="8:8" ht="15" customHeight="1" x14ac:dyDescent="0.2">
      <c r="H2926" s="19">
        <v>8.3302104771579306E-3</v>
      </c>
    </row>
    <row r="2927" spans="8:8" ht="15" customHeight="1" x14ac:dyDescent="0.2">
      <c r="H2927" s="19">
        <v>-4.5312693515037203E-3</v>
      </c>
    </row>
    <row r="2928" spans="8:8" ht="15" customHeight="1" x14ac:dyDescent="0.2">
      <c r="H2928" s="19">
        <v>-5.12431090561263E-3</v>
      </c>
    </row>
    <row r="2929" spans="8:8" ht="15" customHeight="1" x14ac:dyDescent="0.2">
      <c r="H2929" s="19">
        <v>-1.16302828467485E-2</v>
      </c>
    </row>
    <row r="2930" spans="8:8" ht="15" customHeight="1" x14ac:dyDescent="0.2">
      <c r="H2930" s="19">
        <v>-1.19339426763413E-2</v>
      </c>
    </row>
    <row r="2931" spans="8:8" ht="15" customHeight="1" x14ac:dyDescent="0.2">
      <c r="H2931" s="19">
        <v>1.08617667854571E-4</v>
      </c>
    </row>
    <row r="2932" spans="8:8" ht="15" customHeight="1" x14ac:dyDescent="0.2">
      <c r="H2932" s="19">
        <v>4.7060315252870398E-3</v>
      </c>
    </row>
    <row r="2933" spans="8:8" ht="15" customHeight="1" x14ac:dyDescent="0.2">
      <c r="H2933" s="19">
        <v>-1.13014086736783E-2</v>
      </c>
    </row>
    <row r="2934" spans="8:8" ht="15" customHeight="1" x14ac:dyDescent="0.2">
      <c r="H2934" s="19">
        <v>5.6988221574034601E-3</v>
      </c>
    </row>
    <row r="2935" spans="8:8" ht="15" customHeight="1" x14ac:dyDescent="0.2">
      <c r="H2935" s="19">
        <v>-7.1145472645130501E-3</v>
      </c>
    </row>
    <row r="2936" spans="8:8" ht="15" customHeight="1" x14ac:dyDescent="0.2">
      <c r="H2936" s="19">
        <v>3.1246576048420398E-4</v>
      </c>
    </row>
    <row r="2937" spans="8:8" ht="15" customHeight="1" x14ac:dyDescent="0.2">
      <c r="H2937" s="19">
        <v>9.9435395114711193E-4</v>
      </c>
    </row>
    <row r="2938" spans="8:8" ht="15" customHeight="1" x14ac:dyDescent="0.2">
      <c r="H2938" s="19">
        <v>-1.0474765521670501E-2</v>
      </c>
    </row>
    <row r="2939" spans="8:8" ht="15" customHeight="1" x14ac:dyDescent="0.2">
      <c r="H2939" s="19">
        <v>1.4307694605544001E-3</v>
      </c>
    </row>
    <row r="2940" spans="8:8" ht="15" customHeight="1" x14ac:dyDescent="0.2">
      <c r="H2940" s="19">
        <v>1.07054068297237E-2</v>
      </c>
    </row>
    <row r="2941" spans="8:8" ht="15" customHeight="1" x14ac:dyDescent="0.2">
      <c r="H2941" s="19">
        <v>-4.7098443697369697E-3</v>
      </c>
    </row>
    <row r="2942" spans="8:8" ht="15" customHeight="1" x14ac:dyDescent="0.2">
      <c r="H2942" s="19">
        <v>-4.0072599296158697E-4</v>
      </c>
    </row>
    <row r="2943" spans="8:8" ht="15" customHeight="1" x14ac:dyDescent="0.2">
      <c r="H2943" s="19">
        <v>-7.1609104738384497E-4</v>
      </c>
    </row>
    <row r="2944" spans="8:8" ht="15" customHeight="1" x14ac:dyDescent="0.2">
      <c r="H2944" s="19">
        <v>4.9672445073965796E-3</v>
      </c>
    </row>
    <row r="2945" spans="8:8" ht="15" customHeight="1" x14ac:dyDescent="0.2">
      <c r="H2945" s="19">
        <v>-7.4286003740626303E-3</v>
      </c>
    </row>
    <row r="2946" spans="8:8" ht="15" customHeight="1" x14ac:dyDescent="0.2">
      <c r="H2946" s="19">
        <v>1.4034259956204701E-2</v>
      </c>
    </row>
    <row r="2947" spans="8:8" ht="15" customHeight="1" x14ac:dyDescent="0.2">
      <c r="H2947" s="19">
        <v>4.2106827617087303E-3</v>
      </c>
    </row>
    <row r="2948" spans="8:8" ht="15" customHeight="1" x14ac:dyDescent="0.2">
      <c r="H2948" s="19">
        <v>1.1530840690146701E-2</v>
      </c>
    </row>
    <row r="2949" spans="8:8" ht="15" customHeight="1" x14ac:dyDescent="0.2">
      <c r="H2949" s="19">
        <v>-1.4092644715259801E-2</v>
      </c>
    </row>
    <row r="2950" spans="8:8" ht="15" customHeight="1" x14ac:dyDescent="0.2">
      <c r="H2950" s="19">
        <v>-1.56614359273788E-2</v>
      </c>
    </row>
    <row r="2951" spans="8:8" ht="15" customHeight="1" x14ac:dyDescent="0.2">
      <c r="H2951" s="19">
        <v>1.75438929063421E-2</v>
      </c>
    </row>
    <row r="2952" spans="8:8" ht="15" customHeight="1" x14ac:dyDescent="0.2">
      <c r="H2952" s="19">
        <v>7.4184797458507E-4</v>
      </c>
    </row>
    <row r="2953" spans="8:8" ht="15" customHeight="1" x14ac:dyDescent="0.2">
      <c r="H2953" s="19">
        <v>2.5139810197585301E-3</v>
      </c>
    </row>
    <row r="2954" spans="8:8" ht="15" customHeight="1" x14ac:dyDescent="0.2">
      <c r="H2954" s="19">
        <v>-1.1204681199143999E-2</v>
      </c>
    </row>
    <row r="2955" spans="8:8" ht="15" customHeight="1" x14ac:dyDescent="0.2">
      <c r="H2955" s="19">
        <v>-8.6183851621261895E-4</v>
      </c>
    </row>
    <row r="2956" spans="8:8" ht="15" customHeight="1" x14ac:dyDescent="0.2">
      <c r="H2956" s="19">
        <v>-8.6730346194033598E-3</v>
      </c>
    </row>
    <row r="2957" spans="8:8" ht="15" customHeight="1" x14ac:dyDescent="0.2">
      <c r="H2957" s="19">
        <v>8.6076962097919301E-3</v>
      </c>
    </row>
    <row r="2958" spans="8:8" ht="15" customHeight="1" x14ac:dyDescent="0.2">
      <c r="H2958" s="19">
        <v>7.4450593934132798E-3</v>
      </c>
    </row>
    <row r="2959" spans="8:8" ht="15" customHeight="1" x14ac:dyDescent="0.2">
      <c r="H2959" s="19">
        <v>8.1345714349160096E-3</v>
      </c>
    </row>
    <row r="2960" spans="8:8" ht="15" customHeight="1" x14ac:dyDescent="0.2">
      <c r="H2960" s="19">
        <v>1.51974076910008E-3</v>
      </c>
    </row>
    <row r="2961" spans="8:8" ht="15" customHeight="1" x14ac:dyDescent="0.2">
      <c r="H2961" s="19">
        <v>-1.80791728303235E-3</v>
      </c>
    </row>
    <row r="2962" spans="8:8" ht="15" customHeight="1" x14ac:dyDescent="0.2">
      <c r="H2962" s="19">
        <v>-3.7157531894875602E-3</v>
      </c>
    </row>
    <row r="2963" spans="8:8" ht="15" customHeight="1" x14ac:dyDescent="0.2">
      <c r="H2963" s="19">
        <v>-1.3254560542079301E-3</v>
      </c>
    </row>
    <row r="2964" spans="8:8" ht="15" customHeight="1" x14ac:dyDescent="0.2">
      <c r="H2964" s="19">
        <v>2.18881767133377E-2</v>
      </c>
    </row>
    <row r="2965" spans="8:8" ht="15" customHeight="1" x14ac:dyDescent="0.2">
      <c r="H2965" s="19">
        <v>-1.2273049227094201E-2</v>
      </c>
    </row>
    <row r="2966" spans="8:8" ht="15" customHeight="1" x14ac:dyDescent="0.2">
      <c r="H2966" s="19">
        <v>6.9066774367256001E-4</v>
      </c>
    </row>
    <row r="2967" spans="8:8" ht="15" customHeight="1" x14ac:dyDescent="0.2">
      <c r="H2967" s="19">
        <v>-1.1121457831381599E-3</v>
      </c>
    </row>
    <row r="2968" spans="8:8" ht="15" customHeight="1" x14ac:dyDescent="0.2">
      <c r="H2968" s="19">
        <v>4.03299890578629E-3</v>
      </c>
    </row>
    <row r="2969" spans="8:8" ht="15" customHeight="1" x14ac:dyDescent="0.2">
      <c r="H2969" s="19">
        <v>-5.3242967268060104E-3</v>
      </c>
    </row>
    <row r="2970" spans="8:8" ht="15" customHeight="1" x14ac:dyDescent="0.2">
      <c r="H2970" s="19">
        <v>-1.5033316169229601E-3</v>
      </c>
    </row>
    <row r="2971" spans="8:8" ht="15" customHeight="1" x14ac:dyDescent="0.2">
      <c r="H2971" s="19">
        <v>2.5255457911247999E-3</v>
      </c>
    </row>
    <row r="2972" spans="8:8" ht="15" customHeight="1" x14ac:dyDescent="0.2">
      <c r="H2972" s="19">
        <v>8.2067173916515002E-4</v>
      </c>
    </row>
    <row r="2973" spans="8:8" ht="15" customHeight="1" x14ac:dyDescent="0.2">
      <c r="H2973" s="19">
        <v>-1.66040095358664E-3</v>
      </c>
    </row>
    <row r="2974" spans="8:8" ht="15" customHeight="1" x14ac:dyDescent="0.2">
      <c r="H2974" s="19">
        <v>4.8512914486004101E-3</v>
      </c>
    </row>
    <row r="2975" spans="8:8" ht="15" customHeight="1" x14ac:dyDescent="0.2">
      <c r="H2975" s="19">
        <v>9.9220901542147293E-3</v>
      </c>
    </row>
    <row r="2976" spans="8:8" ht="15" customHeight="1" x14ac:dyDescent="0.2">
      <c r="H2976" s="19">
        <v>4.8683959427246399E-3</v>
      </c>
    </row>
    <row r="2977" spans="8:8" ht="15" customHeight="1" x14ac:dyDescent="0.2">
      <c r="H2977" s="19">
        <v>-7.4502917486432801E-4</v>
      </c>
    </row>
    <row r="2978" spans="8:8" ht="15" customHeight="1" x14ac:dyDescent="0.2">
      <c r="H2978" s="19">
        <v>-4.3484479898080698E-3</v>
      </c>
    </row>
    <row r="2979" spans="8:8" ht="15" customHeight="1" x14ac:dyDescent="0.2">
      <c r="H2979" s="19">
        <v>6.3642583350152597E-3</v>
      </c>
    </row>
    <row r="2980" spans="8:8" ht="15" customHeight="1" x14ac:dyDescent="0.2">
      <c r="H2980" s="19">
        <v>4.5260680099742396E-3</v>
      </c>
    </row>
    <row r="2981" spans="8:8" ht="15" customHeight="1" x14ac:dyDescent="0.2">
      <c r="H2981" s="19">
        <v>-9.3789592989949998E-3</v>
      </c>
    </row>
    <row r="2982" spans="8:8" ht="15" customHeight="1" x14ac:dyDescent="0.2">
      <c r="H2982" s="19">
        <v>-7.2206124114597503E-3</v>
      </c>
    </row>
    <row r="2983" spans="8:8" ht="15" customHeight="1" x14ac:dyDescent="0.2">
      <c r="H2983" s="19">
        <v>2.7838204232276901E-3</v>
      </c>
    </row>
    <row r="2984" spans="8:8" ht="15" customHeight="1" x14ac:dyDescent="0.2">
      <c r="H2984" s="19">
        <v>9.3089184288351196E-3</v>
      </c>
    </row>
    <row r="2985" spans="8:8" ht="15" customHeight="1" x14ac:dyDescent="0.2">
      <c r="H2985" s="19">
        <v>2.54493112016953E-3</v>
      </c>
    </row>
    <row r="2986" spans="8:8" ht="15" customHeight="1" x14ac:dyDescent="0.2">
      <c r="H2986" s="19">
        <v>-4.4116330514075604E-3</v>
      </c>
    </row>
    <row r="2987" spans="8:8" ht="15" customHeight="1" x14ac:dyDescent="0.2">
      <c r="H2987" s="19">
        <v>-1.11024864721452E-2</v>
      </c>
    </row>
    <row r="2988" spans="8:8" ht="15" customHeight="1" x14ac:dyDescent="0.2">
      <c r="H2988" s="19">
        <v>-1.94508861748127E-2</v>
      </c>
    </row>
    <row r="2989" spans="8:8" ht="15" customHeight="1" x14ac:dyDescent="0.2">
      <c r="H2989" s="19">
        <v>8.9232188523467003E-3</v>
      </c>
    </row>
    <row r="2990" spans="8:8" ht="15" customHeight="1" x14ac:dyDescent="0.2">
      <c r="H2990" s="19">
        <v>1.1793290105582501E-2</v>
      </c>
    </row>
    <row r="2991" spans="8:8" ht="15" customHeight="1" x14ac:dyDescent="0.2">
      <c r="H2991" s="19">
        <v>-1.2209947341617899E-2</v>
      </c>
    </row>
    <row r="2992" spans="8:8" ht="15" customHeight="1" x14ac:dyDescent="0.2">
      <c r="H2992" s="19">
        <v>1.02030973840935E-3</v>
      </c>
    </row>
    <row r="2993" spans="8:8" ht="15" customHeight="1" x14ac:dyDescent="0.2">
      <c r="H2993" s="19">
        <v>8.5216213500098493E-3</v>
      </c>
    </row>
    <row r="2994" spans="8:8" ht="15" customHeight="1" x14ac:dyDescent="0.2">
      <c r="H2994" s="19">
        <v>2.44856961430513E-3</v>
      </c>
    </row>
    <row r="2995" spans="8:8" ht="15" customHeight="1" x14ac:dyDescent="0.2">
      <c r="H2995" s="19">
        <v>1.15334767898429E-2</v>
      </c>
    </row>
    <row r="2996" spans="8:8" ht="15" customHeight="1" x14ac:dyDescent="0.2">
      <c r="H2996" s="19">
        <v>2.2866268569172602E-3</v>
      </c>
    </row>
    <row r="2997" spans="8:8" ht="15" customHeight="1" x14ac:dyDescent="0.2">
      <c r="H2997" s="19">
        <v>1.5788023246319099E-2</v>
      </c>
    </row>
    <row r="2998" spans="8:8" ht="15" customHeight="1" x14ac:dyDescent="0.2">
      <c r="H2998" s="19">
        <v>-6.9479260319660601E-3</v>
      </c>
    </row>
    <row r="2999" spans="8:8" ht="15" customHeight="1" x14ac:dyDescent="0.2">
      <c r="H2999" s="19">
        <v>-2.7225041043293399E-2</v>
      </c>
    </row>
    <row r="3000" spans="8:8" ht="15" customHeight="1" x14ac:dyDescent="0.2">
      <c r="H3000" s="19">
        <v>5.6558394602251698E-3</v>
      </c>
    </row>
    <row r="3001" spans="8:8" ht="15" customHeight="1" x14ac:dyDescent="0.2">
      <c r="H3001" s="19">
        <v>-1.0012060106329101E-3</v>
      </c>
    </row>
    <row r="3002" spans="8:8" ht="15" customHeight="1" x14ac:dyDescent="0.2">
      <c r="H3002" s="19">
        <v>-5.8143609917045303E-3</v>
      </c>
    </row>
    <row r="3003" spans="8:8" ht="15" customHeight="1" x14ac:dyDescent="0.2">
      <c r="H3003" s="19">
        <v>-6.5736495887988296E-4</v>
      </c>
    </row>
    <row r="3004" spans="8:8" ht="15" customHeight="1" x14ac:dyDescent="0.2">
      <c r="H3004" s="19">
        <v>5.6999338802055004E-3</v>
      </c>
    </row>
    <row r="3005" spans="8:8" ht="15" customHeight="1" x14ac:dyDescent="0.2">
      <c r="H3005" s="19">
        <v>4.35935244384181E-3</v>
      </c>
    </row>
    <row r="3006" spans="8:8" ht="15" customHeight="1" x14ac:dyDescent="0.2">
      <c r="H3006" s="19">
        <v>-4.1105665920724297E-3</v>
      </c>
    </row>
    <row r="3007" spans="8:8" ht="15" customHeight="1" x14ac:dyDescent="0.2">
      <c r="H3007" s="19">
        <v>4.7041074149288499E-3</v>
      </c>
    </row>
    <row r="3008" spans="8:8" ht="15" customHeight="1" x14ac:dyDescent="0.2">
      <c r="H3008" s="19">
        <v>-7.7863483913513899E-3</v>
      </c>
    </row>
    <row r="3009" spans="8:8" ht="15" customHeight="1" x14ac:dyDescent="0.2">
      <c r="H3009" s="19">
        <v>1.0577374620568099E-2</v>
      </c>
    </row>
    <row r="3010" spans="8:8" ht="15" customHeight="1" x14ac:dyDescent="0.2">
      <c r="H3010" s="19">
        <v>3.7702391993836001E-4</v>
      </c>
    </row>
    <row r="3011" spans="8:8" ht="15" customHeight="1" x14ac:dyDescent="0.2">
      <c r="H3011" s="19">
        <v>6.3784500963909698E-3</v>
      </c>
    </row>
    <row r="3012" spans="8:8" ht="15" customHeight="1" x14ac:dyDescent="0.2">
      <c r="H3012" s="19">
        <v>-1.95992488838436E-3</v>
      </c>
    </row>
    <row r="3013" spans="8:8" ht="15" customHeight="1" x14ac:dyDescent="0.2">
      <c r="H3013" s="19">
        <v>-1.6174916951273599E-2</v>
      </c>
    </row>
    <row r="3014" spans="8:8" ht="15" customHeight="1" x14ac:dyDescent="0.2">
      <c r="H3014" s="19">
        <v>-8.5498033789215E-3</v>
      </c>
    </row>
    <row r="3015" spans="8:8" ht="15" customHeight="1" x14ac:dyDescent="0.2">
      <c r="H3015" s="19">
        <v>-7.8354247663599899E-3</v>
      </c>
    </row>
    <row r="3016" spans="8:8" ht="15" customHeight="1" x14ac:dyDescent="0.2">
      <c r="H3016" s="19">
        <v>9.6769427408559695E-3</v>
      </c>
    </row>
    <row r="3017" spans="8:8" ht="15" customHeight="1" x14ac:dyDescent="0.2">
      <c r="H3017" s="19">
        <v>9.5826567090018105E-3</v>
      </c>
    </row>
    <row r="3018" spans="8:8" ht="15" customHeight="1" x14ac:dyDescent="0.2">
      <c r="H3018" s="19">
        <v>-6.6008720262479802E-3</v>
      </c>
    </row>
    <row r="3019" spans="8:8" ht="15" customHeight="1" x14ac:dyDescent="0.2">
      <c r="H3019" s="19">
        <v>-7.9607353870141308E-3</v>
      </c>
    </row>
    <row r="3020" spans="8:8" ht="15" customHeight="1" x14ac:dyDescent="0.2">
      <c r="H3020" s="19">
        <v>2.3594546528975702E-3</v>
      </c>
    </row>
    <row r="3021" spans="8:8" ht="15" customHeight="1" x14ac:dyDescent="0.2">
      <c r="H3021" s="19">
        <v>-1.7433020135013101E-3</v>
      </c>
    </row>
    <row r="3022" spans="8:8" ht="15" customHeight="1" x14ac:dyDescent="0.2">
      <c r="H3022" s="19">
        <v>-1.07371753139673E-2</v>
      </c>
    </row>
    <row r="3023" spans="8:8" ht="15" customHeight="1" x14ac:dyDescent="0.2">
      <c r="H3023" s="19">
        <v>3.81741378847863E-3</v>
      </c>
    </row>
    <row r="3024" spans="8:8" ht="15" customHeight="1" x14ac:dyDescent="0.2">
      <c r="H3024" s="19">
        <v>-7.33557779284292E-3</v>
      </c>
    </row>
    <row r="3025" spans="8:8" ht="15" customHeight="1" x14ac:dyDescent="0.2">
      <c r="H3025" s="19">
        <v>7.4163780320358596E-4</v>
      </c>
    </row>
    <row r="3026" spans="8:8" ht="15" customHeight="1" x14ac:dyDescent="0.2">
      <c r="H3026" s="19">
        <v>-1.1260410955814299E-2</v>
      </c>
    </row>
    <row r="3027" spans="8:8" ht="15" customHeight="1" x14ac:dyDescent="0.2">
      <c r="H3027" s="19">
        <v>1.8381045575229401E-2</v>
      </c>
    </row>
    <row r="3028" spans="8:8" ht="15" customHeight="1" x14ac:dyDescent="0.2">
      <c r="H3028" s="19">
        <v>-3.16078365183585E-4</v>
      </c>
    </row>
    <row r="3029" spans="8:8" ht="15" customHeight="1" x14ac:dyDescent="0.2">
      <c r="H3029" s="19">
        <v>1.1402657413311999E-5</v>
      </c>
    </row>
    <row r="3030" spans="8:8" ht="15" customHeight="1" x14ac:dyDescent="0.2">
      <c r="H3030" s="19">
        <v>4.12407625682159E-3</v>
      </c>
    </row>
    <row r="3031" spans="8:8" ht="15" customHeight="1" x14ac:dyDescent="0.2">
      <c r="H3031" s="19">
        <v>-1.78209372795203E-3</v>
      </c>
    </row>
    <row r="3032" spans="8:8" ht="15" customHeight="1" x14ac:dyDescent="0.2">
      <c r="H3032" s="19">
        <v>-8.51030963838122E-3</v>
      </c>
    </row>
    <row r="3033" spans="8:8" ht="15" customHeight="1" x14ac:dyDescent="0.2">
      <c r="H3033" s="19">
        <v>-6.0895176573286698E-3</v>
      </c>
    </row>
    <row r="3034" spans="8:8" ht="15" customHeight="1" x14ac:dyDescent="0.2">
      <c r="H3034" s="19">
        <v>-1.09482467437293E-2</v>
      </c>
    </row>
    <row r="3035" spans="8:8" ht="15" customHeight="1" x14ac:dyDescent="0.2">
      <c r="H3035" s="19">
        <v>9.8588891344810609E-3</v>
      </c>
    </row>
    <row r="3036" spans="8:8" ht="15" customHeight="1" x14ac:dyDescent="0.2">
      <c r="H3036" s="19">
        <v>1.8969846596763201E-3</v>
      </c>
    </row>
    <row r="3037" spans="8:8" ht="15" customHeight="1" x14ac:dyDescent="0.2">
      <c r="H3037" s="19">
        <v>1.4039002496954899E-2</v>
      </c>
    </row>
    <row r="3038" spans="8:8" ht="15" customHeight="1" x14ac:dyDescent="0.2">
      <c r="H3038" s="19">
        <v>1.4267456792201199E-3</v>
      </c>
    </row>
    <row r="3039" spans="8:8" ht="15" customHeight="1" x14ac:dyDescent="0.2">
      <c r="H3039" s="19">
        <v>7.8855584312766402E-3</v>
      </c>
    </row>
    <row r="3040" spans="8:8" ht="15" customHeight="1" x14ac:dyDescent="0.2">
      <c r="H3040" s="19">
        <v>-8.8575431964538903E-3</v>
      </c>
    </row>
    <row r="3041" spans="8:8" ht="15" customHeight="1" x14ac:dyDescent="0.2">
      <c r="H3041" s="19">
        <v>-1.47165151086126E-3</v>
      </c>
    </row>
    <row r="3042" spans="8:8" ht="15" customHeight="1" x14ac:dyDescent="0.2">
      <c r="H3042" s="19">
        <v>2.5235111512465699E-3</v>
      </c>
    </row>
    <row r="3043" spans="8:8" ht="15" customHeight="1" x14ac:dyDescent="0.2">
      <c r="H3043" s="19">
        <v>-1.49642892575855E-2</v>
      </c>
    </row>
    <row r="3044" spans="8:8" ht="15" customHeight="1" x14ac:dyDescent="0.2">
      <c r="H3044" s="19">
        <v>-1.21139592527437E-3</v>
      </c>
    </row>
    <row r="3045" spans="8:8" ht="15" customHeight="1" x14ac:dyDescent="0.2">
      <c r="H3045" s="19">
        <v>2.2415711408196801E-2</v>
      </c>
    </row>
    <row r="3046" spans="8:8" ht="15" customHeight="1" x14ac:dyDescent="0.2">
      <c r="H3046" s="19">
        <v>2.2583189723344901E-2</v>
      </c>
    </row>
    <row r="3047" spans="8:8" ht="15" customHeight="1" x14ac:dyDescent="0.2">
      <c r="H3047" s="19">
        <v>-5.9104638720099503E-4</v>
      </c>
    </row>
    <row r="3048" spans="8:8" ht="15" customHeight="1" x14ac:dyDescent="0.2">
      <c r="H3048" s="19">
        <v>-9.2823783118616606E-3</v>
      </c>
    </row>
    <row r="3049" spans="8:8" ht="15" customHeight="1" x14ac:dyDescent="0.2">
      <c r="H3049" s="19">
        <v>1.58508682720447E-2</v>
      </c>
    </row>
    <row r="3050" spans="8:8" ht="15" customHeight="1" x14ac:dyDescent="0.2">
      <c r="H3050" s="19">
        <v>-4.2862797475010901E-3</v>
      </c>
    </row>
    <row r="3051" spans="8:8" ht="15" customHeight="1" x14ac:dyDescent="0.2">
      <c r="H3051" s="19">
        <v>7.0194124097513397E-3</v>
      </c>
    </row>
    <row r="3052" spans="8:8" ht="15" customHeight="1" x14ac:dyDescent="0.2">
      <c r="H3052" s="19">
        <v>-5.1112277567940904E-3</v>
      </c>
    </row>
    <row r="3053" spans="8:8" ht="15" customHeight="1" x14ac:dyDescent="0.2">
      <c r="H3053" s="19">
        <v>-1.5658512964584599E-2</v>
      </c>
    </row>
    <row r="3054" spans="8:8" ht="15" customHeight="1" x14ac:dyDescent="0.2">
      <c r="H3054" s="19">
        <v>-7.8069437067581999E-3</v>
      </c>
    </row>
    <row r="3055" spans="8:8" ht="15" customHeight="1" x14ac:dyDescent="0.2">
      <c r="H3055" s="19">
        <v>1.65032138346645E-2</v>
      </c>
    </row>
    <row r="3056" spans="8:8" ht="15" customHeight="1" x14ac:dyDescent="0.2">
      <c r="H3056" s="19">
        <v>4.1083344358551601E-3</v>
      </c>
    </row>
    <row r="3057" spans="8:8" ht="15" customHeight="1" x14ac:dyDescent="0.2">
      <c r="H3057" s="19">
        <v>-5.0417872001233101E-3</v>
      </c>
    </row>
    <row r="3058" spans="8:8" ht="15" customHeight="1" x14ac:dyDescent="0.2">
      <c r="H3058" s="19">
        <v>4.2821062237241104E-3</v>
      </c>
    </row>
    <row r="3059" spans="8:8" ht="15" customHeight="1" x14ac:dyDescent="0.2">
      <c r="H3059" s="19">
        <v>-6.9533557336846101E-3</v>
      </c>
    </row>
    <row r="3060" spans="8:8" ht="15" customHeight="1" x14ac:dyDescent="0.2">
      <c r="H3060" s="19">
        <v>8.6402185043486495E-3</v>
      </c>
    </row>
    <row r="3061" spans="8:8" ht="15" customHeight="1" x14ac:dyDescent="0.2">
      <c r="H3061" s="19">
        <v>-2.02668277959576E-2</v>
      </c>
    </row>
    <row r="3062" spans="8:8" ht="15" customHeight="1" x14ac:dyDescent="0.2">
      <c r="H3062" s="19">
        <v>1.00884982741928E-2</v>
      </c>
    </row>
    <row r="3063" spans="8:8" ht="15" customHeight="1" x14ac:dyDescent="0.2">
      <c r="H3063" s="19">
        <v>-2.1366377373585901E-2</v>
      </c>
    </row>
    <row r="3064" spans="8:8" ht="15" customHeight="1" x14ac:dyDescent="0.2">
      <c r="H3064" s="19">
        <v>-4.4131172191483603E-3</v>
      </c>
    </row>
    <row r="3065" spans="8:8" ht="15" customHeight="1" x14ac:dyDescent="0.2">
      <c r="H3065" s="19">
        <v>-2.22519681156466E-2</v>
      </c>
    </row>
    <row r="3066" spans="8:8" ht="15" customHeight="1" x14ac:dyDescent="0.2">
      <c r="H3066" s="19">
        <v>-8.4264291098413505E-3</v>
      </c>
    </row>
    <row r="3067" spans="8:8" ht="15" customHeight="1" x14ac:dyDescent="0.2">
      <c r="H3067" s="19">
        <v>1.7633356237139498E-2</v>
      </c>
    </row>
    <row r="3068" spans="8:8" ht="15" customHeight="1" x14ac:dyDescent="0.2">
      <c r="H3068" s="19">
        <v>1.4973931659556201E-2</v>
      </c>
    </row>
    <row r="3069" spans="8:8" ht="15" customHeight="1" x14ac:dyDescent="0.2">
      <c r="H3069" s="19">
        <v>1.2471988202935699E-2</v>
      </c>
    </row>
    <row r="3070" spans="8:8" ht="15" customHeight="1" x14ac:dyDescent="0.2">
      <c r="H3070" s="19">
        <v>4.91210923248312E-3</v>
      </c>
    </row>
    <row r="3071" spans="8:8" ht="15" customHeight="1" x14ac:dyDescent="0.2">
      <c r="H3071" s="19">
        <v>1.21730958343864E-3</v>
      </c>
    </row>
    <row r="3072" spans="8:8" ht="15" customHeight="1" x14ac:dyDescent="0.2">
      <c r="H3072" s="19">
        <v>-1.79443556618685E-2</v>
      </c>
    </row>
    <row r="3073" spans="8:8" ht="15" customHeight="1" x14ac:dyDescent="0.2">
      <c r="H3073" s="19">
        <v>-3.2294747450251602E-4</v>
      </c>
    </row>
    <row r="3074" spans="8:8" ht="15" customHeight="1" x14ac:dyDescent="0.2">
      <c r="H3074" s="19">
        <v>4.9985064685556801E-3</v>
      </c>
    </row>
    <row r="3075" spans="8:8" ht="15" customHeight="1" x14ac:dyDescent="0.2">
      <c r="H3075" s="19">
        <v>-1.4211615327707599E-2</v>
      </c>
    </row>
    <row r="3076" spans="8:8" ht="15" customHeight="1" x14ac:dyDescent="0.2">
      <c r="H3076" s="19">
        <v>6.1190763722229601E-3</v>
      </c>
    </row>
    <row r="3077" spans="8:8" ht="15" customHeight="1" x14ac:dyDescent="0.2">
      <c r="H3077" s="19">
        <v>-2.5163860287976902E-3</v>
      </c>
    </row>
    <row r="3078" spans="8:8" ht="15" customHeight="1" x14ac:dyDescent="0.2">
      <c r="H3078" s="19">
        <v>9.6049875291128097E-3</v>
      </c>
    </row>
    <row r="3079" spans="8:8" ht="15" customHeight="1" x14ac:dyDescent="0.2">
      <c r="H3079" s="19">
        <v>-1.0426946003017501E-2</v>
      </c>
    </row>
    <row r="3080" spans="8:8" ht="15" customHeight="1" x14ac:dyDescent="0.2">
      <c r="H3080" s="19">
        <v>1.19607053215336E-2</v>
      </c>
    </row>
    <row r="3081" spans="8:8" ht="15" customHeight="1" x14ac:dyDescent="0.2">
      <c r="H3081" s="19">
        <v>-1.86794522024397E-2</v>
      </c>
    </row>
    <row r="3082" spans="8:8" ht="15" customHeight="1" x14ac:dyDescent="0.2">
      <c r="H3082" s="19">
        <v>-5.5267757620540798E-3</v>
      </c>
    </row>
    <row r="3083" spans="8:8" ht="15" customHeight="1" x14ac:dyDescent="0.2">
      <c r="H3083" s="19">
        <v>-8.7082786452454802E-3</v>
      </c>
    </row>
    <row r="3084" spans="8:8" ht="15" customHeight="1" x14ac:dyDescent="0.2">
      <c r="H3084" s="19">
        <v>4.9353930575006802E-3</v>
      </c>
    </row>
    <row r="3085" spans="8:8" ht="15" customHeight="1" x14ac:dyDescent="0.2">
      <c r="H3085" s="19">
        <v>-4.0409038601211499E-3</v>
      </c>
    </row>
    <row r="3086" spans="8:8" ht="15" customHeight="1" x14ac:dyDescent="0.2">
      <c r="H3086" s="19">
        <v>1.7058585091234799E-3</v>
      </c>
    </row>
    <row r="3087" spans="8:8" ht="15" customHeight="1" x14ac:dyDescent="0.2">
      <c r="H3087" s="19">
        <v>5.7597035446261702E-3</v>
      </c>
    </row>
    <row r="3088" spans="8:8" ht="15" customHeight="1" x14ac:dyDescent="0.2">
      <c r="H3088" s="19">
        <v>6.89085554901316E-3</v>
      </c>
    </row>
    <row r="3089" spans="8:8" ht="15" customHeight="1" x14ac:dyDescent="0.2">
      <c r="H3089" s="19">
        <v>1.0247977492684799E-2</v>
      </c>
    </row>
    <row r="3090" spans="8:8" ht="15" customHeight="1" x14ac:dyDescent="0.2">
      <c r="H3090" s="19">
        <v>2.2366692511977999E-2</v>
      </c>
    </row>
    <row r="3091" spans="8:8" ht="15" customHeight="1" x14ac:dyDescent="0.2">
      <c r="H3091" s="19">
        <v>5.57369589330206E-3</v>
      </c>
    </row>
    <row r="3092" spans="8:8" ht="15" customHeight="1" x14ac:dyDescent="0.2">
      <c r="H3092" s="19">
        <v>-1.6767432617175899E-2</v>
      </c>
    </row>
    <row r="3093" spans="8:8" ht="15" customHeight="1" x14ac:dyDescent="0.2">
      <c r="H3093" s="19">
        <v>-2.15826733091961E-3</v>
      </c>
    </row>
    <row r="3094" spans="8:8" ht="15" customHeight="1" x14ac:dyDescent="0.2">
      <c r="H3094" s="19">
        <v>-8.3085204343128199E-3</v>
      </c>
    </row>
    <row r="3095" spans="8:8" ht="15" customHeight="1" x14ac:dyDescent="0.2">
      <c r="H3095" s="19">
        <v>-1.5101362621201199E-3</v>
      </c>
    </row>
    <row r="3096" spans="8:8" ht="15" customHeight="1" x14ac:dyDescent="0.2">
      <c r="H3096" s="19">
        <v>2.94694610591741E-3</v>
      </c>
    </row>
    <row r="3097" spans="8:8" ht="15" customHeight="1" x14ac:dyDescent="0.2">
      <c r="H3097" s="19">
        <v>-3.7861306065382601E-3</v>
      </c>
    </row>
    <row r="3098" spans="8:8" ht="15" customHeight="1" x14ac:dyDescent="0.2">
      <c r="H3098" s="19">
        <v>4.1812949241231603E-3</v>
      </c>
    </row>
    <row r="3099" spans="8:8" ht="15" customHeight="1" x14ac:dyDescent="0.2">
      <c r="H3099" s="19">
        <v>5.4107634390648598E-3</v>
      </c>
    </row>
    <row r="3100" spans="8:8" ht="15" customHeight="1" x14ac:dyDescent="0.2">
      <c r="H3100" s="19">
        <v>-9.5703197435102593E-3</v>
      </c>
    </row>
    <row r="3101" spans="8:8" ht="15" customHeight="1" x14ac:dyDescent="0.2">
      <c r="H3101" s="19">
        <v>-1.47005026883594E-2</v>
      </c>
    </row>
    <row r="3102" spans="8:8" ht="15" customHeight="1" x14ac:dyDescent="0.2">
      <c r="H3102" s="19">
        <v>-7.7540337790197198E-3</v>
      </c>
    </row>
    <row r="3103" spans="8:8" ht="15" customHeight="1" x14ac:dyDescent="0.2">
      <c r="H3103" s="19">
        <v>2.0362080310252301E-2</v>
      </c>
    </row>
    <row r="3104" spans="8:8" ht="15" customHeight="1" x14ac:dyDescent="0.2">
      <c r="H3104" s="19">
        <v>1.08969152114407E-2</v>
      </c>
    </row>
    <row r="3105" spans="8:8" ht="15" customHeight="1" x14ac:dyDescent="0.2">
      <c r="H3105" s="19">
        <v>-4.6168183929762704E-3</v>
      </c>
    </row>
    <row r="3106" spans="8:8" ht="15" customHeight="1" x14ac:dyDescent="0.2">
      <c r="H3106" s="19">
        <v>3.8661221508262201E-3</v>
      </c>
    </row>
    <row r="3107" spans="8:8" ht="15" customHeight="1" x14ac:dyDescent="0.2">
      <c r="H3107" s="19">
        <v>1.43929368909478E-2</v>
      </c>
    </row>
    <row r="3108" spans="8:8" ht="15" customHeight="1" x14ac:dyDescent="0.2">
      <c r="H3108" s="19">
        <v>5.5821467100508199E-3</v>
      </c>
    </row>
    <row r="3109" spans="8:8" ht="15" customHeight="1" x14ac:dyDescent="0.2">
      <c r="H3109" s="19">
        <v>2.6188887420861302E-3</v>
      </c>
    </row>
    <row r="3110" spans="8:8" ht="15" customHeight="1" x14ac:dyDescent="0.2">
      <c r="H3110" s="19">
        <v>1.5378887193635501E-2</v>
      </c>
    </row>
    <row r="3111" spans="8:8" ht="15" customHeight="1" x14ac:dyDescent="0.2">
      <c r="H3111" s="19">
        <v>-1.8886670632089801E-3</v>
      </c>
    </row>
    <row r="3112" spans="8:8" ht="15" customHeight="1" x14ac:dyDescent="0.2">
      <c r="H3112" s="19">
        <v>-6.5651250361607597E-4</v>
      </c>
    </row>
    <row r="3113" spans="8:8" ht="15" customHeight="1" x14ac:dyDescent="0.2">
      <c r="H3113" s="19">
        <v>4.2329743796509101E-3</v>
      </c>
    </row>
    <row r="3114" spans="8:8" ht="15" customHeight="1" x14ac:dyDescent="0.2">
      <c r="H3114" s="19">
        <v>-1.5816131995208601E-3</v>
      </c>
    </row>
    <row r="3115" spans="8:8" ht="15" customHeight="1" x14ac:dyDescent="0.2">
      <c r="H3115" s="19">
        <v>-3.1757712303488801E-3</v>
      </c>
    </row>
    <row r="3116" spans="8:8" ht="15" customHeight="1" x14ac:dyDescent="0.2">
      <c r="H3116" s="19">
        <v>-5.3012283043791502E-3</v>
      </c>
    </row>
    <row r="3117" spans="8:8" ht="15" customHeight="1" x14ac:dyDescent="0.2">
      <c r="H3117" s="19">
        <v>1.0595256733309201E-2</v>
      </c>
    </row>
    <row r="3118" spans="8:8" ht="15" customHeight="1" x14ac:dyDescent="0.2">
      <c r="H3118" s="19">
        <v>-8.36998095675648E-4</v>
      </c>
    </row>
    <row r="3119" spans="8:8" ht="15" customHeight="1" x14ac:dyDescent="0.2">
      <c r="H3119" s="19">
        <v>-1.7248231605215901E-2</v>
      </c>
    </row>
    <row r="3120" spans="8:8" ht="15" customHeight="1" x14ac:dyDescent="0.2">
      <c r="H3120" s="19">
        <v>-2.6931547581873199E-3</v>
      </c>
    </row>
    <row r="3121" spans="8:8" ht="15" customHeight="1" x14ac:dyDescent="0.2">
      <c r="H3121" s="19">
        <v>2.3934985419446302E-3</v>
      </c>
    </row>
    <row r="3122" spans="8:8" ht="15" customHeight="1" x14ac:dyDescent="0.2">
      <c r="H3122" s="19">
        <v>4.2201180328128099E-3</v>
      </c>
    </row>
    <row r="3123" spans="8:8" ht="15" customHeight="1" x14ac:dyDescent="0.2">
      <c r="H3123" s="19">
        <v>1.0891422809339499E-2</v>
      </c>
    </row>
    <row r="3124" spans="8:8" ht="15" customHeight="1" x14ac:dyDescent="0.2">
      <c r="H3124" s="19">
        <v>-2.1941535144129002E-3</v>
      </c>
    </row>
    <row r="3125" spans="8:8" ht="15" customHeight="1" x14ac:dyDescent="0.2">
      <c r="H3125" s="19">
        <v>1.36940532654769E-2</v>
      </c>
    </row>
    <row r="3126" spans="8:8" ht="15" customHeight="1" x14ac:dyDescent="0.2">
      <c r="H3126" s="19">
        <v>-1.0030411508521299E-2</v>
      </c>
    </row>
    <row r="3127" spans="8:8" ht="15" customHeight="1" x14ac:dyDescent="0.2">
      <c r="H3127" s="19">
        <v>-1.5357711844027999E-3</v>
      </c>
    </row>
    <row r="3128" spans="8:8" ht="15" customHeight="1" x14ac:dyDescent="0.2">
      <c r="H3128" s="19">
        <v>-1.0790886560626399E-3</v>
      </c>
    </row>
    <row r="3129" spans="8:8" ht="15" customHeight="1" x14ac:dyDescent="0.2">
      <c r="H3129" s="19">
        <v>1.41973897012677E-2</v>
      </c>
    </row>
    <row r="3130" spans="8:8" ht="15" customHeight="1" x14ac:dyDescent="0.2">
      <c r="H3130" s="19">
        <v>1.9733449086217101E-3</v>
      </c>
    </row>
    <row r="3131" spans="8:8" ht="15" customHeight="1" x14ac:dyDescent="0.2">
      <c r="H3131" s="19">
        <v>-9.7838950211116497E-3</v>
      </c>
    </row>
    <row r="3132" spans="8:8" ht="15" customHeight="1" x14ac:dyDescent="0.2">
      <c r="H3132" s="19">
        <v>2.37397998143914E-3</v>
      </c>
    </row>
    <row r="3133" spans="8:8" ht="15" customHeight="1" x14ac:dyDescent="0.2">
      <c r="H3133" s="19">
        <v>7.6169715160163496E-3</v>
      </c>
    </row>
    <row r="3134" spans="8:8" ht="15" customHeight="1" x14ac:dyDescent="0.2">
      <c r="H3134" s="19">
        <v>-6.7582164416999397E-3</v>
      </c>
    </row>
    <row r="3135" spans="8:8" ht="15" customHeight="1" x14ac:dyDescent="0.2">
      <c r="H3135" s="19">
        <v>-4.4161921601134999E-3</v>
      </c>
    </row>
    <row r="3136" spans="8:8" ht="15" customHeight="1" x14ac:dyDescent="0.2">
      <c r="H3136" s="19">
        <v>-6.0256847271698303E-3</v>
      </c>
    </row>
    <row r="3137" spans="8:8" ht="15" customHeight="1" x14ac:dyDescent="0.2">
      <c r="H3137" s="19">
        <v>1.03912332136474E-2</v>
      </c>
    </row>
    <row r="3138" spans="8:8" ht="15" customHeight="1" x14ac:dyDescent="0.2">
      <c r="H3138" s="19">
        <v>8.5850125438853304E-3</v>
      </c>
    </row>
    <row r="3139" spans="8:8" ht="15" customHeight="1" x14ac:dyDescent="0.2">
      <c r="H3139" s="19">
        <v>-2.5794770980779399E-4</v>
      </c>
    </row>
    <row r="3140" spans="8:8" ht="15" customHeight="1" x14ac:dyDescent="0.2">
      <c r="H3140" s="19">
        <v>-5.8981577796866002E-3</v>
      </c>
    </row>
    <row r="3141" spans="8:8" ht="15" customHeight="1" x14ac:dyDescent="0.2">
      <c r="H3141" s="19">
        <v>9.8582971737020699E-4</v>
      </c>
    </row>
    <row r="3142" spans="8:8" ht="15" customHeight="1" x14ac:dyDescent="0.2">
      <c r="H3142" s="19">
        <v>2.2059522828062599E-3</v>
      </c>
    </row>
    <row r="3143" spans="8:8" ht="15" customHeight="1" x14ac:dyDescent="0.2">
      <c r="H3143" s="19">
        <v>1.11662821541312E-2</v>
      </c>
    </row>
    <row r="3144" spans="8:8" ht="15" customHeight="1" x14ac:dyDescent="0.2">
      <c r="H3144" s="19">
        <v>1.8259382848260799E-2</v>
      </c>
    </row>
    <row r="3145" spans="8:8" ht="15" customHeight="1" x14ac:dyDescent="0.2">
      <c r="H3145" s="19">
        <v>2.8497079582367601E-4</v>
      </c>
    </row>
    <row r="3146" spans="8:8" ht="15" customHeight="1" x14ac:dyDescent="0.2">
      <c r="H3146" s="19">
        <v>-1.31609213619384E-2</v>
      </c>
    </row>
    <row r="3147" spans="8:8" ht="15" customHeight="1" x14ac:dyDescent="0.2">
      <c r="H3147" s="19">
        <v>-1.21581647234797E-3</v>
      </c>
    </row>
    <row r="3148" spans="8:8" ht="15" customHeight="1" x14ac:dyDescent="0.2">
      <c r="H3148" s="19">
        <v>5.6407481999603999E-3</v>
      </c>
    </row>
    <row r="3149" spans="8:8" ht="15" customHeight="1" x14ac:dyDescent="0.2">
      <c r="H3149" s="19">
        <v>1.5850587692354701E-2</v>
      </c>
    </row>
    <row r="3150" spans="8:8" ht="15" customHeight="1" x14ac:dyDescent="0.2">
      <c r="H3150" s="19">
        <v>-3.6054555227520401E-4</v>
      </c>
    </row>
    <row r="3151" spans="8:8" ht="15" customHeight="1" x14ac:dyDescent="0.2">
      <c r="H3151" s="19">
        <v>-2.0256020419815498E-3</v>
      </c>
    </row>
    <row r="3152" spans="8:8" ht="15" customHeight="1" x14ac:dyDescent="0.2">
      <c r="H3152" s="19">
        <v>-1.0676224532573801E-2</v>
      </c>
    </row>
    <row r="3153" spans="8:8" ht="15" customHeight="1" x14ac:dyDescent="0.2">
      <c r="H3153" s="19">
        <v>-8.3644260233682096E-3</v>
      </c>
    </row>
    <row r="3154" spans="8:8" ht="15" customHeight="1" x14ac:dyDescent="0.2">
      <c r="H3154" s="19">
        <v>1.9251634531202402E-2</v>
      </c>
    </row>
    <row r="3155" spans="8:8" ht="15" customHeight="1" x14ac:dyDescent="0.2">
      <c r="H3155" s="19">
        <v>1.12227847251095E-2</v>
      </c>
    </row>
    <row r="3156" spans="8:8" ht="15" customHeight="1" x14ac:dyDescent="0.2">
      <c r="H3156" s="19">
        <v>-1.67282604326323E-2</v>
      </c>
    </row>
    <row r="3157" spans="8:8" ht="15" customHeight="1" x14ac:dyDescent="0.2">
      <c r="H3157" s="19">
        <v>5.7130614028644503E-3</v>
      </c>
    </row>
    <row r="3158" spans="8:8" ht="15" customHeight="1" x14ac:dyDescent="0.2">
      <c r="H3158" s="19">
        <v>2.1273084001648401E-2</v>
      </c>
    </row>
    <row r="3159" spans="8:8" ht="15" customHeight="1" x14ac:dyDescent="0.2">
      <c r="H3159" s="19">
        <v>-6.1750728628349899E-5</v>
      </c>
    </row>
    <row r="3160" spans="8:8" ht="15" customHeight="1" x14ac:dyDescent="0.2">
      <c r="H3160" s="19">
        <v>4.5333659164162503E-3</v>
      </c>
    </row>
    <row r="3161" spans="8:8" ht="15" customHeight="1" x14ac:dyDescent="0.2">
      <c r="H3161" s="19">
        <v>-1.1780456602286901E-2</v>
      </c>
    </row>
    <row r="3162" spans="8:8" ht="15" customHeight="1" x14ac:dyDescent="0.2">
      <c r="H3162" s="19">
        <v>1.5048672255137599E-2</v>
      </c>
    </row>
    <row r="3163" spans="8:8" ht="15" customHeight="1" x14ac:dyDescent="0.2">
      <c r="H3163" s="19">
        <v>-7.4031154240514103E-3</v>
      </c>
    </row>
    <row r="3164" spans="8:8" ht="15" customHeight="1" x14ac:dyDescent="0.2">
      <c r="H3164" s="19">
        <v>1.2288053883734299E-2</v>
      </c>
    </row>
    <row r="3165" spans="8:8" ht="15" customHeight="1" x14ac:dyDescent="0.2">
      <c r="H3165" s="19">
        <v>-1.4074900504652E-2</v>
      </c>
    </row>
    <row r="3166" spans="8:8" ht="15" customHeight="1" x14ac:dyDescent="0.2">
      <c r="H3166" s="19">
        <v>-1.3791858639821301E-2</v>
      </c>
    </row>
    <row r="3167" spans="8:8" ht="15" customHeight="1" x14ac:dyDescent="0.2">
      <c r="H3167" s="19">
        <v>5.07354882529418E-3</v>
      </c>
    </row>
    <row r="3168" spans="8:8" ht="15" customHeight="1" x14ac:dyDescent="0.2">
      <c r="H3168" s="19">
        <v>5.1452644777320701E-3</v>
      </c>
    </row>
    <row r="3169" spans="8:8" ht="15" customHeight="1" x14ac:dyDescent="0.2">
      <c r="H3169" s="19">
        <v>-2.7995679084912999E-4</v>
      </c>
    </row>
    <row r="3170" spans="8:8" ht="15" customHeight="1" x14ac:dyDescent="0.2">
      <c r="H3170" s="19">
        <v>5.3788041503206596E-3</v>
      </c>
    </row>
    <row r="3171" spans="8:8" ht="15" customHeight="1" x14ac:dyDescent="0.2">
      <c r="H3171" s="19">
        <v>-7.5917427987481799E-3</v>
      </c>
    </row>
    <row r="3172" spans="8:8" ht="15" customHeight="1" x14ac:dyDescent="0.2">
      <c r="H3172" s="19">
        <v>-5.5061924252291696E-3</v>
      </c>
    </row>
    <row r="3173" spans="8:8" ht="15" customHeight="1" x14ac:dyDescent="0.2">
      <c r="H3173" s="19">
        <v>7.3786095498066398E-3</v>
      </c>
    </row>
    <row r="3174" spans="8:8" ht="15" customHeight="1" x14ac:dyDescent="0.2">
      <c r="H3174" s="19">
        <v>-9.8044078837818092E-3</v>
      </c>
    </row>
    <row r="3175" spans="8:8" ht="15" customHeight="1" x14ac:dyDescent="0.2">
      <c r="H3175" s="19">
        <v>4.7183306159197204E-3</v>
      </c>
    </row>
    <row r="3176" spans="8:8" ht="15" customHeight="1" x14ac:dyDescent="0.2">
      <c r="H3176" s="19">
        <v>-1.13590434652815E-2</v>
      </c>
    </row>
    <row r="3177" spans="8:8" ht="15" customHeight="1" x14ac:dyDescent="0.2">
      <c r="H3177" s="19">
        <v>1.7096742848934101E-3</v>
      </c>
    </row>
    <row r="3178" spans="8:8" ht="15" customHeight="1" x14ac:dyDescent="0.2">
      <c r="H3178" s="19">
        <v>-6.3216946967263599E-3</v>
      </c>
    </row>
    <row r="3179" spans="8:8" ht="15" customHeight="1" x14ac:dyDescent="0.2">
      <c r="H3179" s="19">
        <v>-3.1407577256924397E-2</v>
      </c>
    </row>
    <row r="3180" spans="8:8" ht="15" customHeight="1" x14ac:dyDescent="0.2">
      <c r="H3180" s="19">
        <v>-4.7987274580632398E-4</v>
      </c>
    </row>
    <row r="3181" spans="8:8" ht="15" customHeight="1" x14ac:dyDescent="0.2">
      <c r="H3181" s="19">
        <v>2.7876958340877001E-3</v>
      </c>
    </row>
    <row r="3182" spans="8:8" ht="15" customHeight="1" x14ac:dyDescent="0.2">
      <c r="H3182" s="19">
        <v>1.4539666785012499E-2</v>
      </c>
    </row>
    <row r="3183" spans="8:8" ht="15" customHeight="1" x14ac:dyDescent="0.2">
      <c r="H3183" s="19">
        <v>-9.0928355920320402E-3</v>
      </c>
    </row>
    <row r="3184" spans="8:8" ht="15" customHeight="1" x14ac:dyDescent="0.2">
      <c r="H3184" s="19">
        <v>9.0638086545260805E-4</v>
      </c>
    </row>
    <row r="3185" spans="8:8" ht="15" customHeight="1" x14ac:dyDescent="0.2">
      <c r="H3185" s="19">
        <v>9.65638146209764E-3</v>
      </c>
    </row>
    <row r="3186" spans="8:8" ht="15" customHeight="1" x14ac:dyDescent="0.2">
      <c r="H3186" s="19">
        <v>7.3298936551272403E-3</v>
      </c>
    </row>
    <row r="3187" spans="8:8" ht="15" customHeight="1" x14ac:dyDescent="0.2">
      <c r="H3187" s="19">
        <v>1.02395473897993E-2</v>
      </c>
    </row>
    <row r="3188" spans="8:8" ht="15" customHeight="1" x14ac:dyDescent="0.2">
      <c r="H3188" s="19">
        <v>-4.4374343455000796E-3</v>
      </c>
    </row>
    <row r="3189" spans="8:8" ht="15" customHeight="1" x14ac:dyDescent="0.2">
      <c r="H3189" s="19">
        <v>2.19092534789224E-3</v>
      </c>
    </row>
    <row r="3190" spans="8:8" ht="15" customHeight="1" x14ac:dyDescent="0.2">
      <c r="H3190" s="19">
        <v>1.24785931342795E-2</v>
      </c>
    </row>
    <row r="3191" spans="8:8" ht="15" customHeight="1" x14ac:dyDescent="0.2">
      <c r="H3191" s="19">
        <v>-2.1677575202290202E-3</v>
      </c>
    </row>
    <row r="3192" spans="8:8" ht="15" customHeight="1" x14ac:dyDescent="0.2">
      <c r="H3192" s="19">
        <v>-1.29153654964236E-2</v>
      </c>
    </row>
    <row r="3193" spans="8:8" ht="15" customHeight="1" x14ac:dyDescent="0.2">
      <c r="H3193" s="19">
        <v>-2.60768847232457E-3</v>
      </c>
    </row>
    <row r="3194" spans="8:8" ht="15" customHeight="1" x14ac:dyDescent="0.2">
      <c r="H3194" s="19">
        <v>1.5021648204063601E-3</v>
      </c>
    </row>
    <row r="3195" spans="8:8" ht="15" customHeight="1" x14ac:dyDescent="0.2">
      <c r="H3195" s="19">
        <v>-7.4765070068574203E-3</v>
      </c>
    </row>
    <row r="3196" spans="8:8" ht="15" customHeight="1" x14ac:dyDescent="0.2">
      <c r="H3196" s="19">
        <v>1.02206189504199E-2</v>
      </c>
    </row>
    <row r="3197" spans="8:8" ht="15" customHeight="1" x14ac:dyDescent="0.2">
      <c r="H3197" s="19">
        <v>-7.5846993038660897E-3</v>
      </c>
    </row>
    <row r="3198" spans="8:8" ht="15" customHeight="1" x14ac:dyDescent="0.2">
      <c r="H3198" s="19">
        <v>8.6404083597474304E-4</v>
      </c>
    </row>
    <row r="3199" spans="8:8" ht="15" customHeight="1" x14ac:dyDescent="0.2">
      <c r="H3199" s="19">
        <v>7.5012317747186804E-3</v>
      </c>
    </row>
    <row r="3200" spans="8:8" ht="15" customHeight="1" x14ac:dyDescent="0.2">
      <c r="H3200" s="19">
        <v>-1.67239299690232E-2</v>
      </c>
    </row>
    <row r="3201" spans="8:8" ht="15" customHeight="1" x14ac:dyDescent="0.2">
      <c r="H3201" s="19">
        <v>1.35734963318695E-2</v>
      </c>
    </row>
    <row r="3202" spans="8:8" ht="15" customHeight="1" x14ac:dyDescent="0.2">
      <c r="H3202" s="19">
        <v>-1.17798417785642E-2</v>
      </c>
    </row>
    <row r="3203" spans="8:8" ht="15" customHeight="1" x14ac:dyDescent="0.2">
      <c r="H3203" s="19">
        <v>1.3602593193415599E-2</v>
      </c>
    </row>
    <row r="3204" spans="8:8" ht="15" customHeight="1" x14ac:dyDescent="0.2">
      <c r="H3204" s="19">
        <v>2.1629475352538401E-3</v>
      </c>
    </row>
    <row r="3205" spans="8:8" ht="15" customHeight="1" x14ac:dyDescent="0.2">
      <c r="H3205" s="19">
        <v>-3.5084358553878802E-3</v>
      </c>
    </row>
    <row r="3206" spans="8:8" ht="15" customHeight="1" x14ac:dyDescent="0.2">
      <c r="H3206" s="19">
        <v>-2.0566908151515101E-4</v>
      </c>
    </row>
    <row r="3207" spans="8:8" ht="15" customHeight="1" x14ac:dyDescent="0.2">
      <c r="H3207" s="19">
        <v>-1.1145452635618201E-2</v>
      </c>
    </row>
    <row r="3208" spans="8:8" ht="15" customHeight="1" x14ac:dyDescent="0.2">
      <c r="H3208" s="19">
        <v>3.8128958244508298E-3</v>
      </c>
    </row>
    <row r="3209" spans="8:8" ht="15" customHeight="1" x14ac:dyDescent="0.2">
      <c r="H3209" s="19">
        <v>-2.3385019916715198E-3</v>
      </c>
    </row>
    <row r="3210" spans="8:8" ht="15" customHeight="1" x14ac:dyDescent="0.2">
      <c r="H3210" s="19">
        <v>-2.0157975030322701E-3</v>
      </c>
    </row>
    <row r="3211" spans="8:8" ht="15" customHeight="1" x14ac:dyDescent="0.2">
      <c r="H3211" s="19">
        <v>1.10960641157202E-2</v>
      </c>
    </row>
    <row r="3212" spans="8:8" ht="15" customHeight="1" x14ac:dyDescent="0.2">
      <c r="H3212" s="19">
        <v>1.0734993143652E-2</v>
      </c>
    </row>
    <row r="3213" spans="8:8" ht="15" customHeight="1" x14ac:dyDescent="0.2">
      <c r="H3213" s="19">
        <v>-2.1789422598307202E-2</v>
      </c>
    </row>
    <row r="3214" spans="8:8" ht="15" customHeight="1" x14ac:dyDescent="0.2">
      <c r="H3214" s="19">
        <v>1.7241762759595301E-2</v>
      </c>
    </row>
    <row r="3215" spans="8:8" ht="15" customHeight="1" x14ac:dyDescent="0.2">
      <c r="H3215" s="19">
        <v>9.3271771130070905E-3</v>
      </c>
    </row>
    <row r="3216" spans="8:8" ht="15" customHeight="1" x14ac:dyDescent="0.2">
      <c r="H3216" s="19">
        <v>-7.2076479323593496E-3</v>
      </c>
    </row>
    <row r="3217" spans="8:8" ht="15" customHeight="1" x14ac:dyDescent="0.2">
      <c r="H3217" s="19">
        <v>-1.46191708187156E-2</v>
      </c>
    </row>
    <row r="3218" spans="8:8" ht="15" customHeight="1" x14ac:dyDescent="0.2">
      <c r="H3218" s="19">
        <v>1.3374824010266701E-3</v>
      </c>
    </row>
    <row r="3219" spans="8:8" ht="15" customHeight="1" x14ac:dyDescent="0.2">
      <c r="H3219" s="19">
        <v>-1.643909190549E-3</v>
      </c>
    </row>
    <row r="3220" spans="8:8" ht="15" customHeight="1" x14ac:dyDescent="0.2">
      <c r="H3220" s="19">
        <v>-1.0989322861694999E-3</v>
      </c>
    </row>
    <row r="3221" spans="8:8" ht="15" customHeight="1" x14ac:dyDescent="0.2">
      <c r="H3221" s="19">
        <v>1.87520398653717E-2</v>
      </c>
    </row>
    <row r="3222" spans="8:8" ht="15" customHeight="1" x14ac:dyDescent="0.2">
      <c r="H3222" s="19">
        <v>3.5895007906365001E-3</v>
      </c>
    </row>
    <row r="3223" spans="8:8" ht="15" customHeight="1" x14ac:dyDescent="0.2">
      <c r="H3223" s="19">
        <v>-5.9664138103638698E-4</v>
      </c>
    </row>
    <row r="3224" spans="8:8" ht="15" customHeight="1" x14ac:dyDescent="0.2">
      <c r="H3224" s="19">
        <v>-2.12063029938248E-4</v>
      </c>
    </row>
    <row r="3225" spans="8:8" ht="15" customHeight="1" x14ac:dyDescent="0.2">
      <c r="H3225" s="19">
        <v>1.53429553943397E-2</v>
      </c>
    </row>
    <row r="3226" spans="8:8" ht="15" customHeight="1" x14ac:dyDescent="0.2">
      <c r="H3226" s="19">
        <v>2.7401605257196399E-3</v>
      </c>
    </row>
    <row r="3227" spans="8:8" ht="15" customHeight="1" x14ac:dyDescent="0.2">
      <c r="H3227" s="19">
        <v>5.5951288603264199E-3</v>
      </c>
    </row>
    <row r="3228" spans="8:8" ht="15" customHeight="1" x14ac:dyDescent="0.2">
      <c r="H3228" s="19">
        <v>1.9427387861636201E-2</v>
      </c>
    </row>
    <row r="3229" spans="8:8" ht="15" customHeight="1" x14ac:dyDescent="0.2">
      <c r="H3229" s="19">
        <v>-6.0474583683504998E-3</v>
      </c>
    </row>
    <row r="3230" spans="8:8" ht="15" customHeight="1" x14ac:dyDescent="0.2">
      <c r="H3230" s="19">
        <v>-2.1964368643974799E-2</v>
      </c>
    </row>
    <row r="3231" spans="8:8" ht="15" customHeight="1" x14ac:dyDescent="0.2">
      <c r="H3231" s="19">
        <v>5.9149713546716902E-4</v>
      </c>
    </row>
    <row r="3232" spans="8:8" ht="15" customHeight="1" x14ac:dyDescent="0.2">
      <c r="H3232" s="19">
        <v>9.7519148780473592E-3</v>
      </c>
    </row>
    <row r="3233" spans="8:8" ht="15" customHeight="1" x14ac:dyDescent="0.2">
      <c r="H3233" s="19">
        <v>-4.69603455621782E-3</v>
      </c>
    </row>
    <row r="3234" spans="8:8" ht="15" customHeight="1" x14ac:dyDescent="0.2">
      <c r="H3234" s="19">
        <v>1.9907207212186199E-2</v>
      </c>
    </row>
    <row r="3235" spans="8:8" ht="15" customHeight="1" x14ac:dyDescent="0.2">
      <c r="H3235" s="19">
        <v>-9.7838362326735893E-3</v>
      </c>
    </row>
    <row r="3236" spans="8:8" ht="15" customHeight="1" x14ac:dyDescent="0.2">
      <c r="H3236" s="19">
        <v>-7.8622443323066102E-3</v>
      </c>
    </row>
    <row r="3237" spans="8:8" ht="15" customHeight="1" x14ac:dyDescent="0.2">
      <c r="H3237" s="19">
        <v>-5.8638521439169197E-5</v>
      </c>
    </row>
    <row r="3238" spans="8:8" ht="15" customHeight="1" x14ac:dyDescent="0.2">
      <c r="H3238" s="19">
        <v>8.5242959432641398E-3</v>
      </c>
    </row>
    <row r="3239" spans="8:8" ht="15" customHeight="1" x14ac:dyDescent="0.2">
      <c r="H3239" s="19">
        <v>-1.96623179237056E-2</v>
      </c>
    </row>
    <row r="3240" spans="8:8" ht="15" customHeight="1" x14ac:dyDescent="0.2">
      <c r="H3240" s="19">
        <v>-1.77023610583876E-2</v>
      </c>
    </row>
    <row r="3241" spans="8:8" ht="15" customHeight="1" x14ac:dyDescent="0.2">
      <c r="H3241" s="19">
        <v>3.0472130541408398E-3</v>
      </c>
    </row>
    <row r="3242" spans="8:8" ht="15" customHeight="1" x14ac:dyDescent="0.2">
      <c r="H3242" s="19">
        <v>-1.0692577880197601E-2</v>
      </c>
    </row>
    <row r="3243" spans="8:8" ht="15" customHeight="1" x14ac:dyDescent="0.2">
      <c r="H3243" s="19">
        <v>1.4789295941410799E-2</v>
      </c>
    </row>
    <row r="3244" spans="8:8" ht="15" customHeight="1" x14ac:dyDescent="0.2">
      <c r="H3244" s="19">
        <v>-2.0758980862888802E-3</v>
      </c>
    </row>
    <row r="3245" spans="8:8" ht="15" customHeight="1" x14ac:dyDescent="0.2">
      <c r="H3245" s="19">
        <v>1.2815249801273699E-3</v>
      </c>
    </row>
    <row r="3246" spans="8:8" ht="15" customHeight="1" x14ac:dyDescent="0.2">
      <c r="H3246" s="19">
        <v>-4.95679845333972E-3</v>
      </c>
    </row>
    <row r="3247" spans="8:8" ht="15" customHeight="1" x14ac:dyDescent="0.2">
      <c r="H3247" s="19">
        <v>1.37096650253408E-2</v>
      </c>
    </row>
    <row r="3248" spans="8:8" ht="15" customHeight="1" x14ac:dyDescent="0.2">
      <c r="H3248" s="19">
        <v>-2.41253689842536E-3</v>
      </c>
    </row>
    <row r="3249" spans="8:8" ht="15" customHeight="1" x14ac:dyDescent="0.2">
      <c r="H3249" s="19">
        <v>3.7731007401228E-3</v>
      </c>
    </row>
    <row r="3250" spans="8:8" ht="15" customHeight="1" x14ac:dyDescent="0.2">
      <c r="H3250" s="19">
        <v>-7.6187328470829398E-3</v>
      </c>
    </row>
    <row r="3251" spans="8:8" ht="15" customHeight="1" x14ac:dyDescent="0.2">
      <c r="H3251" s="19">
        <v>5.9232615510796305E-4</v>
      </c>
    </row>
    <row r="3252" spans="8:8" ht="15" customHeight="1" x14ac:dyDescent="0.2">
      <c r="H3252" s="19">
        <v>3.4374586465871199E-4</v>
      </c>
    </row>
    <row r="3253" spans="8:8" ht="15" customHeight="1" x14ac:dyDescent="0.2">
      <c r="H3253" s="19">
        <v>4.568164087375E-3</v>
      </c>
    </row>
    <row r="3254" spans="8:8" ht="15" customHeight="1" x14ac:dyDescent="0.2">
      <c r="H3254" s="19">
        <v>-6.1105736589745097E-3</v>
      </c>
    </row>
    <row r="3255" spans="8:8" ht="15" customHeight="1" x14ac:dyDescent="0.2">
      <c r="H3255" s="19">
        <v>7.8625288038602203E-3</v>
      </c>
    </row>
    <row r="3256" spans="8:8" ht="15" customHeight="1" x14ac:dyDescent="0.2">
      <c r="H3256" s="19">
        <v>1.4468892582046399E-2</v>
      </c>
    </row>
    <row r="3257" spans="8:8" ht="15" customHeight="1" x14ac:dyDescent="0.2">
      <c r="H3257" s="19">
        <v>5.7924965847431001E-4</v>
      </c>
    </row>
    <row r="3258" spans="8:8" ht="15" customHeight="1" x14ac:dyDescent="0.2">
      <c r="H3258" s="19">
        <v>-3.98229808272449E-3</v>
      </c>
    </row>
    <row r="3259" spans="8:8" ht="15" customHeight="1" x14ac:dyDescent="0.2">
      <c r="H3259" s="19">
        <v>4.5246983254031998E-3</v>
      </c>
    </row>
    <row r="3260" spans="8:8" ht="15" customHeight="1" x14ac:dyDescent="0.2">
      <c r="H3260" s="19">
        <v>-5.5664330623175998E-3</v>
      </c>
    </row>
    <row r="3261" spans="8:8" ht="15" customHeight="1" x14ac:dyDescent="0.2">
      <c r="H3261" s="19">
        <v>-1.5620280977898001E-2</v>
      </c>
    </row>
    <row r="3262" spans="8:8" ht="15" customHeight="1" x14ac:dyDescent="0.2">
      <c r="H3262" s="19">
        <v>8.0291244510213196E-3</v>
      </c>
    </row>
    <row r="3263" spans="8:8" ht="15" customHeight="1" x14ac:dyDescent="0.2">
      <c r="H3263" s="19">
        <v>8.4812642876275993E-3</v>
      </c>
    </row>
    <row r="3264" spans="8:8" ht="15" customHeight="1" x14ac:dyDescent="0.2">
      <c r="H3264" s="19">
        <v>2.20244297593197E-3</v>
      </c>
    </row>
    <row r="3265" spans="8:8" ht="15" customHeight="1" x14ac:dyDescent="0.2">
      <c r="H3265" s="19">
        <v>-5.9347961381313701E-3</v>
      </c>
    </row>
    <row r="3266" spans="8:8" ht="15" customHeight="1" x14ac:dyDescent="0.2">
      <c r="H3266" s="19">
        <v>6.76780217973147E-3</v>
      </c>
    </row>
    <row r="3267" spans="8:8" ht="15" customHeight="1" x14ac:dyDescent="0.2">
      <c r="H3267" s="19">
        <v>-9.4789421531943606E-3</v>
      </c>
    </row>
    <row r="3268" spans="8:8" ht="15" customHeight="1" x14ac:dyDescent="0.2">
      <c r="H3268" s="19">
        <v>-6.0711161383366899E-3</v>
      </c>
    </row>
    <row r="3269" spans="8:8" ht="15" customHeight="1" x14ac:dyDescent="0.2">
      <c r="H3269" s="19">
        <v>1.0909206081583901E-2</v>
      </c>
    </row>
    <row r="3270" spans="8:8" ht="15" customHeight="1" x14ac:dyDescent="0.2">
      <c r="H3270" s="19">
        <v>-7.3111807128454004E-3</v>
      </c>
    </row>
    <row r="3271" spans="8:8" ht="15" customHeight="1" x14ac:dyDescent="0.2">
      <c r="H3271" s="19">
        <v>-8.3228559780908293E-3</v>
      </c>
    </row>
    <row r="3272" spans="8:8" ht="15" customHeight="1" x14ac:dyDescent="0.2">
      <c r="H3272" s="19">
        <v>-8.0286298829390697E-3</v>
      </c>
    </row>
    <row r="3273" spans="8:8" ht="15" customHeight="1" x14ac:dyDescent="0.2">
      <c r="H3273" s="19">
        <v>1.3531696243389601E-3</v>
      </c>
    </row>
    <row r="3274" spans="8:8" ht="15" customHeight="1" x14ac:dyDescent="0.2">
      <c r="H3274" s="19">
        <v>3.9376306143998402E-3</v>
      </c>
    </row>
    <row r="3275" spans="8:8" ht="15" customHeight="1" x14ac:dyDescent="0.2">
      <c r="H3275" s="19">
        <v>-2.0155873827281102E-3</v>
      </c>
    </row>
    <row r="3276" spans="8:8" ht="15" customHeight="1" x14ac:dyDescent="0.2">
      <c r="H3276" s="19">
        <v>-1.25437929696504E-2</v>
      </c>
    </row>
    <row r="3277" spans="8:8" ht="15" customHeight="1" x14ac:dyDescent="0.2">
      <c r="H3277" s="19">
        <v>8.2032660658951605E-4</v>
      </c>
    </row>
    <row r="3278" spans="8:8" ht="15" customHeight="1" x14ac:dyDescent="0.2">
      <c r="H3278" s="19">
        <v>4.0834877819735903E-3</v>
      </c>
    </row>
    <row r="3279" spans="8:8" ht="15" customHeight="1" x14ac:dyDescent="0.2">
      <c r="H3279" s="19">
        <v>6.8085666976307703E-3</v>
      </c>
    </row>
    <row r="3280" spans="8:8" ht="15" customHeight="1" x14ac:dyDescent="0.2">
      <c r="H3280" s="19">
        <v>-9.9506131853124308E-3</v>
      </c>
    </row>
    <row r="3281" spans="8:8" ht="15" customHeight="1" x14ac:dyDescent="0.2">
      <c r="H3281" s="19">
        <v>-1.3933171560275201E-2</v>
      </c>
    </row>
    <row r="3282" spans="8:8" ht="15" customHeight="1" x14ac:dyDescent="0.2">
      <c r="H3282" s="19">
        <v>8.4245464765908898E-4</v>
      </c>
    </row>
    <row r="3283" spans="8:8" ht="15" customHeight="1" x14ac:dyDescent="0.2">
      <c r="H3283" s="19">
        <v>1.81500523481563E-3</v>
      </c>
    </row>
    <row r="3284" spans="8:8" ht="15" customHeight="1" x14ac:dyDescent="0.2">
      <c r="H3284" s="19">
        <v>1.11538264048897E-2</v>
      </c>
    </row>
    <row r="3285" spans="8:8" ht="15" customHeight="1" x14ac:dyDescent="0.2">
      <c r="H3285" s="19">
        <v>-3.2862610265918298E-3</v>
      </c>
    </row>
    <row r="3286" spans="8:8" ht="15" customHeight="1" x14ac:dyDescent="0.2">
      <c r="H3286" s="19">
        <v>5.7072087910485098E-3</v>
      </c>
    </row>
    <row r="3287" spans="8:8" ht="15" customHeight="1" x14ac:dyDescent="0.2">
      <c r="H3287" s="19">
        <v>-2.2404735959247399E-3</v>
      </c>
    </row>
    <row r="3288" spans="8:8" ht="15" customHeight="1" x14ac:dyDescent="0.2">
      <c r="H3288" s="19">
        <v>5.0587024341532299E-3</v>
      </c>
    </row>
    <row r="3289" spans="8:8" ht="15" customHeight="1" x14ac:dyDescent="0.2">
      <c r="H3289" s="19">
        <v>6.2994614984866904E-3</v>
      </c>
    </row>
    <row r="3290" spans="8:8" ht="15" customHeight="1" x14ac:dyDescent="0.2">
      <c r="H3290" s="19">
        <v>7.7497859069557097E-3</v>
      </c>
    </row>
    <row r="3291" spans="8:8" ht="15" customHeight="1" x14ac:dyDescent="0.2">
      <c r="H3291" s="19">
        <v>9.7338934872961101E-3</v>
      </c>
    </row>
    <row r="3292" spans="8:8" ht="15" customHeight="1" x14ac:dyDescent="0.2">
      <c r="H3292" s="19">
        <v>2.1411631235261001E-3</v>
      </c>
    </row>
    <row r="3293" spans="8:8" ht="15" customHeight="1" x14ac:dyDescent="0.2">
      <c r="H3293" s="19">
        <v>9.6355521574137404E-3</v>
      </c>
    </row>
    <row r="3294" spans="8:8" ht="15" customHeight="1" x14ac:dyDescent="0.2">
      <c r="H3294" s="19">
        <v>1.6767274254990601E-4</v>
      </c>
    </row>
    <row r="3295" spans="8:8" ht="15" customHeight="1" x14ac:dyDescent="0.2">
      <c r="H3295" s="19">
        <v>4.54304711593262E-3</v>
      </c>
    </row>
    <row r="3296" spans="8:8" ht="15" customHeight="1" x14ac:dyDescent="0.2">
      <c r="H3296" s="19">
        <v>-1.63161617063128E-3</v>
      </c>
    </row>
    <row r="3297" spans="8:8" ht="15" customHeight="1" x14ac:dyDescent="0.2">
      <c r="H3297" s="19">
        <v>1.1254017478788099E-3</v>
      </c>
    </row>
    <row r="3298" spans="8:8" ht="15" customHeight="1" x14ac:dyDescent="0.2">
      <c r="H3298" s="19">
        <v>3.1363530947599002E-5</v>
      </c>
    </row>
    <row r="3299" spans="8:8" ht="15" customHeight="1" x14ac:dyDescent="0.2">
      <c r="H3299" s="19">
        <v>-6.9184868519639999E-3</v>
      </c>
    </row>
    <row r="3300" spans="8:8" ht="15" customHeight="1" x14ac:dyDescent="0.2">
      <c r="H3300" s="19">
        <v>9.8952739275610501E-3</v>
      </c>
    </row>
    <row r="3301" spans="8:8" ht="15" customHeight="1" x14ac:dyDescent="0.2">
      <c r="H3301" s="19">
        <v>-1.4026690690705499E-2</v>
      </c>
    </row>
    <row r="3302" spans="8:8" ht="15" customHeight="1" x14ac:dyDescent="0.2">
      <c r="H3302" s="19">
        <v>-3.8529916323833502E-3</v>
      </c>
    </row>
    <row r="3303" spans="8:8" ht="15" customHeight="1" x14ac:dyDescent="0.2">
      <c r="H3303" s="19">
        <v>-6.2796590407959403E-3</v>
      </c>
    </row>
    <row r="3304" spans="8:8" ht="15" customHeight="1" x14ac:dyDescent="0.2">
      <c r="H3304" s="19">
        <v>-4.5885580063512498E-3</v>
      </c>
    </row>
    <row r="3305" spans="8:8" ht="15" customHeight="1" x14ac:dyDescent="0.2">
      <c r="H3305" s="19">
        <v>3.45697134919921E-3</v>
      </c>
    </row>
    <row r="3306" spans="8:8" ht="15" customHeight="1" x14ac:dyDescent="0.2">
      <c r="H3306" s="19">
        <v>-6.8378855386590004E-3</v>
      </c>
    </row>
    <row r="3307" spans="8:8" ht="15" customHeight="1" x14ac:dyDescent="0.2">
      <c r="H3307" s="19">
        <v>-1.3585463619289801E-2</v>
      </c>
    </row>
    <row r="3308" spans="8:8" ht="15" customHeight="1" x14ac:dyDescent="0.2">
      <c r="H3308" s="19">
        <v>-1.7752537848568901E-2</v>
      </c>
    </row>
    <row r="3309" spans="8:8" ht="15" customHeight="1" x14ac:dyDescent="0.2">
      <c r="H3309" s="19">
        <v>6.0529796017473698E-3</v>
      </c>
    </row>
    <row r="3310" spans="8:8" ht="15" customHeight="1" x14ac:dyDescent="0.2">
      <c r="H3310" s="19">
        <v>-7.5455442620578801E-3</v>
      </c>
    </row>
    <row r="3311" spans="8:8" ht="15" customHeight="1" x14ac:dyDescent="0.2">
      <c r="H3311" s="19">
        <v>1.79465908798115E-2</v>
      </c>
    </row>
    <row r="3312" spans="8:8" ht="15" customHeight="1" x14ac:dyDescent="0.2">
      <c r="H3312" s="19">
        <v>1.8829587407232999E-2</v>
      </c>
    </row>
    <row r="3313" spans="8:8" ht="15" customHeight="1" x14ac:dyDescent="0.2">
      <c r="H3313" s="19">
        <v>-1.2982713563803301E-4</v>
      </c>
    </row>
    <row r="3314" spans="8:8" ht="15" customHeight="1" x14ac:dyDescent="0.2">
      <c r="H3314" s="19">
        <v>-7.4075897621495197E-3</v>
      </c>
    </row>
    <row r="3315" spans="8:8" ht="15" customHeight="1" x14ac:dyDescent="0.2">
      <c r="H3315" s="19">
        <v>1.00598161857874E-2</v>
      </c>
    </row>
    <row r="3316" spans="8:8" ht="15" customHeight="1" x14ac:dyDescent="0.2">
      <c r="H3316" s="19">
        <v>-1.79490186567429E-2</v>
      </c>
    </row>
    <row r="3317" spans="8:8" ht="15" customHeight="1" x14ac:dyDescent="0.2">
      <c r="H3317" s="19">
        <v>-4.6762360824469202E-3</v>
      </c>
    </row>
    <row r="3318" spans="8:8" ht="15" customHeight="1" x14ac:dyDescent="0.2">
      <c r="H3318" s="19">
        <v>-1.24276435509404E-2</v>
      </c>
    </row>
    <row r="3319" spans="8:8" ht="15" customHeight="1" x14ac:dyDescent="0.2">
      <c r="H3319" s="19">
        <v>2.6037483717376501E-3</v>
      </c>
    </row>
    <row r="3320" spans="8:8" ht="15" customHeight="1" x14ac:dyDescent="0.2">
      <c r="H3320" s="19">
        <v>-1.2844404684414499E-2</v>
      </c>
    </row>
    <row r="3321" spans="8:8" ht="15" customHeight="1" x14ac:dyDescent="0.2">
      <c r="H3321" s="19">
        <v>4.7102607867158001E-3</v>
      </c>
    </row>
    <row r="3322" spans="8:8" ht="15" customHeight="1" x14ac:dyDescent="0.2">
      <c r="H3322" s="19">
        <v>3.8703501766412002E-3</v>
      </c>
    </row>
    <row r="3323" spans="8:8" ht="15" customHeight="1" x14ac:dyDescent="0.2">
      <c r="H3323" s="19">
        <v>3.0124984882654998E-3</v>
      </c>
    </row>
    <row r="3324" spans="8:8" ht="15" customHeight="1" x14ac:dyDescent="0.2">
      <c r="H3324" s="19">
        <v>4.4563751023909796E-3</v>
      </c>
    </row>
    <row r="3325" spans="8:8" ht="15" customHeight="1" x14ac:dyDescent="0.2">
      <c r="H3325" s="19">
        <v>-7.2757271102193702E-3</v>
      </c>
    </row>
    <row r="3326" spans="8:8" ht="15" customHeight="1" x14ac:dyDescent="0.2">
      <c r="H3326" s="19">
        <v>-6.7748711448575799E-3</v>
      </c>
    </row>
    <row r="3327" spans="8:8" ht="15" customHeight="1" x14ac:dyDescent="0.2">
      <c r="H3327" s="19">
        <v>-3.5140618803591498E-4</v>
      </c>
    </row>
    <row r="3328" spans="8:8" ht="15" customHeight="1" x14ac:dyDescent="0.2">
      <c r="H3328" s="19">
        <v>1.8998485872800799E-2</v>
      </c>
    </row>
    <row r="3329" spans="8:8" ht="15" customHeight="1" x14ac:dyDescent="0.2">
      <c r="H3329" s="19">
        <v>-9.4412428153237502E-3</v>
      </c>
    </row>
    <row r="3330" spans="8:8" ht="15" customHeight="1" x14ac:dyDescent="0.2">
      <c r="H3330" s="19">
        <v>-3.5001794235532502E-3</v>
      </c>
    </row>
    <row r="3331" spans="8:8" ht="15" customHeight="1" x14ac:dyDescent="0.2">
      <c r="H3331" s="19">
        <v>-2.2357605660887299E-2</v>
      </c>
    </row>
    <row r="3332" spans="8:8" ht="15" customHeight="1" x14ac:dyDescent="0.2">
      <c r="H3332" s="19">
        <v>8.0756079482040104E-3</v>
      </c>
    </row>
    <row r="3333" spans="8:8" ht="15" customHeight="1" x14ac:dyDescent="0.2">
      <c r="H3333" s="19">
        <v>-5.6715411579871299E-3</v>
      </c>
    </row>
    <row r="3334" spans="8:8" ht="15" customHeight="1" x14ac:dyDescent="0.2">
      <c r="H3334" s="19">
        <v>-5.2095959244190205E-4</v>
      </c>
    </row>
    <row r="3335" spans="8:8" ht="15" customHeight="1" x14ac:dyDescent="0.2">
      <c r="H3335" s="19">
        <v>-1.01079080619603E-2</v>
      </c>
    </row>
    <row r="3336" spans="8:8" ht="15" customHeight="1" x14ac:dyDescent="0.2">
      <c r="H3336" s="19">
        <v>4.2331989586062296E-3</v>
      </c>
    </row>
    <row r="3337" spans="8:8" ht="15" customHeight="1" x14ac:dyDescent="0.2">
      <c r="H3337" s="19">
        <v>2.1772284028809701E-2</v>
      </c>
    </row>
    <row r="3338" spans="8:8" ht="15" customHeight="1" x14ac:dyDescent="0.2">
      <c r="H3338" s="19">
        <v>-1.7621061293714799E-3</v>
      </c>
    </row>
    <row r="3339" spans="8:8" ht="15" customHeight="1" x14ac:dyDescent="0.2">
      <c r="H3339" s="19">
        <v>2.1190398214798799E-2</v>
      </c>
    </row>
    <row r="3340" spans="8:8" ht="15" customHeight="1" x14ac:dyDescent="0.2">
      <c r="H3340" s="19">
        <v>-1.09149791579692E-2</v>
      </c>
    </row>
    <row r="3341" spans="8:8" ht="15" customHeight="1" x14ac:dyDescent="0.2">
      <c r="H3341" s="19">
        <v>8.8241611052965203E-3</v>
      </c>
    </row>
    <row r="3342" spans="8:8" ht="15" customHeight="1" x14ac:dyDescent="0.2">
      <c r="H3342" s="19">
        <v>5.4860874720771497E-3</v>
      </c>
    </row>
    <row r="3343" spans="8:8" ht="15" customHeight="1" x14ac:dyDescent="0.2">
      <c r="H3343" s="19">
        <v>-2.8235391603280498E-3</v>
      </c>
    </row>
    <row r="3344" spans="8:8" ht="15" customHeight="1" x14ac:dyDescent="0.2">
      <c r="H3344" s="19">
        <v>2.6131688262197002E-3</v>
      </c>
    </row>
    <row r="3345" spans="8:8" ht="15" customHeight="1" x14ac:dyDescent="0.2">
      <c r="H3345" s="19">
        <v>-1.529714127374E-3</v>
      </c>
    </row>
    <row r="3346" spans="8:8" ht="15" customHeight="1" x14ac:dyDescent="0.2">
      <c r="H3346" s="19">
        <v>4.5310630145210104E-3</v>
      </c>
    </row>
    <row r="3347" spans="8:8" ht="15" customHeight="1" x14ac:dyDescent="0.2">
      <c r="H3347" s="19">
        <v>-1.0242157460552299E-2</v>
      </c>
    </row>
    <row r="3348" spans="8:8" ht="15" customHeight="1" x14ac:dyDescent="0.2">
      <c r="H3348" s="19">
        <v>1.54753265056626E-2</v>
      </c>
    </row>
    <row r="3349" spans="8:8" ht="15" customHeight="1" x14ac:dyDescent="0.2">
      <c r="H3349" s="19">
        <v>-6.9873489291676499E-3</v>
      </c>
    </row>
    <row r="3350" spans="8:8" ht="15" customHeight="1" x14ac:dyDescent="0.2">
      <c r="H3350" s="19">
        <v>-1.79457027313405E-3</v>
      </c>
    </row>
    <row r="3351" spans="8:8" ht="15" customHeight="1" x14ac:dyDescent="0.2">
      <c r="H3351" s="19">
        <v>4.75270210051132E-4</v>
      </c>
    </row>
    <row r="3352" spans="8:8" ht="15" customHeight="1" x14ac:dyDescent="0.2">
      <c r="H3352" s="19">
        <v>1.2349971440557699E-2</v>
      </c>
    </row>
    <row r="3353" spans="8:8" ht="15" customHeight="1" x14ac:dyDescent="0.2">
      <c r="H3353" s="19">
        <v>9.5567018141201696E-3</v>
      </c>
    </row>
    <row r="3354" spans="8:8" ht="15" customHeight="1" x14ac:dyDescent="0.2">
      <c r="H3354" s="19">
        <v>-1.8893922649214401E-2</v>
      </c>
    </row>
    <row r="3355" spans="8:8" ht="15" customHeight="1" x14ac:dyDescent="0.2">
      <c r="H3355" s="19">
        <v>-6.6607624081699403E-3</v>
      </c>
    </row>
    <row r="3356" spans="8:8" ht="15" customHeight="1" x14ac:dyDescent="0.2">
      <c r="H3356" s="19">
        <v>2.1904289144152E-2</v>
      </c>
    </row>
    <row r="3357" spans="8:8" ht="15" customHeight="1" x14ac:dyDescent="0.2">
      <c r="H3357" s="19">
        <v>8.87499902176404E-3</v>
      </c>
    </row>
    <row r="3358" spans="8:8" ht="15" customHeight="1" x14ac:dyDescent="0.2">
      <c r="H3358" s="19">
        <v>-1.06035246804851E-2</v>
      </c>
    </row>
    <row r="3359" spans="8:8" ht="15" customHeight="1" x14ac:dyDescent="0.2">
      <c r="H3359" s="19">
        <v>5.34663982857095E-3</v>
      </c>
    </row>
    <row r="3360" spans="8:8" ht="15" customHeight="1" x14ac:dyDescent="0.2">
      <c r="H3360" s="19">
        <v>-2.1217872221099801E-3</v>
      </c>
    </row>
    <row r="3361" spans="8:8" ht="15" customHeight="1" x14ac:dyDescent="0.2">
      <c r="H3361" s="19">
        <v>2.3834254912380299E-2</v>
      </c>
    </row>
    <row r="3362" spans="8:8" ht="15" customHeight="1" x14ac:dyDescent="0.2">
      <c r="H3362" s="19">
        <v>-1.11764550152385E-2</v>
      </c>
    </row>
    <row r="3363" spans="8:8" ht="15" customHeight="1" x14ac:dyDescent="0.2">
      <c r="H3363" s="19">
        <v>-3.3299754064140499E-2</v>
      </c>
    </row>
    <row r="3364" spans="8:8" ht="15" customHeight="1" x14ac:dyDescent="0.2">
      <c r="H3364" s="19">
        <v>3.1994754815696899E-4</v>
      </c>
    </row>
    <row r="3365" spans="8:8" ht="15" customHeight="1" x14ac:dyDescent="0.2">
      <c r="H3365" s="19">
        <v>1.1626000005778099E-2</v>
      </c>
    </row>
    <row r="3366" spans="8:8" ht="15" customHeight="1" x14ac:dyDescent="0.2">
      <c r="H3366" s="19">
        <v>7.71961093438942E-3</v>
      </c>
    </row>
    <row r="3367" spans="8:8" ht="15" customHeight="1" x14ac:dyDescent="0.2">
      <c r="H3367" s="19">
        <v>2.6411921747641E-3</v>
      </c>
    </row>
    <row r="3368" spans="8:8" ht="15" customHeight="1" x14ac:dyDescent="0.2">
      <c r="H3368" s="19">
        <v>-5.5118393124354596E-3</v>
      </c>
    </row>
    <row r="3369" spans="8:8" ht="15" customHeight="1" x14ac:dyDescent="0.2">
      <c r="H3369" s="19">
        <v>-7.9072986239688905E-3</v>
      </c>
    </row>
    <row r="3370" spans="8:8" ht="15" customHeight="1" x14ac:dyDescent="0.2">
      <c r="H3370" s="19">
        <v>1.4176051575958099E-2</v>
      </c>
    </row>
    <row r="3371" spans="8:8" ht="15" customHeight="1" x14ac:dyDescent="0.2">
      <c r="H3371" s="19">
        <v>5.8254186586358296E-3</v>
      </c>
    </row>
    <row r="3372" spans="8:8" ht="15" customHeight="1" x14ac:dyDescent="0.2">
      <c r="H3372" s="19">
        <v>-1.8957416213637199E-2</v>
      </c>
    </row>
    <row r="3373" spans="8:8" ht="15" customHeight="1" x14ac:dyDescent="0.2">
      <c r="H3373" s="19">
        <v>4.2840730592794904E-3</v>
      </c>
    </row>
    <row r="3374" spans="8:8" ht="15" customHeight="1" x14ac:dyDescent="0.2">
      <c r="H3374" s="19">
        <v>4.1456856281507903E-4</v>
      </c>
    </row>
    <row r="3375" spans="8:8" ht="15" customHeight="1" x14ac:dyDescent="0.2">
      <c r="H3375" s="19">
        <v>2.59202162123329E-3</v>
      </c>
    </row>
    <row r="3376" spans="8:8" ht="15" customHeight="1" x14ac:dyDescent="0.2">
      <c r="H3376" s="19">
        <v>1.06505236941752E-2</v>
      </c>
    </row>
    <row r="3377" spans="8:8" ht="15" customHeight="1" x14ac:dyDescent="0.2">
      <c r="H3377" s="19">
        <v>-4.6086994739205902E-3</v>
      </c>
    </row>
    <row r="3378" spans="8:8" ht="15" customHeight="1" x14ac:dyDescent="0.2">
      <c r="H3378" s="19">
        <v>-1.0213737959002401E-2</v>
      </c>
    </row>
    <row r="3379" spans="8:8" ht="15" customHeight="1" x14ac:dyDescent="0.2">
      <c r="H3379" s="19">
        <v>7.1508531041437296E-3</v>
      </c>
    </row>
    <row r="3380" spans="8:8" ht="15" customHeight="1" x14ac:dyDescent="0.2">
      <c r="H3380" s="19">
        <v>1.5248009583413699E-2</v>
      </c>
    </row>
    <row r="3381" spans="8:8" ht="15" customHeight="1" x14ac:dyDescent="0.2">
      <c r="H3381" s="19">
        <v>-5.27364513764876E-3</v>
      </c>
    </row>
    <row r="3382" spans="8:8" ht="15" customHeight="1" x14ac:dyDescent="0.2">
      <c r="H3382" s="19">
        <v>5.2629437501923899E-3</v>
      </c>
    </row>
    <row r="3383" spans="8:8" ht="15" customHeight="1" x14ac:dyDescent="0.2">
      <c r="H3383" s="19">
        <v>7.1012429209749801E-3</v>
      </c>
    </row>
    <row r="3384" spans="8:8" ht="15" customHeight="1" x14ac:dyDescent="0.2">
      <c r="H3384" s="19">
        <v>-1.77347567805425E-2</v>
      </c>
    </row>
    <row r="3385" spans="8:8" ht="15" customHeight="1" x14ac:dyDescent="0.2">
      <c r="H3385" s="19">
        <v>-1.83631796612902E-2</v>
      </c>
    </row>
    <row r="3386" spans="8:8" ht="15" customHeight="1" x14ac:dyDescent="0.2">
      <c r="H3386" s="19">
        <v>7.7592970663367903E-3</v>
      </c>
    </row>
    <row r="3387" spans="8:8" ht="15" customHeight="1" x14ac:dyDescent="0.2">
      <c r="H3387" s="19">
        <v>2.9271062965829198E-2</v>
      </c>
    </row>
    <row r="3388" spans="8:8" ht="15" customHeight="1" x14ac:dyDescent="0.2">
      <c r="H3388" s="19">
        <v>-4.40018408227273E-3</v>
      </c>
    </row>
    <row r="3389" spans="8:8" ht="15" customHeight="1" x14ac:dyDescent="0.2">
      <c r="H3389" s="19">
        <v>-2.1595734805089702E-2</v>
      </c>
    </row>
    <row r="3390" spans="8:8" ht="15" customHeight="1" x14ac:dyDescent="0.2">
      <c r="H3390" s="19">
        <v>4.8741867978091703E-3</v>
      </c>
    </row>
    <row r="3391" spans="8:8" ht="15" customHeight="1" x14ac:dyDescent="0.2">
      <c r="H3391" s="19">
        <v>1.8207728182213698E-2</v>
      </c>
    </row>
    <row r="3392" spans="8:8" ht="15" customHeight="1" x14ac:dyDescent="0.2">
      <c r="H3392" s="19">
        <v>1.2465879962954801E-3</v>
      </c>
    </row>
    <row r="3393" spans="8:8" ht="15" customHeight="1" x14ac:dyDescent="0.2">
      <c r="H3393" s="19">
        <v>7.5238675110143203E-3</v>
      </c>
    </row>
    <row r="3394" spans="8:8" ht="15" customHeight="1" x14ac:dyDescent="0.2">
      <c r="H3394" s="19">
        <v>1.0876370883616201E-2</v>
      </c>
    </row>
    <row r="3395" spans="8:8" ht="15" customHeight="1" x14ac:dyDescent="0.2">
      <c r="H3395" s="19">
        <v>1.81142224636879E-3</v>
      </c>
    </row>
    <row r="3396" spans="8:8" ht="15" customHeight="1" x14ac:dyDescent="0.2">
      <c r="H3396" s="19">
        <v>-1.4969890492450399E-2</v>
      </c>
    </row>
    <row r="3397" spans="8:8" ht="15" customHeight="1" x14ac:dyDescent="0.2">
      <c r="H3397" s="19">
        <v>5.3452133558345499E-3</v>
      </c>
    </row>
    <row r="3398" spans="8:8" ht="15" customHeight="1" x14ac:dyDescent="0.2">
      <c r="H3398" s="19">
        <v>-6.7262796618991101E-3</v>
      </c>
    </row>
    <row r="3399" spans="8:8" ht="15" customHeight="1" x14ac:dyDescent="0.2">
      <c r="H3399" s="19">
        <v>7.9471647533596607E-3</v>
      </c>
    </row>
    <row r="3400" spans="8:8" ht="15" customHeight="1" x14ac:dyDescent="0.2">
      <c r="H3400" s="19">
        <v>1.2069453967872399E-2</v>
      </c>
    </row>
    <row r="3401" spans="8:8" ht="15" customHeight="1" x14ac:dyDescent="0.2">
      <c r="H3401" s="19">
        <v>-3.9344813640168801E-3</v>
      </c>
    </row>
    <row r="3402" spans="8:8" ht="15" customHeight="1" x14ac:dyDescent="0.2">
      <c r="H3402" s="19">
        <v>7.4294718170788204E-3</v>
      </c>
    </row>
    <row r="3403" spans="8:8" ht="15" customHeight="1" x14ac:dyDescent="0.2">
      <c r="H3403" s="19">
        <v>-1.00901051425596E-2</v>
      </c>
    </row>
    <row r="3404" spans="8:8" ht="15" customHeight="1" x14ac:dyDescent="0.2">
      <c r="H3404" s="19">
        <v>7.5511311376268899E-3</v>
      </c>
    </row>
    <row r="3405" spans="8:8" ht="15" customHeight="1" x14ac:dyDescent="0.2">
      <c r="H3405" s="19">
        <v>9.7325148913070501E-3</v>
      </c>
    </row>
    <row r="3406" spans="8:8" ht="15" customHeight="1" x14ac:dyDescent="0.2">
      <c r="H3406" s="19">
        <v>1.3889129235683899E-3</v>
      </c>
    </row>
    <row r="3407" spans="8:8" ht="15" customHeight="1" x14ac:dyDescent="0.2">
      <c r="H3407" s="19">
        <v>-1.4003527429452401E-2</v>
      </c>
    </row>
    <row r="3408" spans="8:8" ht="15" customHeight="1" x14ac:dyDescent="0.2">
      <c r="H3408" s="19">
        <v>3.8439860173936002E-3</v>
      </c>
    </row>
    <row r="3409" spans="8:8" ht="15" customHeight="1" x14ac:dyDescent="0.2">
      <c r="H3409" s="19">
        <v>6.10428107245241E-4</v>
      </c>
    </row>
    <row r="3410" spans="8:8" ht="15" customHeight="1" x14ac:dyDescent="0.2">
      <c r="H3410" s="19">
        <v>-8.1017736914373705E-3</v>
      </c>
    </row>
    <row r="3411" spans="8:8" ht="15" customHeight="1" x14ac:dyDescent="0.2">
      <c r="H3411" s="19">
        <v>7.4164190557396599E-3</v>
      </c>
    </row>
    <row r="3412" spans="8:8" ht="15" customHeight="1" x14ac:dyDescent="0.2">
      <c r="H3412" s="19">
        <v>5.1191401832214904E-3</v>
      </c>
    </row>
    <row r="3413" spans="8:8" ht="15" customHeight="1" x14ac:dyDescent="0.2">
      <c r="H3413" s="19">
        <v>-1.1100304858932399E-2</v>
      </c>
    </row>
    <row r="3414" spans="8:8" ht="15" customHeight="1" x14ac:dyDescent="0.2">
      <c r="H3414" s="19">
        <v>1.16028513886034E-2</v>
      </c>
    </row>
    <row r="3415" spans="8:8" ht="15" customHeight="1" x14ac:dyDescent="0.2">
      <c r="H3415" s="19">
        <v>-1.2043131994767401E-2</v>
      </c>
    </row>
    <row r="3416" spans="8:8" ht="15" customHeight="1" x14ac:dyDescent="0.2">
      <c r="H3416" s="19">
        <v>-2.14254103891552E-2</v>
      </c>
    </row>
    <row r="3417" spans="8:8" ht="15" customHeight="1" x14ac:dyDescent="0.2">
      <c r="H3417" s="19">
        <v>-1.6514183443098799E-2</v>
      </c>
    </row>
    <row r="3418" spans="8:8" ht="15" customHeight="1" x14ac:dyDescent="0.2">
      <c r="H3418" s="19">
        <v>-3.7274296125231602E-3</v>
      </c>
    </row>
    <row r="3419" spans="8:8" ht="15" customHeight="1" x14ac:dyDescent="0.2">
      <c r="H3419" s="19">
        <v>-5.0123420750054397E-3</v>
      </c>
    </row>
    <row r="3420" spans="8:8" ht="15" customHeight="1" x14ac:dyDescent="0.2">
      <c r="H3420" s="19">
        <v>-2.1994809227047499E-2</v>
      </c>
    </row>
    <row r="3421" spans="8:8" ht="15" customHeight="1" x14ac:dyDescent="0.2">
      <c r="H3421" s="19">
        <v>2.2860591075492599E-3</v>
      </c>
    </row>
    <row r="3422" spans="8:8" ht="15" customHeight="1" x14ac:dyDescent="0.2">
      <c r="H3422" s="19">
        <v>1.6379154217877199E-2</v>
      </c>
    </row>
    <row r="3423" spans="8:8" ht="15" customHeight="1" x14ac:dyDescent="0.2">
      <c r="H3423" s="19">
        <v>-9.8923577808554906E-3</v>
      </c>
    </row>
    <row r="3424" spans="8:8" ht="15" customHeight="1" x14ac:dyDescent="0.2">
      <c r="H3424" s="19">
        <v>2.80059914200627E-3</v>
      </c>
    </row>
    <row r="3425" spans="8:8" ht="15" customHeight="1" x14ac:dyDescent="0.2">
      <c r="H3425" s="19">
        <v>-1.41248763880302E-2</v>
      </c>
    </row>
    <row r="3426" spans="8:8" ht="15" customHeight="1" x14ac:dyDescent="0.2">
      <c r="H3426" s="19">
        <v>-7.2609278204431599E-3</v>
      </c>
    </row>
    <row r="3427" spans="8:8" ht="15" customHeight="1" x14ac:dyDescent="0.2">
      <c r="H3427" s="19">
        <v>1.09459586295027E-2</v>
      </c>
    </row>
    <row r="3428" spans="8:8" ht="15" customHeight="1" x14ac:dyDescent="0.2">
      <c r="H3428" s="19">
        <v>-5.5594943750602701E-3</v>
      </c>
    </row>
    <row r="3429" spans="8:8" ht="15" customHeight="1" x14ac:dyDescent="0.2">
      <c r="H3429" s="19">
        <v>1.0225605358702599E-2</v>
      </c>
    </row>
    <row r="3430" spans="8:8" ht="15" customHeight="1" x14ac:dyDescent="0.2">
      <c r="H3430" s="19">
        <v>-6.0586274306961702E-3</v>
      </c>
    </row>
    <row r="3431" spans="8:8" ht="15" customHeight="1" x14ac:dyDescent="0.2">
      <c r="H3431" s="19">
        <v>-1.07601740549531E-2</v>
      </c>
    </row>
    <row r="3432" spans="8:8" ht="15" customHeight="1" x14ac:dyDescent="0.2">
      <c r="H3432" s="19">
        <v>-8.0411377633411597E-3</v>
      </c>
    </row>
    <row r="3433" spans="8:8" ht="15" customHeight="1" x14ac:dyDescent="0.2">
      <c r="H3433" s="19">
        <v>4.9363984711904303E-3</v>
      </c>
    </row>
    <row r="3434" spans="8:8" ht="15" customHeight="1" x14ac:dyDescent="0.2">
      <c r="H3434" s="19">
        <v>-3.2837232161355501E-3</v>
      </c>
    </row>
    <row r="3435" spans="8:8" ht="15" customHeight="1" x14ac:dyDescent="0.2">
      <c r="H3435" s="19">
        <v>-1.1228743963204901E-2</v>
      </c>
    </row>
    <row r="3436" spans="8:8" ht="15" customHeight="1" x14ac:dyDescent="0.2">
      <c r="H3436" s="19">
        <v>-9.1571828869409597E-3</v>
      </c>
    </row>
    <row r="3437" spans="8:8" ht="15" customHeight="1" x14ac:dyDescent="0.2">
      <c r="H3437" s="19">
        <v>3.7248490971521901E-3</v>
      </c>
    </row>
    <row r="3438" spans="8:8" ht="15" customHeight="1" x14ac:dyDescent="0.2">
      <c r="H3438" s="19">
        <v>8.7696841769008202E-3</v>
      </c>
    </row>
    <row r="3439" spans="8:8" ht="15" customHeight="1" x14ac:dyDescent="0.2">
      <c r="H3439" s="19">
        <v>-2.1448816675944501E-2</v>
      </c>
    </row>
    <row r="3440" spans="8:8" ht="15" customHeight="1" x14ac:dyDescent="0.2">
      <c r="H3440" s="19">
        <v>3.9565782586848302E-3</v>
      </c>
    </row>
    <row r="3441" spans="8:8" ht="15" customHeight="1" x14ac:dyDescent="0.2">
      <c r="H3441" s="19">
        <v>-1.2453019267772401E-2</v>
      </c>
    </row>
    <row r="3442" spans="8:8" ht="15" customHeight="1" x14ac:dyDescent="0.2">
      <c r="H3442" s="19">
        <v>-1.7773337982316801E-2</v>
      </c>
    </row>
    <row r="3443" spans="8:8" ht="15" customHeight="1" x14ac:dyDescent="0.2">
      <c r="H3443" s="19">
        <v>2.8803709679722398E-3</v>
      </c>
    </row>
    <row r="3444" spans="8:8" ht="15" customHeight="1" x14ac:dyDescent="0.2">
      <c r="H3444" s="19">
        <v>7.9313979378011004E-3</v>
      </c>
    </row>
    <row r="3445" spans="8:8" ht="15" customHeight="1" x14ac:dyDescent="0.2">
      <c r="H3445" s="19">
        <v>3.9929321819080098E-4</v>
      </c>
    </row>
    <row r="3446" spans="8:8" ht="15" customHeight="1" x14ac:dyDescent="0.2">
      <c r="H3446" s="19">
        <v>6.2369512969410396E-3</v>
      </c>
    </row>
    <row r="3447" spans="8:8" ht="15" customHeight="1" x14ac:dyDescent="0.2">
      <c r="H3447" s="19">
        <v>-1.90232474686714E-2</v>
      </c>
    </row>
    <row r="3448" spans="8:8" ht="15" customHeight="1" x14ac:dyDescent="0.2">
      <c r="H3448" s="19">
        <v>6.3747553000821598E-3</v>
      </c>
    </row>
    <row r="3449" spans="8:8" ht="15" customHeight="1" x14ac:dyDescent="0.2">
      <c r="H3449" s="19">
        <v>-5.5468975888661003E-3</v>
      </c>
    </row>
    <row r="3450" spans="8:8" ht="15" customHeight="1" x14ac:dyDescent="0.2">
      <c r="H3450" s="19">
        <v>-7.5517263095511702E-3</v>
      </c>
    </row>
    <row r="3451" spans="8:8" ht="15" customHeight="1" x14ac:dyDescent="0.2">
      <c r="H3451" s="19">
        <v>2.5285359288420802E-4</v>
      </c>
    </row>
    <row r="3452" spans="8:8" ht="15" customHeight="1" x14ac:dyDescent="0.2">
      <c r="H3452" s="19">
        <v>1.05331835654919E-3</v>
      </c>
    </row>
    <row r="3453" spans="8:8" ht="15" customHeight="1" x14ac:dyDescent="0.2">
      <c r="H3453" s="19">
        <v>-5.9518194311713396E-3</v>
      </c>
    </row>
    <row r="3454" spans="8:8" ht="15" customHeight="1" x14ac:dyDescent="0.2">
      <c r="H3454" s="19">
        <v>-1.8301125936514801E-2</v>
      </c>
    </row>
    <row r="3455" spans="8:8" ht="15" customHeight="1" x14ac:dyDescent="0.2">
      <c r="H3455" s="19">
        <v>-1.65935510583056E-3</v>
      </c>
    </row>
    <row r="3456" spans="8:8" ht="15" customHeight="1" x14ac:dyDescent="0.2">
      <c r="H3456" s="19">
        <v>1.18340654886708E-3</v>
      </c>
    </row>
    <row r="3457" spans="8:8" ht="15" customHeight="1" x14ac:dyDescent="0.2">
      <c r="H3457" s="19">
        <v>-5.7898744391742E-3</v>
      </c>
    </row>
    <row r="3458" spans="8:8" ht="15" customHeight="1" x14ac:dyDescent="0.2">
      <c r="H3458" s="19">
        <v>-2.28451833858286E-2</v>
      </c>
    </row>
    <row r="3459" spans="8:8" ht="15" customHeight="1" x14ac:dyDescent="0.2">
      <c r="H3459" s="19">
        <v>1.0351600976019201E-3</v>
      </c>
    </row>
    <row r="3460" spans="8:8" ht="15" customHeight="1" x14ac:dyDescent="0.2">
      <c r="H3460" s="19">
        <v>-4.3914511135820499E-4</v>
      </c>
    </row>
    <row r="3461" spans="8:8" ht="15" customHeight="1" x14ac:dyDescent="0.2">
      <c r="H3461" s="19">
        <v>-7.45475540846742E-3</v>
      </c>
    </row>
    <row r="3462" spans="8:8" ht="15" customHeight="1" x14ac:dyDescent="0.2">
      <c r="H3462" s="19">
        <v>-1.4054359656448299E-2</v>
      </c>
    </row>
    <row r="3463" spans="8:8" ht="15" customHeight="1" x14ac:dyDescent="0.2">
      <c r="H3463" s="19">
        <v>-1.47499953196705E-2</v>
      </c>
    </row>
    <row r="3464" spans="8:8" ht="15" customHeight="1" x14ac:dyDescent="0.2">
      <c r="H3464" s="19">
        <v>-2.74175625920792E-3</v>
      </c>
    </row>
    <row r="3465" spans="8:8" ht="15" customHeight="1" x14ac:dyDescent="0.2">
      <c r="H3465" s="19">
        <v>-1.15550547141916E-2</v>
      </c>
    </row>
    <row r="3466" spans="8:8" ht="15" customHeight="1" x14ac:dyDescent="0.2">
      <c r="H3466" s="19">
        <v>1.05827354841714E-2</v>
      </c>
    </row>
    <row r="3467" spans="8:8" ht="15" customHeight="1" x14ac:dyDescent="0.2">
      <c r="H3467" s="19">
        <v>-1.4191648539379299E-2</v>
      </c>
    </row>
    <row r="3468" spans="8:8" ht="15" customHeight="1" x14ac:dyDescent="0.2">
      <c r="H3468" s="19">
        <v>-9.8854294099838605E-3</v>
      </c>
    </row>
    <row r="3469" spans="8:8" ht="15" customHeight="1" x14ac:dyDescent="0.2">
      <c r="H3469" s="19">
        <v>-6.3615205669069804E-3</v>
      </c>
    </row>
    <row r="3470" spans="8:8" ht="15" customHeight="1" x14ac:dyDescent="0.2">
      <c r="H3470" s="19">
        <v>-1.28365279229631E-2</v>
      </c>
    </row>
    <row r="3471" spans="8:8" ht="15" customHeight="1" x14ac:dyDescent="0.2">
      <c r="H3471" s="19">
        <v>2.1561920215615801E-2</v>
      </c>
    </row>
    <row r="3472" spans="8:8" ht="15" customHeight="1" x14ac:dyDescent="0.2">
      <c r="H3472" s="19">
        <v>1.32513339745513E-2</v>
      </c>
    </row>
    <row r="3473" spans="8:8" ht="15" customHeight="1" x14ac:dyDescent="0.2">
      <c r="H3473" s="19">
        <v>-1.02988782128281E-2</v>
      </c>
    </row>
    <row r="3474" spans="8:8" ht="15" customHeight="1" x14ac:dyDescent="0.2">
      <c r="H3474" s="19">
        <v>6.6563916619974102E-3</v>
      </c>
    </row>
    <row r="3475" spans="8:8" ht="15" customHeight="1" x14ac:dyDescent="0.2">
      <c r="H3475" s="19">
        <v>1.35084192693108E-3</v>
      </c>
    </row>
    <row r="3476" spans="8:8" ht="15" customHeight="1" x14ac:dyDescent="0.2">
      <c r="H3476" s="19">
        <v>-7.8759140532376308E-3</v>
      </c>
    </row>
    <row r="3477" spans="8:8" ht="15" customHeight="1" x14ac:dyDescent="0.2">
      <c r="H3477" s="19">
        <v>1.26303544783208E-3</v>
      </c>
    </row>
    <row r="3478" spans="8:8" ht="15" customHeight="1" x14ac:dyDescent="0.2">
      <c r="H3478" s="19">
        <v>1.9192275079622401E-2</v>
      </c>
    </row>
    <row r="3479" spans="8:8" ht="15" customHeight="1" x14ac:dyDescent="0.2">
      <c r="H3479" s="19">
        <v>4.9986652469136599E-3</v>
      </c>
    </row>
    <row r="3480" spans="8:8" ht="15" customHeight="1" x14ac:dyDescent="0.2">
      <c r="H3480" s="19">
        <v>-1.0345201408820901E-2</v>
      </c>
    </row>
    <row r="3481" spans="8:8" ht="15" customHeight="1" x14ac:dyDescent="0.2">
      <c r="H3481" s="19">
        <v>3.0948929921404699E-2</v>
      </c>
    </row>
    <row r="3482" spans="8:8" ht="15" customHeight="1" x14ac:dyDescent="0.2">
      <c r="H3482" s="19">
        <v>-8.0917830002716195E-3</v>
      </c>
    </row>
    <row r="3483" spans="8:8" ht="15" customHeight="1" x14ac:dyDescent="0.2">
      <c r="H3483" s="19">
        <v>-1.7026115249054601E-2</v>
      </c>
    </row>
    <row r="3484" spans="8:8" ht="15" customHeight="1" x14ac:dyDescent="0.2">
      <c r="H3484" s="19">
        <v>-1.24996505447596E-2</v>
      </c>
    </row>
    <row r="3485" spans="8:8" ht="15" customHeight="1" x14ac:dyDescent="0.2">
      <c r="H3485" s="19">
        <v>7.8697423960323604E-3</v>
      </c>
    </row>
    <row r="3486" spans="8:8" ht="15" customHeight="1" x14ac:dyDescent="0.2">
      <c r="H3486" s="19">
        <v>1.0940281768158E-2</v>
      </c>
    </row>
    <row r="3487" spans="8:8" ht="15" customHeight="1" x14ac:dyDescent="0.2">
      <c r="H3487" s="19">
        <v>-5.6338161225384599E-4</v>
      </c>
    </row>
    <row r="3488" spans="8:8" ht="15" customHeight="1" x14ac:dyDescent="0.2">
      <c r="H3488" s="19">
        <v>4.9387669160050902E-3</v>
      </c>
    </row>
    <row r="3489" spans="8:8" ht="15" customHeight="1" x14ac:dyDescent="0.2">
      <c r="H3489" s="19">
        <v>-2.5637100743606499E-2</v>
      </c>
    </row>
    <row r="3490" spans="8:8" ht="15" customHeight="1" x14ac:dyDescent="0.2">
      <c r="H3490" s="19">
        <v>-1.9737786148161799E-2</v>
      </c>
    </row>
    <row r="3491" spans="8:8" ht="15" customHeight="1" x14ac:dyDescent="0.2">
      <c r="H3491" s="19">
        <v>1.04712601632231E-2</v>
      </c>
    </row>
    <row r="3492" spans="8:8" ht="15" customHeight="1" x14ac:dyDescent="0.2">
      <c r="H3492" s="19">
        <v>5.5152742381102699E-3</v>
      </c>
    </row>
    <row r="3493" spans="8:8" ht="15" customHeight="1" x14ac:dyDescent="0.2">
      <c r="H3493" s="19">
        <v>-1.4518634426777899E-3</v>
      </c>
    </row>
    <row r="3494" spans="8:8" ht="15" customHeight="1" x14ac:dyDescent="0.2">
      <c r="H3494" s="19">
        <v>1.24844000626828E-2</v>
      </c>
    </row>
    <row r="3495" spans="8:8" ht="15" customHeight="1" x14ac:dyDescent="0.2">
      <c r="H3495" s="19">
        <v>2.4637480188947002E-4</v>
      </c>
    </row>
    <row r="3496" spans="8:8" ht="15" customHeight="1" x14ac:dyDescent="0.2">
      <c r="H3496" s="19">
        <v>-8.1220205997798393E-3</v>
      </c>
    </row>
    <row r="3497" spans="8:8" ht="15" customHeight="1" x14ac:dyDescent="0.2">
      <c r="H3497" s="19">
        <v>-1.0848386731579601E-2</v>
      </c>
    </row>
    <row r="3498" spans="8:8" ht="15" customHeight="1" x14ac:dyDescent="0.2">
      <c r="H3498" s="19">
        <v>-1.70293039554133E-3</v>
      </c>
    </row>
    <row r="3499" spans="8:8" ht="15" customHeight="1" x14ac:dyDescent="0.2">
      <c r="H3499" s="19">
        <v>1.31161717955636E-2</v>
      </c>
    </row>
    <row r="3500" spans="8:8" ht="15" customHeight="1" x14ac:dyDescent="0.2">
      <c r="H3500" s="19">
        <v>-1.31470830428797E-3</v>
      </c>
    </row>
    <row r="3501" spans="8:8" ht="15" customHeight="1" x14ac:dyDescent="0.2">
      <c r="H3501" s="19">
        <v>-2.6425689601413701E-3</v>
      </c>
    </row>
    <row r="3502" spans="8:8" ht="15" customHeight="1" x14ac:dyDescent="0.2">
      <c r="H3502" s="19">
        <v>1.2635246699842001E-3</v>
      </c>
    </row>
    <row r="3503" spans="8:8" ht="15" customHeight="1" x14ac:dyDescent="0.2">
      <c r="H3503" s="19">
        <v>-2.1856139389800099E-2</v>
      </c>
    </row>
    <row r="3504" spans="8:8" ht="15" customHeight="1" x14ac:dyDescent="0.2">
      <c r="H3504" s="19">
        <v>4.7558960926087097E-3</v>
      </c>
    </row>
    <row r="3505" spans="8:8" ht="15" customHeight="1" x14ac:dyDescent="0.2">
      <c r="H3505" s="19">
        <v>1.4821682334200399E-2</v>
      </c>
    </row>
    <row r="3506" spans="8:8" ht="15" customHeight="1" x14ac:dyDescent="0.2">
      <c r="H3506" s="19">
        <v>-8.82122217134991E-3</v>
      </c>
    </row>
    <row r="3507" spans="8:8" ht="15" customHeight="1" x14ac:dyDescent="0.2">
      <c r="H3507" s="19">
        <v>6.7574436044828797E-3</v>
      </c>
    </row>
    <row r="3508" spans="8:8" ht="15" customHeight="1" x14ac:dyDescent="0.2">
      <c r="H3508" s="19">
        <v>1.3840588431676199E-2</v>
      </c>
    </row>
    <row r="3509" spans="8:8" ht="15" customHeight="1" x14ac:dyDescent="0.2">
      <c r="H3509" s="19">
        <v>-1.07240120248392E-2</v>
      </c>
    </row>
    <row r="3510" spans="8:8" ht="15" customHeight="1" x14ac:dyDescent="0.2">
      <c r="H3510" s="19">
        <v>-5.4836666855539304E-3</v>
      </c>
    </row>
    <row r="3511" spans="8:8" ht="15" customHeight="1" x14ac:dyDescent="0.2">
      <c r="H3511" s="19">
        <v>-1.0644778091223901E-2</v>
      </c>
    </row>
    <row r="3512" spans="8:8" ht="15" customHeight="1" x14ac:dyDescent="0.2">
      <c r="H3512" s="19">
        <v>8.4270531979088199E-3</v>
      </c>
    </row>
    <row r="3513" spans="8:8" ht="15" customHeight="1" x14ac:dyDescent="0.2">
      <c r="H3513" s="19">
        <v>1.4167370013834901E-3</v>
      </c>
    </row>
    <row r="3514" spans="8:8" ht="15" customHeight="1" x14ac:dyDescent="0.2">
      <c r="H3514" s="19">
        <v>9.4661514646917893E-3</v>
      </c>
    </row>
    <row r="3515" spans="8:8" ht="15" customHeight="1" x14ac:dyDescent="0.2">
      <c r="H3515" s="19">
        <v>1.06162050970215E-2</v>
      </c>
    </row>
    <row r="3516" spans="8:8" ht="15" customHeight="1" x14ac:dyDescent="0.2">
      <c r="H3516" s="19">
        <v>-1.42100905720072E-2</v>
      </c>
    </row>
    <row r="3517" spans="8:8" ht="15" customHeight="1" x14ac:dyDescent="0.2">
      <c r="H3517" s="19">
        <v>-7.3803031033501101E-3</v>
      </c>
    </row>
    <row r="3518" spans="8:8" ht="15" customHeight="1" x14ac:dyDescent="0.2">
      <c r="H3518" s="19">
        <v>-1.30796789820318E-3</v>
      </c>
    </row>
    <row r="3519" spans="8:8" ht="15" customHeight="1" x14ac:dyDescent="0.2">
      <c r="H3519" s="19">
        <v>1.18758120045791E-2</v>
      </c>
    </row>
    <row r="3520" spans="8:8" ht="15" customHeight="1" x14ac:dyDescent="0.2">
      <c r="H3520" s="19">
        <v>6.4496436277985498E-3</v>
      </c>
    </row>
    <row r="3521" spans="8:8" ht="15" customHeight="1" x14ac:dyDescent="0.2">
      <c r="H3521" s="19">
        <v>3.9771571581994399E-3</v>
      </c>
    </row>
    <row r="3522" spans="8:8" ht="15" customHeight="1" x14ac:dyDescent="0.2">
      <c r="H3522" s="19">
        <v>2.4085914407361098E-3</v>
      </c>
    </row>
    <row r="3523" spans="8:8" ht="15" customHeight="1" x14ac:dyDescent="0.2">
      <c r="H3523" s="19">
        <v>5.4667957520515304E-3</v>
      </c>
    </row>
    <row r="3524" spans="8:8" ht="15" customHeight="1" x14ac:dyDescent="0.2">
      <c r="H3524" s="19">
        <v>7.94318578560314E-3</v>
      </c>
    </row>
    <row r="3525" spans="8:8" ht="15" customHeight="1" x14ac:dyDescent="0.2">
      <c r="H3525" s="19">
        <v>1.52015286651489E-2</v>
      </c>
    </row>
    <row r="3526" spans="8:8" ht="15" customHeight="1" x14ac:dyDescent="0.2">
      <c r="H3526" s="19">
        <v>-7.8968548869702698E-3</v>
      </c>
    </row>
    <row r="3527" spans="8:8" ht="15" customHeight="1" x14ac:dyDescent="0.2">
      <c r="H3527" s="19">
        <v>2.05385003477952E-2</v>
      </c>
    </row>
    <row r="3528" spans="8:8" ht="15" customHeight="1" x14ac:dyDescent="0.2">
      <c r="H3528" s="19">
        <v>5.4505468825239703E-4</v>
      </c>
    </row>
    <row r="3529" spans="8:8" ht="15" customHeight="1" x14ac:dyDescent="0.2">
      <c r="H3529" s="19">
        <v>-4.3914533849406601E-3</v>
      </c>
    </row>
    <row r="3530" spans="8:8" ht="15" customHeight="1" x14ac:dyDescent="0.2">
      <c r="H3530" s="19">
        <v>6.3263029399285697E-3</v>
      </c>
    </row>
    <row r="3531" spans="8:8" ht="15" customHeight="1" x14ac:dyDescent="0.2">
      <c r="H3531" s="19">
        <v>-7.8565388078154896E-3</v>
      </c>
    </row>
    <row r="3532" spans="8:8" ht="15" customHeight="1" x14ac:dyDescent="0.2">
      <c r="H3532" s="19">
        <v>2.5113922266628001E-2</v>
      </c>
    </row>
    <row r="3533" spans="8:8" ht="15" customHeight="1" x14ac:dyDescent="0.2">
      <c r="H3533" s="19">
        <v>-1.9495866966717599E-2</v>
      </c>
    </row>
    <row r="3534" spans="8:8" ht="15" customHeight="1" x14ac:dyDescent="0.2">
      <c r="H3534" s="19">
        <v>2.0024474465927698E-3</v>
      </c>
    </row>
    <row r="3535" spans="8:8" ht="15" customHeight="1" x14ac:dyDescent="0.2">
      <c r="H3535" s="19">
        <v>-9.7774995513048198E-3</v>
      </c>
    </row>
    <row r="3536" spans="8:8" ht="15" customHeight="1" x14ac:dyDescent="0.2">
      <c r="H3536" s="19">
        <v>7.1322557852967095E-4</v>
      </c>
    </row>
    <row r="3537" spans="8:8" ht="15" customHeight="1" x14ac:dyDescent="0.2">
      <c r="H3537" s="19">
        <v>2.5004451963939302E-3</v>
      </c>
    </row>
    <row r="3538" spans="8:8" ht="15" customHeight="1" x14ac:dyDescent="0.2">
      <c r="H3538" s="19">
        <v>1.9125013824294799E-2</v>
      </c>
    </row>
    <row r="3539" spans="8:8" ht="15" customHeight="1" x14ac:dyDescent="0.2">
      <c r="H3539" s="19">
        <v>-6.6018767126860096E-3</v>
      </c>
    </row>
    <row r="3540" spans="8:8" ht="15" customHeight="1" x14ac:dyDescent="0.2">
      <c r="H3540" s="19">
        <v>-9.9087904994261695E-3</v>
      </c>
    </row>
    <row r="3541" spans="8:8" ht="15" customHeight="1" x14ac:dyDescent="0.2">
      <c r="H3541" s="19">
        <v>-2.06770240754123E-2</v>
      </c>
    </row>
    <row r="3542" spans="8:8" ht="15" customHeight="1" x14ac:dyDescent="0.2">
      <c r="H3542" s="19">
        <v>-8.2032771543462807E-3</v>
      </c>
    </row>
    <row r="3543" spans="8:8" ht="15" customHeight="1" x14ac:dyDescent="0.2">
      <c r="H3543" s="19">
        <v>9.5079226739856002E-3</v>
      </c>
    </row>
    <row r="3544" spans="8:8" ht="15" customHeight="1" x14ac:dyDescent="0.2">
      <c r="H3544" s="19">
        <v>1.54646143925657E-3</v>
      </c>
    </row>
    <row r="3545" spans="8:8" ht="15" customHeight="1" x14ac:dyDescent="0.2">
      <c r="H3545" s="19">
        <v>-1.40662501367642E-2</v>
      </c>
    </row>
    <row r="3546" spans="8:8" ht="15" customHeight="1" x14ac:dyDescent="0.2">
      <c r="H3546" s="19">
        <v>-7.7374662911684202E-3</v>
      </c>
    </row>
    <row r="3547" spans="8:8" ht="15" customHeight="1" x14ac:dyDescent="0.2">
      <c r="H3547" s="19">
        <v>-5.0277068591777904E-3</v>
      </c>
    </row>
    <row r="3548" spans="8:8" ht="15" customHeight="1" x14ac:dyDescent="0.2">
      <c r="H3548" s="19">
        <v>-3.9738028874174401E-3</v>
      </c>
    </row>
    <row r="3549" spans="8:8" ht="15" customHeight="1" x14ac:dyDescent="0.2">
      <c r="H3549" s="19">
        <v>1.9589419872336901E-2</v>
      </c>
    </row>
    <row r="3550" spans="8:8" ht="15" customHeight="1" x14ac:dyDescent="0.2">
      <c r="H3550" s="19">
        <v>1.8765069782164701E-3</v>
      </c>
    </row>
    <row r="3551" spans="8:8" ht="15" customHeight="1" x14ac:dyDescent="0.2">
      <c r="H3551" s="19">
        <v>7.1868406251981407E-5</v>
      </c>
    </row>
    <row r="3552" spans="8:8" ht="15" customHeight="1" x14ac:dyDescent="0.2">
      <c r="H3552" s="19">
        <v>1.4405545960447399E-2</v>
      </c>
    </row>
    <row r="3553" spans="8:8" ht="15" customHeight="1" x14ac:dyDescent="0.2">
      <c r="H3553" s="19">
        <v>-1.0624713530069701E-2</v>
      </c>
    </row>
    <row r="3554" spans="8:8" ht="15" customHeight="1" x14ac:dyDescent="0.2">
      <c r="H3554" s="19">
        <v>7.5799025331027203E-3</v>
      </c>
    </row>
    <row r="3555" spans="8:8" ht="15" customHeight="1" x14ac:dyDescent="0.2">
      <c r="H3555" s="19">
        <v>-1.0796648265089401E-2</v>
      </c>
    </row>
    <row r="3556" spans="8:8" ht="15" customHeight="1" x14ac:dyDescent="0.2">
      <c r="H3556" s="19">
        <v>7.8099771492005801E-4</v>
      </c>
    </row>
    <row r="3557" spans="8:8" ht="15" customHeight="1" x14ac:dyDescent="0.2">
      <c r="H3557" s="19">
        <v>-9.7686767703965508E-3</v>
      </c>
    </row>
    <row r="3558" spans="8:8" ht="15" customHeight="1" x14ac:dyDescent="0.2">
      <c r="H3558" s="19">
        <v>5.4089499206903804E-3</v>
      </c>
    </row>
    <row r="3559" spans="8:8" ht="15" customHeight="1" x14ac:dyDescent="0.2">
      <c r="H3559" s="19">
        <v>1.9444927928199301E-3</v>
      </c>
    </row>
    <row r="3560" spans="8:8" ht="15" customHeight="1" x14ac:dyDescent="0.2">
      <c r="H3560" s="19">
        <v>1.1166401538462E-2</v>
      </c>
    </row>
    <row r="3561" spans="8:8" ht="15" customHeight="1" x14ac:dyDescent="0.2">
      <c r="H3561" s="19">
        <v>-3.0403840019341999E-3</v>
      </c>
    </row>
    <row r="3562" spans="8:8" ht="15" customHeight="1" x14ac:dyDescent="0.2">
      <c r="H3562" s="19">
        <v>6.8045991123798898E-3</v>
      </c>
    </row>
    <row r="3563" spans="8:8" ht="15" customHeight="1" x14ac:dyDescent="0.2">
      <c r="H3563" s="19">
        <v>-8.2200522908782905E-3</v>
      </c>
    </row>
    <row r="3564" spans="8:8" ht="15" customHeight="1" x14ac:dyDescent="0.2">
      <c r="H3564" s="19">
        <v>-8.0227575286472806E-3</v>
      </c>
    </row>
    <row r="3565" spans="8:8" ht="15" customHeight="1" x14ac:dyDescent="0.2">
      <c r="H3565" s="19">
        <v>6.4145960719525401E-3</v>
      </c>
    </row>
    <row r="3566" spans="8:8" ht="15" customHeight="1" x14ac:dyDescent="0.2">
      <c r="H3566" s="19">
        <v>-1.11068165675737E-2</v>
      </c>
    </row>
    <row r="3567" spans="8:8" ht="15" customHeight="1" x14ac:dyDescent="0.2">
      <c r="H3567" s="19">
        <v>7.0694536173153098E-3</v>
      </c>
    </row>
    <row r="3568" spans="8:8" ht="15" customHeight="1" x14ac:dyDescent="0.2">
      <c r="H3568" s="19">
        <v>-1.9697891376617501E-3</v>
      </c>
    </row>
    <row r="3569" spans="8:8" ht="15" customHeight="1" x14ac:dyDescent="0.2">
      <c r="H3569" s="19">
        <v>-6.2252734881415302E-4</v>
      </c>
    </row>
    <row r="3570" spans="8:8" ht="15" customHeight="1" x14ac:dyDescent="0.2">
      <c r="H3570" s="19">
        <v>1.7010653480776201E-2</v>
      </c>
    </row>
    <row r="3571" spans="8:8" ht="15" customHeight="1" x14ac:dyDescent="0.2">
      <c r="H3571" s="19">
        <v>-3.2624237885968501E-3</v>
      </c>
    </row>
    <row r="3572" spans="8:8" ht="15" customHeight="1" x14ac:dyDescent="0.2">
      <c r="H3572" s="19">
        <v>1.16754786989014E-2</v>
      </c>
    </row>
    <row r="3573" spans="8:8" ht="15" customHeight="1" x14ac:dyDescent="0.2">
      <c r="H3573" s="19">
        <v>8.22551496171838E-3</v>
      </c>
    </row>
    <row r="3574" spans="8:8" ht="15" customHeight="1" x14ac:dyDescent="0.2">
      <c r="H3574" s="19">
        <v>4.1782954040209101E-4</v>
      </c>
    </row>
    <row r="3575" spans="8:8" ht="15" customHeight="1" x14ac:dyDescent="0.2">
      <c r="H3575" s="19">
        <v>9.1431579654561498E-3</v>
      </c>
    </row>
    <row r="3576" spans="8:8" ht="15" customHeight="1" x14ac:dyDescent="0.2">
      <c r="H3576" s="19">
        <v>5.0043620867478199E-3</v>
      </c>
    </row>
    <row r="3577" spans="8:8" ht="15" customHeight="1" x14ac:dyDescent="0.2">
      <c r="H3577" s="19">
        <v>-9.4957557005226703E-4</v>
      </c>
    </row>
    <row r="3578" spans="8:8" ht="15" customHeight="1" x14ac:dyDescent="0.2">
      <c r="H3578" s="19">
        <v>6.2090363208131298E-3</v>
      </c>
    </row>
    <row r="3579" spans="8:8" ht="15" customHeight="1" x14ac:dyDescent="0.2">
      <c r="H3579" s="19">
        <v>8.2825501495868495E-3</v>
      </c>
    </row>
    <row r="3580" spans="8:8" ht="15" customHeight="1" x14ac:dyDescent="0.2">
      <c r="H3580" s="19">
        <v>3.6764741443654999E-3</v>
      </c>
    </row>
    <row r="3581" spans="8:8" ht="15" customHeight="1" x14ac:dyDescent="0.2">
      <c r="H3581" s="19">
        <v>-8.6233815807617905E-3</v>
      </c>
    </row>
    <row r="3582" spans="8:8" ht="15" customHeight="1" x14ac:dyDescent="0.2">
      <c r="H3582" s="19">
        <v>1.02980813962759E-2</v>
      </c>
    </row>
    <row r="3583" spans="8:8" ht="15" customHeight="1" x14ac:dyDescent="0.2">
      <c r="H3583" s="19">
        <v>2.6200826726997799E-2</v>
      </c>
    </row>
    <row r="3584" spans="8:8" ht="15" customHeight="1" x14ac:dyDescent="0.2">
      <c r="H3584" s="19">
        <v>-1.0673680962417101E-2</v>
      </c>
    </row>
    <row r="3585" spans="8:8" ht="15" customHeight="1" x14ac:dyDescent="0.2">
      <c r="H3585" s="19">
        <v>1.6219624226442301E-2</v>
      </c>
    </row>
    <row r="3586" spans="8:8" ht="15" customHeight="1" x14ac:dyDescent="0.2">
      <c r="H3586" s="19">
        <v>4.3468910334679596E-3</v>
      </c>
    </row>
    <row r="3587" spans="8:8" ht="15" customHeight="1" x14ac:dyDescent="0.2">
      <c r="H3587" s="19">
        <v>-1.6271569913037701E-2</v>
      </c>
    </row>
    <row r="3588" spans="8:8" ht="15" customHeight="1" x14ac:dyDescent="0.2">
      <c r="H3588" s="19">
        <v>1.24175508519116E-2</v>
      </c>
    </row>
    <row r="3589" spans="8:8" ht="15" customHeight="1" x14ac:dyDescent="0.2">
      <c r="H3589" s="19">
        <v>-8.5668762244489292E-3</v>
      </c>
    </row>
    <row r="3590" spans="8:8" ht="15" customHeight="1" x14ac:dyDescent="0.2">
      <c r="H3590" s="19">
        <v>-4.9261614933778499E-3</v>
      </c>
    </row>
    <row r="3591" spans="8:8" ht="15" customHeight="1" x14ac:dyDescent="0.2">
      <c r="H3591" s="19">
        <v>-3.2365024592189302E-4</v>
      </c>
    </row>
    <row r="3592" spans="8:8" ht="15" customHeight="1" x14ac:dyDescent="0.2">
      <c r="H3592" s="19">
        <v>-4.21622454828366E-3</v>
      </c>
    </row>
    <row r="3593" spans="8:8" ht="15" customHeight="1" x14ac:dyDescent="0.2">
      <c r="H3593" s="19">
        <v>1.00102009563608E-2</v>
      </c>
    </row>
    <row r="3594" spans="8:8" ht="15" customHeight="1" x14ac:dyDescent="0.2">
      <c r="H3594" s="19">
        <v>-1.0012915614542499E-2</v>
      </c>
    </row>
    <row r="3595" spans="8:8" ht="15" customHeight="1" x14ac:dyDescent="0.2">
      <c r="H3595" s="19">
        <v>-1.9657037145876102E-2</v>
      </c>
    </row>
    <row r="3596" spans="8:8" ht="15" customHeight="1" x14ac:dyDescent="0.2">
      <c r="H3596" s="19">
        <v>1.4204355150158E-3</v>
      </c>
    </row>
    <row r="3597" spans="8:8" ht="15" customHeight="1" x14ac:dyDescent="0.2">
      <c r="H3597" s="19">
        <v>7.3066134095680301E-4</v>
      </c>
    </row>
    <row r="3598" spans="8:8" ht="15" customHeight="1" x14ac:dyDescent="0.2">
      <c r="H3598" s="19">
        <v>-1.30432456329522E-2</v>
      </c>
    </row>
    <row r="3599" spans="8:8" ht="15" customHeight="1" x14ac:dyDescent="0.2">
      <c r="H3599" s="19">
        <v>2.4164905872068698E-3</v>
      </c>
    </row>
    <row r="3600" spans="8:8" ht="15" customHeight="1" x14ac:dyDescent="0.2">
      <c r="H3600" s="19">
        <v>4.7753838845339801E-3</v>
      </c>
    </row>
    <row r="3601" spans="8:8" ht="15" customHeight="1" x14ac:dyDescent="0.2">
      <c r="H3601" s="19">
        <v>-1.0606128257013301E-2</v>
      </c>
    </row>
    <row r="3602" spans="8:8" ht="15" customHeight="1" x14ac:dyDescent="0.2">
      <c r="H3602" s="19">
        <v>3.4447643551378001E-3</v>
      </c>
    </row>
    <row r="3603" spans="8:8" ht="15" customHeight="1" x14ac:dyDescent="0.2">
      <c r="H3603" s="19">
        <v>4.3668098065970801E-3</v>
      </c>
    </row>
    <row r="3604" spans="8:8" ht="15" customHeight="1" x14ac:dyDescent="0.2">
      <c r="H3604" s="19">
        <v>5.3323014023620597E-3</v>
      </c>
    </row>
    <row r="3605" spans="8:8" ht="15" customHeight="1" x14ac:dyDescent="0.2">
      <c r="H3605" s="19">
        <v>9.8173796576064495E-3</v>
      </c>
    </row>
    <row r="3606" spans="8:8" ht="15" customHeight="1" x14ac:dyDescent="0.2">
      <c r="H3606" s="19">
        <v>1.27528802092042E-2</v>
      </c>
    </row>
    <row r="3607" spans="8:8" ht="15" customHeight="1" x14ac:dyDescent="0.2">
      <c r="H3607" s="19">
        <v>1.43853603373632E-3</v>
      </c>
    </row>
    <row r="3608" spans="8:8" ht="15" customHeight="1" x14ac:dyDescent="0.2">
      <c r="H3608" s="19">
        <v>-3.1808523116772899E-5</v>
      </c>
    </row>
    <row r="3609" spans="8:8" ht="15" customHeight="1" x14ac:dyDescent="0.2">
      <c r="H3609" s="19">
        <v>6.4564101930908498E-3</v>
      </c>
    </row>
    <row r="3610" spans="8:8" ht="15" customHeight="1" x14ac:dyDescent="0.2">
      <c r="H3610" s="19">
        <v>-1.30273342813881E-2</v>
      </c>
    </row>
    <row r="3611" spans="8:8" ht="15" customHeight="1" x14ac:dyDescent="0.2">
      <c r="H3611" s="19">
        <v>-2.8473683746726302E-4</v>
      </c>
    </row>
    <row r="3612" spans="8:8" ht="15" customHeight="1" x14ac:dyDescent="0.2">
      <c r="H3612" s="19">
        <v>-1.3190763276540601E-2</v>
      </c>
    </row>
    <row r="3613" spans="8:8" ht="15" customHeight="1" x14ac:dyDescent="0.2">
      <c r="H3613" s="19">
        <v>6.2972516919859896E-3</v>
      </c>
    </row>
    <row r="3614" spans="8:8" ht="15" customHeight="1" x14ac:dyDescent="0.2">
      <c r="H3614" s="19">
        <v>-3.4687397014764999E-3</v>
      </c>
    </row>
    <row r="3615" spans="8:8" ht="15" customHeight="1" x14ac:dyDescent="0.2">
      <c r="H3615" s="19">
        <v>-6.1703773055521796E-4</v>
      </c>
    </row>
    <row r="3616" spans="8:8" ht="15" customHeight="1" x14ac:dyDescent="0.2">
      <c r="H3616" s="19">
        <v>-6.8234881377065701E-3</v>
      </c>
    </row>
    <row r="3617" spans="8:8" ht="15" customHeight="1" x14ac:dyDescent="0.2">
      <c r="H3617" s="19">
        <v>9.7504079778088001E-3</v>
      </c>
    </row>
    <row r="3618" spans="8:8" ht="15" customHeight="1" x14ac:dyDescent="0.2">
      <c r="H3618" s="19">
        <v>-1.5945536927794698E-2</v>
      </c>
    </row>
    <row r="3619" spans="8:8" ht="15" customHeight="1" x14ac:dyDescent="0.2">
      <c r="H3619" s="19">
        <v>1.7004328263475199E-2</v>
      </c>
    </row>
    <row r="3620" spans="8:8" ht="15" customHeight="1" x14ac:dyDescent="0.2">
      <c r="H3620" s="19">
        <v>1.5583458611582199E-2</v>
      </c>
    </row>
    <row r="3621" spans="8:8" ht="15" customHeight="1" x14ac:dyDescent="0.2">
      <c r="H3621" s="19">
        <v>-3.3603839426887402E-3</v>
      </c>
    </row>
    <row r="3622" spans="8:8" ht="15" customHeight="1" x14ac:dyDescent="0.2">
      <c r="H3622" s="19">
        <v>1.2221545079952999E-2</v>
      </c>
    </row>
    <row r="3623" spans="8:8" ht="15" customHeight="1" x14ac:dyDescent="0.2">
      <c r="H3623" s="19">
        <v>-2.9697139713589702E-4</v>
      </c>
    </row>
    <row r="3624" spans="8:8" ht="15" customHeight="1" x14ac:dyDescent="0.2">
      <c r="H3624" s="19">
        <v>1.3639001676452499E-2</v>
      </c>
    </row>
    <row r="3625" spans="8:8" ht="15" customHeight="1" x14ac:dyDescent="0.2">
      <c r="H3625" s="19">
        <v>4.0727353150419197E-3</v>
      </c>
    </row>
    <row r="3626" spans="8:8" ht="15" customHeight="1" x14ac:dyDescent="0.2">
      <c r="H3626" s="19">
        <v>8.82074248390498E-4</v>
      </c>
    </row>
    <row r="3627" spans="8:8" ht="15" customHeight="1" x14ac:dyDescent="0.2">
      <c r="H3627" s="19">
        <v>-1.09850209791449E-2</v>
      </c>
    </row>
    <row r="3628" spans="8:8" ht="15" customHeight="1" x14ac:dyDescent="0.2">
      <c r="H3628" s="19">
        <v>-4.1476573399843496E-3</v>
      </c>
    </row>
    <row r="3629" spans="8:8" ht="15" customHeight="1" x14ac:dyDescent="0.2">
      <c r="H3629" s="19">
        <v>3.7205218476472298E-3</v>
      </c>
    </row>
    <row r="3630" spans="8:8" ht="15" customHeight="1" x14ac:dyDescent="0.2">
      <c r="H3630" s="19">
        <v>1.0747371647310801E-2</v>
      </c>
    </row>
    <row r="3631" spans="8:8" ht="15" customHeight="1" x14ac:dyDescent="0.2">
      <c r="H3631" s="19">
        <v>-8.2105019855714008E-3</v>
      </c>
    </row>
    <row r="3632" spans="8:8" ht="15" customHeight="1" x14ac:dyDescent="0.2">
      <c r="H3632" s="19">
        <v>-4.4644374488878704E-3</v>
      </c>
    </row>
    <row r="3633" spans="8:8" ht="15" customHeight="1" x14ac:dyDescent="0.2">
      <c r="H3633" s="19">
        <v>-1.3868003544245401E-2</v>
      </c>
    </row>
    <row r="3634" spans="8:8" ht="15" customHeight="1" x14ac:dyDescent="0.2">
      <c r="H3634" s="19">
        <v>-1.02892284302559E-2</v>
      </c>
    </row>
    <row r="3635" spans="8:8" ht="15" customHeight="1" x14ac:dyDescent="0.2">
      <c r="H3635" s="19">
        <v>-1.03150500229333E-2</v>
      </c>
    </row>
    <row r="3636" spans="8:8" ht="15" customHeight="1" x14ac:dyDescent="0.2">
      <c r="H3636" s="19">
        <v>1.2838308612910499E-3</v>
      </c>
    </row>
    <row r="3637" spans="8:8" ht="15" customHeight="1" x14ac:dyDescent="0.2">
      <c r="H3637" s="19">
        <v>-5.6767558977810096E-3</v>
      </c>
    </row>
    <row r="3638" spans="8:8" ht="15" customHeight="1" x14ac:dyDescent="0.2">
      <c r="H3638" s="19">
        <v>-7.4439430299471799E-3</v>
      </c>
    </row>
    <row r="3639" spans="8:8" ht="15" customHeight="1" x14ac:dyDescent="0.2">
      <c r="H3639" s="19">
        <v>-2.8593082467494998E-3</v>
      </c>
    </row>
    <row r="3640" spans="8:8" ht="15" customHeight="1" x14ac:dyDescent="0.2">
      <c r="H3640" s="19">
        <v>-1.6864354138071299E-2</v>
      </c>
    </row>
    <row r="3641" spans="8:8" ht="15" customHeight="1" x14ac:dyDescent="0.2">
      <c r="H3641" s="19">
        <v>1.38968136535627E-2</v>
      </c>
    </row>
    <row r="3642" spans="8:8" ht="15" customHeight="1" x14ac:dyDescent="0.2">
      <c r="H3642" s="19">
        <v>-9.5575075570695899E-3</v>
      </c>
    </row>
    <row r="3643" spans="8:8" ht="15" customHeight="1" x14ac:dyDescent="0.2">
      <c r="H3643" s="19">
        <v>1.2592052860048801E-2</v>
      </c>
    </row>
    <row r="3644" spans="8:8" ht="15" customHeight="1" x14ac:dyDescent="0.2">
      <c r="H3644" s="19">
        <v>1.07156527691726E-2</v>
      </c>
    </row>
    <row r="3645" spans="8:8" ht="15" customHeight="1" x14ac:dyDescent="0.2">
      <c r="H3645" s="19">
        <v>1.8534473833928099E-3</v>
      </c>
    </row>
    <row r="3646" spans="8:8" ht="15" customHeight="1" x14ac:dyDescent="0.2">
      <c r="H3646" s="19">
        <v>8.6679127472065595E-4</v>
      </c>
    </row>
    <row r="3647" spans="8:8" ht="15" customHeight="1" x14ac:dyDescent="0.2">
      <c r="H3647" s="19">
        <v>8.4831848883394796E-3</v>
      </c>
    </row>
    <row r="3648" spans="8:8" ht="15" customHeight="1" x14ac:dyDescent="0.2">
      <c r="H3648" s="19">
        <v>7.6756237146352099E-3</v>
      </c>
    </row>
    <row r="3649" spans="8:8" ht="15" customHeight="1" x14ac:dyDescent="0.2">
      <c r="H3649" s="19">
        <v>9.9345260488680701E-3</v>
      </c>
    </row>
    <row r="3650" spans="8:8" ht="15" customHeight="1" x14ac:dyDescent="0.2">
      <c r="H3650" s="19">
        <v>-9.9103594258445303E-3</v>
      </c>
    </row>
    <row r="3651" spans="8:8" ht="15" customHeight="1" x14ac:dyDescent="0.2">
      <c r="H3651" s="19">
        <v>-1.3679762482763399E-3</v>
      </c>
    </row>
    <row r="3652" spans="8:8" ht="15" customHeight="1" x14ac:dyDescent="0.2">
      <c r="H3652" s="19">
        <v>-1.64319408964144E-2</v>
      </c>
    </row>
    <row r="3653" spans="8:8" ht="15" customHeight="1" x14ac:dyDescent="0.2">
      <c r="H3653" s="19">
        <v>1.5727204661534398E-2</v>
      </c>
    </row>
    <row r="3654" spans="8:8" ht="15" customHeight="1" x14ac:dyDescent="0.2">
      <c r="H3654" s="19">
        <v>-2.6489696429221601E-3</v>
      </c>
    </row>
    <row r="3655" spans="8:8" ht="15" customHeight="1" x14ac:dyDescent="0.2">
      <c r="H3655" s="19">
        <v>-7.4551701085255502E-3</v>
      </c>
    </row>
    <row r="3656" spans="8:8" ht="15" customHeight="1" x14ac:dyDescent="0.2">
      <c r="H3656" s="19">
        <v>1.7266399308684399E-3</v>
      </c>
    </row>
    <row r="3657" spans="8:8" ht="15" customHeight="1" x14ac:dyDescent="0.2">
      <c r="H3657" s="19">
        <v>-2.1852366458046599E-2</v>
      </c>
    </row>
    <row r="3658" spans="8:8" ht="15" customHeight="1" x14ac:dyDescent="0.2">
      <c r="H3658" s="19">
        <v>1.3453777764849999E-2</v>
      </c>
    </row>
    <row r="3659" spans="8:8" ht="15" customHeight="1" x14ac:dyDescent="0.2">
      <c r="H3659" s="19">
        <v>4.0809449448225201E-3</v>
      </c>
    </row>
    <row r="3660" spans="8:8" ht="15" customHeight="1" x14ac:dyDescent="0.2">
      <c r="H3660" s="19">
        <v>3.0953260773684101E-3</v>
      </c>
    </row>
    <row r="3661" spans="8:8" ht="15" customHeight="1" x14ac:dyDescent="0.2">
      <c r="H3661" s="19">
        <v>-4.2664113800856803E-3</v>
      </c>
    </row>
    <row r="3662" spans="8:8" ht="15" customHeight="1" x14ac:dyDescent="0.2">
      <c r="H3662" s="19">
        <v>-1.7430821194133101E-2</v>
      </c>
    </row>
    <row r="3663" spans="8:8" ht="15" customHeight="1" x14ac:dyDescent="0.2">
      <c r="H3663" s="19">
        <v>-5.9621157482266504E-3</v>
      </c>
    </row>
    <row r="3664" spans="8:8" ht="15" customHeight="1" x14ac:dyDescent="0.2">
      <c r="H3664" s="19">
        <v>-2.3533902906430999E-2</v>
      </c>
    </row>
    <row r="3665" spans="8:8" ht="15" customHeight="1" x14ac:dyDescent="0.2">
      <c r="H3665" s="19">
        <v>2.98488054323096E-2</v>
      </c>
    </row>
    <row r="3666" spans="8:8" ht="15" customHeight="1" x14ac:dyDescent="0.2">
      <c r="H3666" s="19">
        <v>2.7713921932812801E-4</v>
      </c>
    </row>
    <row r="3667" spans="8:8" ht="15" customHeight="1" x14ac:dyDescent="0.2">
      <c r="H3667" s="19">
        <v>-8.1332523282733795E-3</v>
      </c>
    </row>
    <row r="3668" spans="8:8" ht="15" customHeight="1" x14ac:dyDescent="0.2">
      <c r="H3668" s="19">
        <v>-8.4509236104770308E-3</v>
      </c>
    </row>
    <row r="3669" spans="8:8" ht="15" customHeight="1" x14ac:dyDescent="0.2">
      <c r="H3669" s="19">
        <v>6.0431288080825298E-3</v>
      </c>
    </row>
    <row r="3670" spans="8:8" ht="15" customHeight="1" x14ac:dyDescent="0.2">
      <c r="H3670" s="19">
        <v>-1.18970441152878E-3</v>
      </c>
    </row>
    <row r="3671" spans="8:8" ht="15" customHeight="1" x14ac:dyDescent="0.2">
      <c r="H3671" s="19">
        <v>4.68206731598642E-3</v>
      </c>
    </row>
    <row r="3672" spans="8:8" ht="15" customHeight="1" x14ac:dyDescent="0.2">
      <c r="H3672" s="19">
        <v>5.1507330875779902E-3</v>
      </c>
    </row>
    <row r="3673" spans="8:8" ht="15" customHeight="1" x14ac:dyDescent="0.2">
      <c r="H3673" s="19">
        <v>6.3024957314623204E-3</v>
      </c>
    </row>
    <row r="3674" spans="8:8" ht="15" customHeight="1" x14ac:dyDescent="0.2">
      <c r="H3674" s="19">
        <v>-9.6604730533112193E-3</v>
      </c>
    </row>
    <row r="3675" spans="8:8" ht="15" customHeight="1" x14ac:dyDescent="0.2">
      <c r="H3675" s="19">
        <v>7.0415268186256102E-3</v>
      </c>
    </row>
    <row r="3676" spans="8:8" ht="15" customHeight="1" x14ac:dyDescent="0.2">
      <c r="H3676" s="19">
        <v>-1.8104571933344701E-3</v>
      </c>
    </row>
    <row r="3677" spans="8:8" ht="15" customHeight="1" x14ac:dyDescent="0.2">
      <c r="H3677" s="19">
        <v>3.17914205580662E-3</v>
      </c>
    </row>
    <row r="3678" spans="8:8" ht="15" customHeight="1" x14ac:dyDescent="0.2">
      <c r="H3678" s="19">
        <v>1.07832949121615E-2</v>
      </c>
    </row>
    <row r="3679" spans="8:8" ht="15" customHeight="1" x14ac:dyDescent="0.2">
      <c r="H3679" s="19">
        <v>-6.63111396167436E-3</v>
      </c>
    </row>
    <row r="3680" spans="8:8" ht="15" customHeight="1" x14ac:dyDescent="0.2">
      <c r="H3680" s="19">
        <v>-1.7918673944299301E-2</v>
      </c>
    </row>
    <row r="3681" spans="8:8" ht="15" customHeight="1" x14ac:dyDescent="0.2">
      <c r="H3681" s="19">
        <v>3.5497337372031798E-3</v>
      </c>
    </row>
    <row r="3682" spans="8:8" ht="15" customHeight="1" x14ac:dyDescent="0.2">
      <c r="H3682" s="19">
        <v>-1.0998561685581099E-2</v>
      </c>
    </row>
    <row r="3683" spans="8:8" ht="15" customHeight="1" x14ac:dyDescent="0.2">
      <c r="H3683" s="19">
        <v>-1.89948058191021E-3</v>
      </c>
    </row>
    <row r="3684" spans="8:8" ht="15" customHeight="1" x14ac:dyDescent="0.2">
      <c r="H3684" s="19">
        <v>-1.6918228091994301E-3</v>
      </c>
    </row>
    <row r="3685" spans="8:8" ht="15" customHeight="1" x14ac:dyDescent="0.2">
      <c r="H3685" s="19">
        <v>-2.72943559519506E-3</v>
      </c>
    </row>
    <row r="3686" spans="8:8" ht="15" customHeight="1" x14ac:dyDescent="0.2">
      <c r="H3686" s="19">
        <v>-8.0572088209392395E-4</v>
      </c>
    </row>
    <row r="3687" spans="8:8" ht="15" customHeight="1" x14ac:dyDescent="0.2">
      <c r="H3687" s="19">
        <v>-7.72566748687885E-3</v>
      </c>
    </row>
    <row r="3688" spans="8:8" ht="15" customHeight="1" x14ac:dyDescent="0.2">
      <c r="H3688" s="19">
        <v>-5.6186017567504201E-3</v>
      </c>
    </row>
    <row r="3689" spans="8:8" ht="15" customHeight="1" x14ac:dyDescent="0.2">
      <c r="H3689" s="19">
        <v>7.4718424253121204E-4</v>
      </c>
    </row>
    <row r="3690" spans="8:8" ht="15" customHeight="1" x14ac:dyDescent="0.2">
      <c r="H3690" s="19">
        <v>2.9584812803001002E-3</v>
      </c>
    </row>
    <row r="3691" spans="8:8" ht="15" customHeight="1" x14ac:dyDescent="0.2">
      <c r="H3691" s="19">
        <v>-2.0230078317772298E-3</v>
      </c>
    </row>
    <row r="3692" spans="8:8" ht="15" customHeight="1" x14ac:dyDescent="0.2">
      <c r="H3692" s="19">
        <v>7.7998707692424202E-3</v>
      </c>
    </row>
    <row r="3693" spans="8:8" ht="15" customHeight="1" x14ac:dyDescent="0.2">
      <c r="H3693" s="19">
        <v>-1.6769655968463599E-2</v>
      </c>
    </row>
    <row r="3694" spans="8:8" ht="15" customHeight="1" x14ac:dyDescent="0.2">
      <c r="H3694" s="19">
        <v>2.4822220356820801E-2</v>
      </c>
    </row>
    <row r="3695" spans="8:8" ht="15" customHeight="1" x14ac:dyDescent="0.2">
      <c r="H3695" s="19">
        <v>-6.7294154197669303E-3</v>
      </c>
    </row>
    <row r="3696" spans="8:8" ht="15" customHeight="1" x14ac:dyDescent="0.2">
      <c r="H3696" s="19">
        <v>-8.4623772233779204E-3</v>
      </c>
    </row>
    <row r="3697" spans="8:8" ht="15" customHeight="1" x14ac:dyDescent="0.2">
      <c r="H3697" s="19">
        <v>-7.9340133158270001E-3</v>
      </c>
    </row>
    <row r="3698" spans="8:8" ht="15" customHeight="1" x14ac:dyDescent="0.2">
      <c r="H3698" s="19">
        <v>-6.9896141472022997E-3</v>
      </c>
    </row>
    <row r="3699" spans="8:8" ht="15" customHeight="1" x14ac:dyDescent="0.2">
      <c r="H3699" s="19">
        <v>3.4084444458610101E-3</v>
      </c>
    </row>
    <row r="3700" spans="8:8" ht="15" customHeight="1" x14ac:dyDescent="0.2">
      <c r="H3700" s="19">
        <v>3.2708856752509401E-3</v>
      </c>
    </row>
    <row r="3701" spans="8:8" ht="15" customHeight="1" x14ac:dyDescent="0.2">
      <c r="H3701" s="19">
        <v>-7.3571640462600603E-3</v>
      </c>
    </row>
    <row r="3702" spans="8:8" ht="15" customHeight="1" x14ac:dyDescent="0.2">
      <c r="H3702" s="19">
        <v>2.5677919261902402E-3</v>
      </c>
    </row>
    <row r="3703" spans="8:8" ht="15" customHeight="1" x14ac:dyDescent="0.2">
      <c r="H3703" s="19">
        <v>-3.0459789676218602E-3</v>
      </c>
    </row>
    <row r="3704" spans="8:8" ht="15" customHeight="1" x14ac:dyDescent="0.2">
      <c r="H3704" s="19">
        <v>9.1297069134706702E-3</v>
      </c>
    </row>
    <row r="3705" spans="8:8" ht="15" customHeight="1" x14ac:dyDescent="0.2">
      <c r="H3705" s="19">
        <v>8.1164574138108993E-3</v>
      </c>
    </row>
    <row r="3706" spans="8:8" ht="15" customHeight="1" x14ac:dyDescent="0.2">
      <c r="H3706" s="19">
        <v>1.9503182182354601E-2</v>
      </c>
    </row>
    <row r="3707" spans="8:8" ht="15" customHeight="1" x14ac:dyDescent="0.2">
      <c r="H3707" s="19">
        <v>1.10930813756098E-2</v>
      </c>
    </row>
    <row r="3708" spans="8:8" ht="15" customHeight="1" x14ac:dyDescent="0.2">
      <c r="H3708" s="19">
        <v>-1.31025753411525E-2</v>
      </c>
    </row>
    <row r="3709" spans="8:8" ht="15" customHeight="1" x14ac:dyDescent="0.2">
      <c r="H3709" s="19">
        <v>-8.6381234081535207E-3</v>
      </c>
    </row>
    <row r="3710" spans="8:8" ht="15" customHeight="1" x14ac:dyDescent="0.2">
      <c r="H3710" s="19">
        <v>-4.0723263870483997E-3</v>
      </c>
    </row>
    <row r="3711" spans="8:8" ht="15" customHeight="1" x14ac:dyDescent="0.2">
      <c r="H3711" s="19">
        <v>-9.9308128130910409E-4</v>
      </c>
    </row>
    <row r="3712" spans="8:8" ht="15" customHeight="1" x14ac:dyDescent="0.2">
      <c r="H3712" s="19">
        <v>-8.7342529787993095E-4</v>
      </c>
    </row>
    <row r="3713" spans="8:8" ht="15" customHeight="1" x14ac:dyDescent="0.2">
      <c r="H3713" s="19">
        <v>3.2691940133599098E-4</v>
      </c>
    </row>
    <row r="3714" spans="8:8" ht="15" customHeight="1" x14ac:dyDescent="0.2">
      <c r="H3714" s="19">
        <v>-1.04728852557341E-2</v>
      </c>
    </row>
    <row r="3715" spans="8:8" ht="15" customHeight="1" x14ac:dyDescent="0.2">
      <c r="H3715" s="19">
        <v>-5.41478238917735E-3</v>
      </c>
    </row>
    <row r="3716" spans="8:8" ht="15" customHeight="1" x14ac:dyDescent="0.2">
      <c r="H3716" s="19">
        <v>3.06730785332504E-3</v>
      </c>
    </row>
    <row r="3717" spans="8:8" ht="15" customHeight="1" x14ac:dyDescent="0.2">
      <c r="H3717" s="19">
        <v>7.0269147754572102E-3</v>
      </c>
    </row>
    <row r="3718" spans="8:8" ht="15" customHeight="1" x14ac:dyDescent="0.2">
      <c r="H3718" s="19">
        <v>-8.24169914291349E-3</v>
      </c>
    </row>
    <row r="3719" spans="8:8" ht="15" customHeight="1" x14ac:dyDescent="0.2">
      <c r="H3719" s="19">
        <v>-8.7346637827851598E-3</v>
      </c>
    </row>
    <row r="3720" spans="8:8" ht="15" customHeight="1" x14ac:dyDescent="0.2">
      <c r="H3720" s="19">
        <v>-3.3203808582991799E-3</v>
      </c>
    </row>
    <row r="3721" spans="8:8" ht="15" customHeight="1" x14ac:dyDescent="0.2">
      <c r="H3721" s="19">
        <v>-8.1374353592132496E-3</v>
      </c>
    </row>
    <row r="3722" spans="8:8" ht="15" customHeight="1" x14ac:dyDescent="0.2">
      <c r="H3722" s="19">
        <v>-4.0780754620269501E-3</v>
      </c>
    </row>
    <row r="3723" spans="8:8" ht="15" customHeight="1" x14ac:dyDescent="0.2">
      <c r="H3723" s="19">
        <v>-8.2883833451095502E-3</v>
      </c>
    </row>
    <row r="3724" spans="8:8" ht="15" customHeight="1" x14ac:dyDescent="0.2">
      <c r="H3724" s="19">
        <v>-1.03760482439591E-2</v>
      </c>
    </row>
    <row r="3725" spans="8:8" ht="15" customHeight="1" x14ac:dyDescent="0.2">
      <c r="H3725" s="19">
        <v>-1.7999180087195901E-4</v>
      </c>
    </row>
    <row r="3726" spans="8:8" ht="15" customHeight="1" x14ac:dyDescent="0.2">
      <c r="H3726" s="19">
        <v>-4.8988899647191501E-3</v>
      </c>
    </row>
    <row r="3727" spans="8:8" ht="15" customHeight="1" x14ac:dyDescent="0.2">
      <c r="H3727" s="19">
        <v>5.3685861709041197E-3</v>
      </c>
    </row>
    <row r="3728" spans="8:8" ht="15" customHeight="1" x14ac:dyDescent="0.2">
      <c r="H3728" s="19">
        <v>1.1309722390575301E-2</v>
      </c>
    </row>
    <row r="3729" spans="8:8" ht="15" customHeight="1" x14ac:dyDescent="0.2">
      <c r="H3729" s="19">
        <v>-9.9325569407988108E-3</v>
      </c>
    </row>
    <row r="3730" spans="8:8" ht="15" customHeight="1" x14ac:dyDescent="0.2">
      <c r="H3730" s="19">
        <v>-2.9826477360694801E-2</v>
      </c>
    </row>
    <row r="3731" spans="8:8" ht="15" customHeight="1" x14ac:dyDescent="0.2">
      <c r="H3731" s="19">
        <v>-1.33950207467032E-2</v>
      </c>
    </row>
    <row r="3732" spans="8:8" ht="15" customHeight="1" x14ac:dyDescent="0.2">
      <c r="H3732" s="19">
        <v>7.26111505498412E-3</v>
      </c>
    </row>
    <row r="3733" spans="8:8" ht="15" customHeight="1" x14ac:dyDescent="0.2">
      <c r="H3733" s="19">
        <v>1.1946548189840399E-3</v>
      </c>
    </row>
    <row r="3734" spans="8:8" ht="15" customHeight="1" x14ac:dyDescent="0.2">
      <c r="H3734" s="19">
        <v>1.3045659142228499E-2</v>
      </c>
    </row>
    <row r="3735" spans="8:8" ht="15" customHeight="1" x14ac:dyDescent="0.2">
      <c r="H3735" s="19">
        <v>-4.4187891638056004E-3</v>
      </c>
    </row>
    <row r="3736" spans="8:8" ht="15" customHeight="1" x14ac:dyDescent="0.2">
      <c r="H3736" s="19">
        <v>-7.5759472535123296E-4</v>
      </c>
    </row>
    <row r="3737" spans="8:8" ht="15" customHeight="1" x14ac:dyDescent="0.2">
      <c r="H3737" s="19">
        <v>3.10369281072519E-3</v>
      </c>
    </row>
    <row r="3738" spans="8:8" ht="15" customHeight="1" x14ac:dyDescent="0.2">
      <c r="H3738" s="19">
        <v>-3.2933516456368E-3</v>
      </c>
    </row>
    <row r="3739" spans="8:8" ht="15" customHeight="1" x14ac:dyDescent="0.2">
      <c r="H3739" s="19">
        <v>-7.9121676396593302E-3</v>
      </c>
    </row>
    <row r="3740" spans="8:8" ht="15" customHeight="1" x14ac:dyDescent="0.2">
      <c r="H3740" s="19">
        <v>-4.6663821916322398E-3</v>
      </c>
    </row>
    <row r="3741" spans="8:8" ht="15" customHeight="1" x14ac:dyDescent="0.2">
      <c r="H3741" s="19">
        <v>2.86818649981934E-3</v>
      </c>
    </row>
    <row r="3742" spans="8:8" ht="15" customHeight="1" x14ac:dyDescent="0.2">
      <c r="H3742" s="19">
        <v>-5.3596967296085504E-3</v>
      </c>
    </row>
    <row r="3743" spans="8:8" ht="15" customHeight="1" x14ac:dyDescent="0.2">
      <c r="H3743" s="19">
        <v>9.2706817962186195E-4</v>
      </c>
    </row>
    <row r="3744" spans="8:8" ht="15" customHeight="1" x14ac:dyDescent="0.2">
      <c r="H3744" s="19">
        <v>-4.4092952680104E-3</v>
      </c>
    </row>
    <row r="3745" spans="8:8" ht="15" customHeight="1" x14ac:dyDescent="0.2">
      <c r="H3745" s="19">
        <v>-1.1993330894631201E-2</v>
      </c>
    </row>
    <row r="3746" spans="8:8" ht="15" customHeight="1" x14ac:dyDescent="0.2">
      <c r="H3746" s="19">
        <v>9.7989296499762703E-3</v>
      </c>
    </row>
    <row r="3747" spans="8:8" ht="15" customHeight="1" x14ac:dyDescent="0.2">
      <c r="H3747" s="19">
        <v>1.46447241524785E-2</v>
      </c>
    </row>
    <row r="3748" spans="8:8" ht="15" customHeight="1" x14ac:dyDescent="0.2">
      <c r="H3748" s="19">
        <v>1.51734280554226E-2</v>
      </c>
    </row>
    <row r="3749" spans="8:8" ht="15" customHeight="1" x14ac:dyDescent="0.2">
      <c r="H3749" s="19">
        <v>-7.6609488610294802E-3</v>
      </c>
    </row>
    <row r="3750" spans="8:8" ht="15" customHeight="1" x14ac:dyDescent="0.2">
      <c r="H3750" s="19">
        <v>-2.07222365288147E-3</v>
      </c>
    </row>
    <row r="3751" spans="8:8" ht="15" customHeight="1" x14ac:dyDescent="0.2">
      <c r="H3751" s="19">
        <v>-1.3320147637268799E-2</v>
      </c>
    </row>
    <row r="3752" spans="8:8" ht="15" customHeight="1" x14ac:dyDescent="0.2">
      <c r="H3752" s="19">
        <v>2.1610613621115202E-3</v>
      </c>
    </row>
    <row r="3753" spans="8:8" ht="15" customHeight="1" x14ac:dyDescent="0.2">
      <c r="H3753" s="19">
        <v>8.1142895114256607E-3</v>
      </c>
    </row>
    <row r="3754" spans="8:8" ht="15" customHeight="1" x14ac:dyDescent="0.2">
      <c r="H3754" s="19">
        <v>1.42210204183637E-2</v>
      </c>
    </row>
    <row r="3755" spans="8:8" ht="15" customHeight="1" x14ac:dyDescent="0.2">
      <c r="H3755" s="19">
        <v>-1.12397357314708E-2</v>
      </c>
    </row>
    <row r="3756" spans="8:8" ht="15" customHeight="1" x14ac:dyDescent="0.2">
      <c r="H3756" s="19">
        <v>8.2146162978970795E-3</v>
      </c>
    </row>
    <row r="3757" spans="8:8" ht="15" customHeight="1" x14ac:dyDescent="0.2">
      <c r="H3757" s="19">
        <v>-7.80485076506928E-3</v>
      </c>
    </row>
    <row r="3758" spans="8:8" ht="15" customHeight="1" x14ac:dyDescent="0.2">
      <c r="H3758" s="19">
        <v>-1.1170792056113699E-3</v>
      </c>
    </row>
    <row r="3759" spans="8:8" ht="15" customHeight="1" x14ac:dyDescent="0.2">
      <c r="H3759" s="19">
        <v>1.5423964824688699E-3</v>
      </c>
    </row>
    <row r="3760" spans="8:8" ht="15" customHeight="1" x14ac:dyDescent="0.2">
      <c r="H3760" s="19">
        <v>-7.4134996831127196E-3</v>
      </c>
    </row>
    <row r="3761" spans="8:8" ht="15" customHeight="1" x14ac:dyDescent="0.2">
      <c r="H3761" s="19">
        <v>4.2402705417267997E-3</v>
      </c>
    </row>
    <row r="3762" spans="8:8" ht="15" customHeight="1" x14ac:dyDescent="0.2">
      <c r="H3762" s="19">
        <v>8.5959046025237996E-3</v>
      </c>
    </row>
    <row r="3763" spans="8:8" ht="15" customHeight="1" x14ac:dyDescent="0.2">
      <c r="H3763" s="19">
        <v>-7.6919872636201298E-4</v>
      </c>
    </row>
    <row r="3764" spans="8:8" ht="15" customHeight="1" x14ac:dyDescent="0.2">
      <c r="H3764" s="19">
        <v>-9.6970225190699099E-3</v>
      </c>
    </row>
    <row r="3765" spans="8:8" ht="15" customHeight="1" x14ac:dyDescent="0.2">
      <c r="H3765" s="19">
        <v>9.7307623573969493E-3</v>
      </c>
    </row>
    <row r="3766" spans="8:8" ht="15" customHeight="1" x14ac:dyDescent="0.2">
      <c r="H3766" s="19">
        <v>7.1249998627304096E-3</v>
      </c>
    </row>
    <row r="3767" spans="8:8" ht="15" customHeight="1" x14ac:dyDescent="0.2">
      <c r="H3767" s="19">
        <v>-1.5077295242942001E-2</v>
      </c>
    </row>
    <row r="3768" spans="8:8" ht="15" customHeight="1" x14ac:dyDescent="0.2">
      <c r="H3768" s="19">
        <v>-3.3157104207735201E-3</v>
      </c>
    </row>
    <row r="3769" spans="8:8" ht="15" customHeight="1" x14ac:dyDescent="0.2">
      <c r="H3769" s="19">
        <v>6.6957657146765196E-3</v>
      </c>
    </row>
    <row r="3770" spans="8:8" ht="15" customHeight="1" x14ac:dyDescent="0.2">
      <c r="H3770" s="19">
        <v>-1.3893630495410401E-2</v>
      </c>
    </row>
    <row r="3771" spans="8:8" ht="15" customHeight="1" x14ac:dyDescent="0.2">
      <c r="H3771" s="19">
        <v>1.5450495579816301E-2</v>
      </c>
    </row>
    <row r="3772" spans="8:8" ht="15" customHeight="1" x14ac:dyDescent="0.2">
      <c r="H3772" s="19">
        <v>2.7548134042760901E-3</v>
      </c>
    </row>
    <row r="3773" spans="8:8" ht="15" customHeight="1" x14ac:dyDescent="0.2">
      <c r="H3773" s="19">
        <v>2.5294090474931599E-2</v>
      </c>
    </row>
    <row r="3774" spans="8:8" ht="15" customHeight="1" x14ac:dyDescent="0.2">
      <c r="H3774" s="19">
        <v>1.12343957594505E-2</v>
      </c>
    </row>
    <row r="3775" spans="8:8" ht="15" customHeight="1" x14ac:dyDescent="0.2">
      <c r="H3775" s="19">
        <v>-1.09913641941895E-2</v>
      </c>
    </row>
    <row r="3776" spans="8:8" ht="15" customHeight="1" x14ac:dyDescent="0.2">
      <c r="H3776" s="19">
        <v>-1.43305730971583E-3</v>
      </c>
    </row>
    <row r="3777" spans="8:8" ht="15" customHeight="1" x14ac:dyDescent="0.2">
      <c r="H3777" s="19">
        <v>-1.13126888959568E-2</v>
      </c>
    </row>
    <row r="3778" spans="8:8" ht="15" customHeight="1" x14ac:dyDescent="0.2">
      <c r="H3778" s="19">
        <v>-9.3248495592684593E-3</v>
      </c>
    </row>
    <row r="3779" spans="8:8" ht="15" customHeight="1" x14ac:dyDescent="0.2">
      <c r="H3779" s="19">
        <v>-6.0636779002693503E-3</v>
      </c>
    </row>
    <row r="3780" spans="8:8" ht="15" customHeight="1" x14ac:dyDescent="0.2">
      <c r="H3780" s="19">
        <v>5.3836469701056501E-3</v>
      </c>
    </row>
    <row r="3781" spans="8:8" ht="15" customHeight="1" x14ac:dyDescent="0.2">
      <c r="H3781" s="19">
        <v>6.2083716520923799E-3</v>
      </c>
    </row>
    <row r="3782" spans="8:8" ht="15" customHeight="1" x14ac:dyDescent="0.2">
      <c r="H3782" s="19">
        <v>9.4144897404361098E-3</v>
      </c>
    </row>
    <row r="3783" spans="8:8" ht="15" customHeight="1" x14ac:dyDescent="0.2">
      <c r="H3783" s="19">
        <v>1.2639640164941301E-3</v>
      </c>
    </row>
    <row r="3784" spans="8:8" ht="15" customHeight="1" x14ac:dyDescent="0.2">
      <c r="H3784" s="19">
        <v>6.5762556841093703E-3</v>
      </c>
    </row>
    <row r="3785" spans="8:8" ht="15" customHeight="1" x14ac:dyDescent="0.2">
      <c r="H3785" s="19">
        <v>6.8982827254509497E-3</v>
      </c>
    </row>
    <row r="3786" spans="8:8" ht="15" customHeight="1" x14ac:dyDescent="0.2">
      <c r="H3786" s="19">
        <v>3.8543348502571499E-3</v>
      </c>
    </row>
    <row r="3787" spans="8:8" ht="15" customHeight="1" x14ac:dyDescent="0.2">
      <c r="H3787" s="19">
        <v>-8.3727044871077805E-4</v>
      </c>
    </row>
    <row r="3788" spans="8:8" ht="15" customHeight="1" x14ac:dyDescent="0.2">
      <c r="H3788" s="19">
        <v>8.9230800600587599E-3</v>
      </c>
    </row>
    <row r="3789" spans="8:8" ht="15" customHeight="1" x14ac:dyDescent="0.2">
      <c r="H3789" s="19">
        <v>-1.3203223652149799E-2</v>
      </c>
    </row>
    <row r="3790" spans="8:8" ht="15" customHeight="1" x14ac:dyDescent="0.2">
      <c r="H3790" s="19">
        <v>1.1830838210846399E-2</v>
      </c>
    </row>
    <row r="3791" spans="8:8" ht="15" customHeight="1" x14ac:dyDescent="0.2">
      <c r="H3791" s="19">
        <v>2.7164269630090402E-3</v>
      </c>
    </row>
    <row r="3792" spans="8:8" ht="15" customHeight="1" x14ac:dyDescent="0.2">
      <c r="H3792" s="19">
        <v>1.35882297581054E-2</v>
      </c>
    </row>
    <row r="3793" spans="8:8" ht="15" customHeight="1" x14ac:dyDescent="0.2">
      <c r="H3793" s="19">
        <v>-1.9852370387631298E-3</v>
      </c>
    </row>
    <row r="3794" spans="8:8" ht="15" customHeight="1" x14ac:dyDescent="0.2">
      <c r="H3794" s="19">
        <v>-1.0773286331390601E-3</v>
      </c>
    </row>
    <row r="3795" spans="8:8" ht="15" customHeight="1" x14ac:dyDescent="0.2">
      <c r="H3795" s="19">
        <v>9.0398683212153594E-3</v>
      </c>
    </row>
    <row r="3796" spans="8:8" ht="15" customHeight="1" x14ac:dyDescent="0.2">
      <c r="H3796" s="19">
        <v>-1.0503265810764199E-3</v>
      </c>
    </row>
    <row r="3797" spans="8:8" ht="15" customHeight="1" x14ac:dyDescent="0.2">
      <c r="H3797" s="19">
        <v>8.7961327208388295E-3</v>
      </c>
    </row>
    <row r="3798" spans="8:8" ht="15" customHeight="1" x14ac:dyDescent="0.2">
      <c r="H3798" s="19">
        <v>2.8329603273944898E-3</v>
      </c>
    </row>
    <row r="3799" spans="8:8" ht="15" customHeight="1" x14ac:dyDescent="0.2">
      <c r="H3799" s="19">
        <v>-1.70870478547785E-3</v>
      </c>
    </row>
    <row r="3800" spans="8:8" ht="15" customHeight="1" x14ac:dyDescent="0.2">
      <c r="H3800" s="19">
        <v>-2.48900219641065E-3</v>
      </c>
    </row>
    <row r="3801" spans="8:8" ht="15" customHeight="1" x14ac:dyDescent="0.2">
      <c r="H3801" s="19">
        <v>-4.8004216398773699E-3</v>
      </c>
    </row>
    <row r="3802" spans="8:8" ht="15" customHeight="1" x14ac:dyDescent="0.2">
      <c r="H3802" s="19">
        <v>-8.7926455979401401E-3</v>
      </c>
    </row>
    <row r="3803" spans="8:8" ht="15" customHeight="1" x14ac:dyDescent="0.2">
      <c r="H3803" s="19">
        <v>-4.7321193943449299E-3</v>
      </c>
    </row>
    <row r="3804" spans="8:8" ht="15" customHeight="1" x14ac:dyDescent="0.2">
      <c r="H3804" s="19">
        <v>-2.55450599330596E-2</v>
      </c>
    </row>
    <row r="3805" spans="8:8" ht="15" customHeight="1" x14ac:dyDescent="0.2">
      <c r="H3805" s="19">
        <v>-8.8387535668158993E-3</v>
      </c>
    </row>
    <row r="3806" spans="8:8" ht="15" customHeight="1" x14ac:dyDescent="0.2">
      <c r="H3806" s="19">
        <v>9.9632877827068398E-3</v>
      </c>
    </row>
    <row r="3807" spans="8:8" ht="15" customHeight="1" x14ac:dyDescent="0.2">
      <c r="H3807" s="19">
        <v>-3.9358752991753504E-3</v>
      </c>
    </row>
    <row r="3808" spans="8:8" ht="15" customHeight="1" x14ac:dyDescent="0.2">
      <c r="H3808" s="19">
        <v>-2.71857514008859E-3</v>
      </c>
    </row>
    <row r="3809" spans="8:8" ht="15" customHeight="1" x14ac:dyDescent="0.2">
      <c r="H3809" s="19">
        <v>3.7036927686262401E-3</v>
      </c>
    </row>
    <row r="3810" spans="8:8" ht="15" customHeight="1" x14ac:dyDescent="0.2">
      <c r="H3810" s="19">
        <v>2.5884155808692899E-3</v>
      </c>
    </row>
    <row r="3811" spans="8:8" ht="15" customHeight="1" x14ac:dyDescent="0.2">
      <c r="H3811" s="19">
        <v>-1.95138979861443E-2</v>
      </c>
    </row>
    <row r="3812" spans="8:8" ht="15" customHeight="1" x14ac:dyDescent="0.2">
      <c r="H3812" s="19">
        <v>-6.0052978166272898E-3</v>
      </c>
    </row>
    <row r="3813" spans="8:8" ht="15" customHeight="1" x14ac:dyDescent="0.2">
      <c r="H3813" s="19">
        <v>-2.7358405932552902E-3</v>
      </c>
    </row>
    <row r="3814" spans="8:8" ht="15" customHeight="1" x14ac:dyDescent="0.2">
      <c r="H3814" s="19">
        <v>3.5785005464068599E-3</v>
      </c>
    </row>
    <row r="3815" spans="8:8" ht="15" customHeight="1" x14ac:dyDescent="0.2">
      <c r="H3815" s="19">
        <v>-4.1873255604576703E-3</v>
      </c>
    </row>
    <row r="3816" spans="8:8" ht="15" customHeight="1" x14ac:dyDescent="0.2">
      <c r="H3816" s="19">
        <v>-1.0019338210377499E-2</v>
      </c>
    </row>
    <row r="3817" spans="8:8" ht="15" customHeight="1" x14ac:dyDescent="0.2">
      <c r="H3817" s="19">
        <v>3.4007770517011301E-3</v>
      </c>
    </row>
    <row r="3818" spans="8:8" ht="15" customHeight="1" x14ac:dyDescent="0.2">
      <c r="H3818" s="19">
        <v>-6.5397903153526504E-3</v>
      </c>
    </row>
    <row r="3819" spans="8:8" ht="15" customHeight="1" x14ac:dyDescent="0.2">
      <c r="H3819" s="19">
        <v>-6.5226507395793904E-3</v>
      </c>
    </row>
    <row r="3820" spans="8:8" ht="15" customHeight="1" x14ac:dyDescent="0.2">
      <c r="H3820" s="19">
        <v>-3.9761420633763001E-3</v>
      </c>
    </row>
    <row r="3821" spans="8:8" ht="15" customHeight="1" x14ac:dyDescent="0.2">
      <c r="H3821" s="19">
        <v>1.77225084524462E-2</v>
      </c>
    </row>
    <row r="3822" spans="8:8" ht="15" customHeight="1" x14ac:dyDescent="0.2">
      <c r="H3822" s="19">
        <v>-3.1230608004184201E-4</v>
      </c>
    </row>
    <row r="3823" spans="8:8" ht="15" customHeight="1" x14ac:dyDescent="0.2">
      <c r="H3823" s="19">
        <v>1.6196366467681501E-2</v>
      </c>
    </row>
    <row r="3824" spans="8:8" ht="15" customHeight="1" x14ac:dyDescent="0.2">
      <c r="H3824" s="19">
        <v>-1.5688824027338399E-2</v>
      </c>
    </row>
    <row r="3825" spans="8:8" ht="15" customHeight="1" x14ac:dyDescent="0.2">
      <c r="H3825" s="19">
        <v>8.5154052303929098E-3</v>
      </c>
    </row>
    <row r="3826" spans="8:8" ht="15" customHeight="1" x14ac:dyDescent="0.2">
      <c r="H3826" s="19">
        <v>8.3325319278277406E-3</v>
      </c>
    </row>
    <row r="3827" spans="8:8" ht="15" customHeight="1" x14ac:dyDescent="0.2">
      <c r="H3827" s="19">
        <v>2.0052972535518999E-2</v>
      </c>
    </row>
    <row r="3828" spans="8:8" ht="15" customHeight="1" x14ac:dyDescent="0.2">
      <c r="H3828" s="19">
        <v>-2.2880077312925099E-3</v>
      </c>
    </row>
    <row r="3829" spans="8:8" ht="15" customHeight="1" x14ac:dyDescent="0.2">
      <c r="H3829" s="19">
        <v>3.0331796152488301E-2</v>
      </c>
    </row>
    <row r="3830" spans="8:8" ht="15" customHeight="1" x14ac:dyDescent="0.2">
      <c r="H3830" s="19">
        <v>-1.05564322703106E-2</v>
      </c>
    </row>
    <row r="3831" spans="8:8" ht="15" customHeight="1" x14ac:dyDescent="0.2">
      <c r="H3831" s="19">
        <v>-1.26310617241544E-2</v>
      </c>
    </row>
    <row r="3832" spans="8:8" ht="15" customHeight="1" x14ac:dyDescent="0.2">
      <c r="H3832" s="19">
        <v>-8.5573905839101006E-3</v>
      </c>
    </row>
    <row r="3833" spans="8:8" ht="15" customHeight="1" x14ac:dyDescent="0.2">
      <c r="H3833" s="19">
        <v>5.9888003108018702E-3</v>
      </c>
    </row>
    <row r="3834" spans="8:8" ht="15" customHeight="1" x14ac:dyDescent="0.2">
      <c r="H3834" s="19">
        <v>-1.40199227488101E-3</v>
      </c>
    </row>
    <row r="3835" spans="8:8" ht="15" customHeight="1" x14ac:dyDescent="0.2">
      <c r="H3835" s="19">
        <v>-8.8014754369030394E-3</v>
      </c>
    </row>
    <row r="3836" spans="8:8" ht="15" customHeight="1" x14ac:dyDescent="0.2">
      <c r="H3836" s="19">
        <v>1.4216808414021301E-2</v>
      </c>
    </row>
    <row r="3837" spans="8:8" ht="15" customHeight="1" x14ac:dyDescent="0.2">
      <c r="H3837" s="19">
        <v>-8.8682225145585904E-3</v>
      </c>
    </row>
    <row r="3838" spans="8:8" ht="15" customHeight="1" x14ac:dyDescent="0.2">
      <c r="H3838" s="19">
        <v>3.56340905330971E-3</v>
      </c>
    </row>
    <row r="3839" spans="8:8" ht="15" customHeight="1" x14ac:dyDescent="0.2">
      <c r="H3839" s="19">
        <v>1.9023367775512601E-2</v>
      </c>
    </row>
    <row r="3840" spans="8:8" ht="15" customHeight="1" x14ac:dyDescent="0.2">
      <c r="H3840" s="19">
        <v>5.0095214795070004E-3</v>
      </c>
    </row>
    <row r="3841" spans="8:8" ht="15" customHeight="1" x14ac:dyDescent="0.2">
      <c r="H3841" s="19">
        <v>9.3865724249437201E-3</v>
      </c>
    </row>
    <row r="3842" spans="8:8" ht="15" customHeight="1" x14ac:dyDescent="0.2">
      <c r="H3842" s="19">
        <v>1.6221037483433402E-2</v>
      </c>
    </row>
    <row r="3843" spans="8:8" ht="15" customHeight="1" x14ac:dyDescent="0.2">
      <c r="H3843" s="19">
        <v>1.3240353009994E-2</v>
      </c>
    </row>
    <row r="3844" spans="8:8" ht="15" customHeight="1" x14ac:dyDescent="0.2">
      <c r="H3844" s="19">
        <v>7.2896393410602604E-3</v>
      </c>
    </row>
    <row r="3845" spans="8:8" ht="15" customHeight="1" x14ac:dyDescent="0.2">
      <c r="H3845" s="19">
        <v>2.81766651341078E-4</v>
      </c>
    </row>
    <row r="3846" spans="8:8" ht="15" customHeight="1" x14ac:dyDescent="0.2">
      <c r="H3846" s="19">
        <v>-1.3970733704494601E-2</v>
      </c>
    </row>
    <row r="3847" spans="8:8" ht="15" customHeight="1" x14ac:dyDescent="0.2">
      <c r="H3847" s="19">
        <v>-2.6887216449900599E-3</v>
      </c>
    </row>
    <row r="3848" spans="8:8" ht="15" customHeight="1" x14ac:dyDescent="0.2">
      <c r="H3848" s="19">
        <v>-8.1172401464098595E-3</v>
      </c>
    </row>
    <row r="3849" spans="8:8" ht="15" customHeight="1" x14ac:dyDescent="0.2">
      <c r="H3849" s="19">
        <v>-1.40452934262621E-3</v>
      </c>
    </row>
    <row r="3850" spans="8:8" ht="15" customHeight="1" x14ac:dyDescent="0.2">
      <c r="H3850" s="19">
        <v>-6.7981792778967903E-3</v>
      </c>
    </row>
    <row r="3851" spans="8:8" ht="15" customHeight="1" x14ac:dyDescent="0.2">
      <c r="H3851" s="19">
        <v>-1.40151295357232E-2</v>
      </c>
    </row>
    <row r="3852" spans="8:8" ht="15" customHeight="1" x14ac:dyDescent="0.2">
      <c r="H3852" s="19">
        <v>-5.7701580190857703E-4</v>
      </c>
    </row>
    <row r="3853" spans="8:8" ht="15" customHeight="1" x14ac:dyDescent="0.2">
      <c r="H3853" s="19">
        <v>-3.3743163404633299E-3</v>
      </c>
    </row>
    <row r="3854" spans="8:8" ht="15" customHeight="1" x14ac:dyDescent="0.2">
      <c r="H3854" s="19">
        <v>-2.24199279108895E-4</v>
      </c>
    </row>
    <row r="3855" spans="8:8" ht="15" customHeight="1" x14ac:dyDescent="0.2">
      <c r="H3855" s="19">
        <v>5.2370237817977797E-3</v>
      </c>
    </row>
    <row r="3856" spans="8:8" ht="15" customHeight="1" x14ac:dyDescent="0.2">
      <c r="H3856" s="19">
        <v>9.1902702409724403E-3</v>
      </c>
    </row>
    <row r="3857" spans="8:8" ht="15" customHeight="1" x14ac:dyDescent="0.2">
      <c r="H3857" s="19">
        <v>-7.0837801026367902E-3</v>
      </c>
    </row>
    <row r="3858" spans="8:8" ht="15" customHeight="1" x14ac:dyDescent="0.2">
      <c r="H3858" s="19">
        <v>3.1309978320948002E-4</v>
      </c>
    </row>
    <row r="3859" spans="8:8" ht="15" customHeight="1" x14ac:dyDescent="0.2">
      <c r="H3859" s="19">
        <v>-1.6901277930564E-5</v>
      </c>
    </row>
    <row r="3860" spans="8:8" ht="15" customHeight="1" x14ac:dyDescent="0.2">
      <c r="H3860" s="19">
        <v>8.2854681003194392E-3</v>
      </c>
    </row>
    <row r="3861" spans="8:8" ht="15" customHeight="1" x14ac:dyDescent="0.2">
      <c r="H3861" s="19">
        <v>-2.4919292875631499E-3</v>
      </c>
    </row>
    <row r="3862" spans="8:8" ht="15" customHeight="1" x14ac:dyDescent="0.2">
      <c r="H3862" s="19">
        <v>-1.95083006341986E-3</v>
      </c>
    </row>
    <row r="3863" spans="8:8" ht="15" customHeight="1" x14ac:dyDescent="0.2">
      <c r="H3863" s="19">
        <v>4.9922155200156498E-3</v>
      </c>
    </row>
    <row r="3864" spans="8:8" ht="15" customHeight="1" x14ac:dyDescent="0.2">
      <c r="H3864" s="19">
        <v>-1.2344329190381901E-2</v>
      </c>
    </row>
    <row r="3865" spans="8:8" ht="15" customHeight="1" x14ac:dyDescent="0.2">
      <c r="H3865" s="19">
        <v>6.3238640324346702E-4</v>
      </c>
    </row>
    <row r="3866" spans="8:8" ht="15" customHeight="1" x14ac:dyDescent="0.2">
      <c r="H3866" s="19">
        <v>2.1353912922983599E-3</v>
      </c>
    </row>
    <row r="3867" spans="8:8" ht="15" customHeight="1" x14ac:dyDescent="0.2">
      <c r="H3867" s="19">
        <v>1.27744867476089E-2</v>
      </c>
    </row>
    <row r="3868" spans="8:8" ht="15" customHeight="1" x14ac:dyDescent="0.2">
      <c r="H3868" s="19">
        <v>-5.3712965701662096E-3</v>
      </c>
    </row>
    <row r="3869" spans="8:8" ht="15" customHeight="1" x14ac:dyDescent="0.2">
      <c r="H3869" s="19">
        <v>7.1742195998767402E-3</v>
      </c>
    </row>
    <row r="3870" spans="8:8" ht="15" customHeight="1" x14ac:dyDescent="0.2">
      <c r="H3870" s="19">
        <v>-1.19269546020311E-2</v>
      </c>
    </row>
    <row r="3871" spans="8:8" ht="15" customHeight="1" x14ac:dyDescent="0.2">
      <c r="H3871" s="19">
        <v>-3.78017950816942E-3</v>
      </c>
    </row>
    <row r="3872" spans="8:8" ht="15" customHeight="1" x14ac:dyDescent="0.2">
      <c r="H3872" s="19">
        <v>5.2115507306619204E-3</v>
      </c>
    </row>
    <row r="3873" spans="8:8" ht="15" customHeight="1" x14ac:dyDescent="0.2">
      <c r="H3873" s="19">
        <v>-4.49421986478372E-4</v>
      </c>
    </row>
    <row r="3874" spans="8:8" ht="15" customHeight="1" x14ac:dyDescent="0.2">
      <c r="H3874" s="19">
        <v>-1.1434923743687099E-3</v>
      </c>
    </row>
    <row r="3875" spans="8:8" ht="15" customHeight="1" x14ac:dyDescent="0.2">
      <c r="H3875" s="19">
        <v>7.6642025799475797E-3</v>
      </c>
    </row>
    <row r="3876" spans="8:8" ht="15" customHeight="1" x14ac:dyDescent="0.2">
      <c r="H3876" s="19">
        <v>-1.9565956261493499E-2</v>
      </c>
    </row>
    <row r="3877" spans="8:8" ht="15" customHeight="1" x14ac:dyDescent="0.2">
      <c r="H3877" s="19">
        <v>-2.3428097752163802E-3</v>
      </c>
    </row>
    <row r="3878" spans="8:8" ht="15" customHeight="1" x14ac:dyDescent="0.2">
      <c r="H3878" s="19">
        <v>1.02414640517189E-2</v>
      </c>
    </row>
    <row r="3879" spans="8:8" ht="15" customHeight="1" x14ac:dyDescent="0.2">
      <c r="H3879" s="19">
        <v>-5.3956344634373899E-3</v>
      </c>
    </row>
    <row r="3880" spans="8:8" ht="15" customHeight="1" x14ac:dyDescent="0.2">
      <c r="H3880" s="19">
        <v>7.02657259622243E-3</v>
      </c>
    </row>
    <row r="3881" spans="8:8" ht="15" customHeight="1" x14ac:dyDescent="0.2">
      <c r="H3881" s="19">
        <v>2.7604030076426801E-3</v>
      </c>
    </row>
    <row r="3882" spans="8:8" ht="15" customHeight="1" x14ac:dyDescent="0.2">
      <c r="H3882" s="19">
        <v>4.3135816949970004E-3</v>
      </c>
    </row>
    <row r="3883" spans="8:8" ht="15" customHeight="1" x14ac:dyDescent="0.2">
      <c r="H3883" s="19">
        <v>1.5031311811746499E-3</v>
      </c>
    </row>
    <row r="3884" spans="8:8" ht="15" customHeight="1" x14ac:dyDescent="0.2">
      <c r="H3884" s="19">
        <v>6.3678152840438403E-3</v>
      </c>
    </row>
    <row r="3885" spans="8:8" ht="15" customHeight="1" x14ac:dyDescent="0.2">
      <c r="H3885" s="19">
        <v>-7.5642900594828698E-4</v>
      </c>
    </row>
    <row r="3886" spans="8:8" ht="15" customHeight="1" x14ac:dyDescent="0.2">
      <c r="H3886" s="19">
        <v>-6.23051553702254E-3</v>
      </c>
    </row>
    <row r="3887" spans="8:8" ht="15" customHeight="1" x14ac:dyDescent="0.2">
      <c r="H3887" s="19">
        <v>1.25957791049667E-2</v>
      </c>
    </row>
    <row r="3888" spans="8:8" ht="15" customHeight="1" x14ac:dyDescent="0.2">
      <c r="H3888" s="19">
        <v>8.7414627036895808E-3</v>
      </c>
    </row>
    <row r="3889" spans="8:8" ht="15" customHeight="1" x14ac:dyDescent="0.2">
      <c r="H3889" s="19">
        <v>1.0980319599424601E-2</v>
      </c>
    </row>
    <row r="3890" spans="8:8" ht="15" customHeight="1" x14ac:dyDescent="0.2">
      <c r="H3890" s="19">
        <v>2.6580671592976401E-2</v>
      </c>
    </row>
    <row r="3891" spans="8:8" ht="15" customHeight="1" x14ac:dyDescent="0.2">
      <c r="H3891" s="19">
        <v>-5.8482603483448201E-3</v>
      </c>
    </row>
    <row r="3892" spans="8:8" ht="15" customHeight="1" x14ac:dyDescent="0.2">
      <c r="H3892" s="19">
        <v>2.6747049700124901E-2</v>
      </c>
    </row>
    <row r="3893" spans="8:8" ht="15" customHeight="1" x14ac:dyDescent="0.2">
      <c r="H3893" s="19">
        <v>-1.6838569329541499E-2</v>
      </c>
    </row>
    <row r="3894" spans="8:8" ht="15" customHeight="1" x14ac:dyDescent="0.2">
      <c r="H3894" s="19">
        <v>2.2826338473877699E-2</v>
      </c>
    </row>
    <row r="3895" spans="8:8" ht="15" customHeight="1" x14ac:dyDescent="0.2">
      <c r="H3895" s="19">
        <v>-4.2261397731378101E-3</v>
      </c>
    </row>
    <row r="3896" spans="8:8" ht="15" customHeight="1" x14ac:dyDescent="0.2">
      <c r="H3896" s="19">
        <v>-1.1723570349663299E-3</v>
      </c>
    </row>
    <row r="3897" spans="8:8" ht="15" customHeight="1" x14ac:dyDescent="0.2">
      <c r="H3897" s="19">
        <v>-3.1121122374911102E-4</v>
      </c>
    </row>
    <row r="3898" spans="8:8" ht="15" customHeight="1" x14ac:dyDescent="0.2">
      <c r="H3898" s="19">
        <v>1.09991710734248E-2</v>
      </c>
    </row>
    <row r="3899" spans="8:8" ht="15" customHeight="1" x14ac:dyDescent="0.2">
      <c r="H3899" s="19">
        <v>1.47987535913066E-2</v>
      </c>
    </row>
    <row r="3900" spans="8:8" ht="15" customHeight="1" x14ac:dyDescent="0.2">
      <c r="H3900" s="19">
        <v>4.1440944768351097E-3</v>
      </c>
    </row>
    <row r="3901" spans="8:8" ht="15" customHeight="1" x14ac:dyDescent="0.2">
      <c r="H3901" s="19">
        <v>8.2612284041900402E-4</v>
      </c>
    </row>
    <row r="3902" spans="8:8" ht="15" customHeight="1" x14ac:dyDescent="0.2">
      <c r="H3902" s="19">
        <v>-1.3700833860563601E-3</v>
      </c>
    </row>
    <row r="3903" spans="8:8" ht="15" customHeight="1" x14ac:dyDescent="0.2">
      <c r="H3903" s="19">
        <v>7.7643512783875501E-3</v>
      </c>
    </row>
    <row r="3904" spans="8:8" ht="15" customHeight="1" x14ac:dyDescent="0.2">
      <c r="H3904" s="19">
        <v>3.2606463827465899E-3</v>
      </c>
    </row>
    <row r="3905" spans="8:8" ht="15" customHeight="1" x14ac:dyDescent="0.2">
      <c r="H3905" s="19">
        <v>-1.10760413487181E-2</v>
      </c>
    </row>
    <row r="3906" spans="8:8" ht="15" customHeight="1" x14ac:dyDescent="0.2">
      <c r="H3906" s="19">
        <v>-4.3839777918253998E-4</v>
      </c>
    </row>
    <row r="3907" spans="8:8" ht="15" customHeight="1" x14ac:dyDescent="0.2">
      <c r="H3907" s="19">
        <v>-5.1411135164846798E-3</v>
      </c>
    </row>
    <row r="3908" spans="8:8" ht="15" customHeight="1" x14ac:dyDescent="0.2">
      <c r="H3908" s="19">
        <v>-2.93702278497807E-3</v>
      </c>
    </row>
    <row r="3909" spans="8:8" ht="15" customHeight="1" x14ac:dyDescent="0.2">
      <c r="H3909" s="19">
        <v>1.6243098827533001E-2</v>
      </c>
    </row>
    <row r="3910" spans="8:8" ht="15" customHeight="1" x14ac:dyDescent="0.2">
      <c r="H3910" s="19">
        <v>2.4211018020561699E-2</v>
      </c>
    </row>
    <row r="3911" spans="8:8" ht="15" customHeight="1" x14ac:dyDescent="0.2">
      <c r="H3911" s="19">
        <v>-1.6975022796390099E-2</v>
      </c>
    </row>
    <row r="3912" spans="8:8" ht="15" customHeight="1" x14ac:dyDescent="0.2">
      <c r="H3912" s="19">
        <v>-1.7005592527259399E-3</v>
      </c>
    </row>
    <row r="3913" spans="8:8" ht="15" customHeight="1" x14ac:dyDescent="0.2">
      <c r="H3913" s="19">
        <v>-3.2736963688416399E-3</v>
      </c>
    </row>
    <row r="3914" spans="8:8" ht="15" customHeight="1" x14ac:dyDescent="0.2">
      <c r="H3914" s="19">
        <v>2.2635226401052502E-2</v>
      </c>
    </row>
    <row r="3915" spans="8:8" ht="15" customHeight="1" x14ac:dyDescent="0.2">
      <c r="H3915" s="19">
        <v>-4.9891878822881401E-3</v>
      </c>
    </row>
    <row r="3916" spans="8:8" ht="15" customHeight="1" x14ac:dyDescent="0.2">
      <c r="H3916" s="19">
        <v>1.46421356783246E-2</v>
      </c>
    </row>
    <row r="3917" spans="8:8" ht="15" customHeight="1" x14ac:dyDescent="0.2">
      <c r="H3917" s="19">
        <v>-6.1643987473629898E-3</v>
      </c>
    </row>
    <row r="3918" spans="8:8" ht="15" customHeight="1" x14ac:dyDescent="0.2">
      <c r="H3918" s="19">
        <v>-9.9129998048892408E-3</v>
      </c>
    </row>
    <row r="3919" spans="8:8" ht="15" customHeight="1" x14ac:dyDescent="0.2">
      <c r="H3919" s="19">
        <v>-1.36604876089705E-2</v>
      </c>
    </row>
    <row r="3920" spans="8:8" ht="15" customHeight="1" x14ac:dyDescent="0.2">
      <c r="H3920" s="19">
        <v>1.3820207733209199E-2</v>
      </c>
    </row>
    <row r="3921" spans="8:8" ht="15" customHeight="1" x14ac:dyDescent="0.2">
      <c r="H3921" s="19">
        <v>6.7004289610362701E-3</v>
      </c>
    </row>
    <row r="3922" spans="8:8" ht="15" customHeight="1" x14ac:dyDescent="0.2">
      <c r="H3922" s="19">
        <v>6.5770794072403504E-3</v>
      </c>
    </row>
    <row r="3923" spans="8:8" ht="15" customHeight="1" x14ac:dyDescent="0.2">
      <c r="H3923" s="19">
        <v>-9.8949721059899392E-3</v>
      </c>
    </row>
    <row r="3924" spans="8:8" ht="15" customHeight="1" x14ac:dyDescent="0.2">
      <c r="H3924" s="19">
        <v>-2.56420273944321E-3</v>
      </c>
    </row>
    <row r="3925" spans="8:8" ht="15" customHeight="1" x14ac:dyDescent="0.2">
      <c r="H3925" s="19">
        <v>1.67584319764234E-3</v>
      </c>
    </row>
    <row r="3926" spans="8:8" ht="15" customHeight="1" x14ac:dyDescent="0.2">
      <c r="H3926" s="19">
        <v>2.27855366201675E-3</v>
      </c>
    </row>
    <row r="3927" spans="8:8" ht="15" customHeight="1" x14ac:dyDescent="0.2">
      <c r="H3927" s="19">
        <v>-2.5306575781519898E-3</v>
      </c>
    </row>
    <row r="3928" spans="8:8" ht="15" customHeight="1" x14ac:dyDescent="0.2">
      <c r="H3928" s="19">
        <v>6.5812167596589703E-3</v>
      </c>
    </row>
    <row r="3929" spans="8:8" ht="15" customHeight="1" x14ac:dyDescent="0.2">
      <c r="H3929" s="19">
        <v>1.37570025289105E-2</v>
      </c>
    </row>
    <row r="3930" spans="8:8" ht="15" customHeight="1" x14ac:dyDescent="0.2">
      <c r="H3930" s="19">
        <v>-4.1675310216485802E-4</v>
      </c>
    </row>
    <row r="3931" spans="8:8" ht="15" customHeight="1" x14ac:dyDescent="0.2">
      <c r="H3931" s="19">
        <v>-4.03185881617213E-3</v>
      </c>
    </row>
    <row r="3932" spans="8:8" ht="15" customHeight="1" x14ac:dyDescent="0.2">
      <c r="H3932" s="19">
        <v>-8.1258454983921206E-3</v>
      </c>
    </row>
    <row r="3933" spans="8:8" ht="15" customHeight="1" x14ac:dyDescent="0.2">
      <c r="H3933" s="19">
        <v>-1.08630151885535E-3</v>
      </c>
    </row>
    <row r="3934" spans="8:8" ht="15" customHeight="1" x14ac:dyDescent="0.2">
      <c r="H3934" s="19">
        <v>1.11055727622376E-2</v>
      </c>
    </row>
    <row r="3935" spans="8:8" ht="15" customHeight="1" x14ac:dyDescent="0.2">
      <c r="H3935" s="19">
        <v>-6.3532804417492598E-3</v>
      </c>
    </row>
    <row r="3936" spans="8:8" ht="15" customHeight="1" x14ac:dyDescent="0.2">
      <c r="H3936" s="19">
        <v>-5.2303373967191504E-3</v>
      </c>
    </row>
    <row r="3937" spans="8:8" ht="15" customHeight="1" x14ac:dyDescent="0.2">
      <c r="H3937" s="19">
        <v>1.27828092298236E-2</v>
      </c>
    </row>
    <row r="3938" spans="8:8" ht="15" customHeight="1" x14ac:dyDescent="0.2">
      <c r="H3938" s="19">
        <v>5.5730096185577999E-3</v>
      </c>
    </row>
    <row r="3939" spans="8:8" ht="15" customHeight="1" x14ac:dyDescent="0.2">
      <c r="H3939" s="19">
        <v>-8.3911974591382998E-3</v>
      </c>
    </row>
    <row r="3940" spans="8:8" ht="15" customHeight="1" x14ac:dyDescent="0.2">
      <c r="H3940" s="19">
        <v>-5.30492329787786E-3</v>
      </c>
    </row>
    <row r="3941" spans="8:8" ht="15" customHeight="1" x14ac:dyDescent="0.2">
      <c r="H3941" s="19">
        <v>-3.23409533915733E-4</v>
      </c>
    </row>
    <row r="3942" spans="8:8" ht="15" customHeight="1" x14ac:dyDescent="0.2">
      <c r="H3942" s="19">
        <v>-7.1001827073473803E-3</v>
      </c>
    </row>
    <row r="3943" spans="8:8" ht="15" customHeight="1" x14ac:dyDescent="0.2">
      <c r="H3943" s="19">
        <v>-1.48767832088128E-2</v>
      </c>
    </row>
    <row r="3944" spans="8:8" ht="15" customHeight="1" x14ac:dyDescent="0.2">
      <c r="H3944" s="19">
        <v>2.8811111133989899E-3</v>
      </c>
    </row>
    <row r="3945" spans="8:8" ht="15" customHeight="1" x14ac:dyDescent="0.2">
      <c r="H3945" s="19">
        <v>4.9966430261541997E-3</v>
      </c>
    </row>
    <row r="3946" spans="8:8" ht="15" customHeight="1" x14ac:dyDescent="0.2">
      <c r="H3946" s="19">
        <v>-1.40162516050395E-2</v>
      </c>
    </row>
    <row r="3947" spans="8:8" ht="15" customHeight="1" x14ac:dyDescent="0.2">
      <c r="H3947" s="19">
        <v>4.9421603830955303E-3</v>
      </c>
    </row>
    <row r="3948" spans="8:8" ht="15" customHeight="1" x14ac:dyDescent="0.2">
      <c r="H3948" s="19">
        <v>-4.0760476317010397E-3</v>
      </c>
    </row>
    <row r="3949" spans="8:8" ht="15" customHeight="1" x14ac:dyDescent="0.2">
      <c r="H3949" s="19">
        <v>1.2893932779666901E-2</v>
      </c>
    </row>
    <row r="3950" spans="8:8" ht="15" customHeight="1" x14ac:dyDescent="0.2">
      <c r="H3950" s="19">
        <v>2.0850914828533799E-2</v>
      </c>
    </row>
    <row r="3951" spans="8:8" ht="15" customHeight="1" x14ac:dyDescent="0.2">
      <c r="H3951" s="19">
        <v>4.0804711988732898E-3</v>
      </c>
    </row>
    <row r="3952" spans="8:8" ht="15" customHeight="1" x14ac:dyDescent="0.2">
      <c r="H3952" s="19">
        <v>1.2368200444298601E-2</v>
      </c>
    </row>
    <row r="3953" spans="8:8" ht="15" customHeight="1" x14ac:dyDescent="0.2">
      <c r="H3953" s="19">
        <v>8.3908899463958093E-3</v>
      </c>
    </row>
    <row r="3954" spans="8:8" ht="15" customHeight="1" x14ac:dyDescent="0.2">
      <c r="H3954" s="19">
        <v>-5.6058638308229304E-3</v>
      </c>
    </row>
    <row r="3955" spans="8:8" ht="15" customHeight="1" x14ac:dyDescent="0.2">
      <c r="H3955" s="19">
        <v>6.3378352080391597E-3</v>
      </c>
    </row>
    <row r="3956" spans="8:8" ht="15" customHeight="1" x14ac:dyDescent="0.2">
      <c r="H3956" s="19">
        <v>-1.44616767789684E-2</v>
      </c>
    </row>
    <row r="3957" spans="8:8" ht="15" customHeight="1" x14ac:dyDescent="0.2">
      <c r="H3957" s="19">
        <v>-1.3922719753191001E-3</v>
      </c>
    </row>
    <row r="3958" spans="8:8" ht="15" customHeight="1" x14ac:dyDescent="0.2">
      <c r="H3958" s="19">
        <v>-1.1241457175502199E-2</v>
      </c>
    </row>
    <row r="3959" spans="8:8" ht="15" customHeight="1" x14ac:dyDescent="0.2">
      <c r="H3959" s="19">
        <v>-1.6231462110297301E-2</v>
      </c>
    </row>
    <row r="3960" spans="8:8" ht="15" customHeight="1" x14ac:dyDescent="0.2">
      <c r="H3960" s="19">
        <v>6.8725588710809001E-3</v>
      </c>
    </row>
    <row r="3961" spans="8:8" ht="15" customHeight="1" x14ac:dyDescent="0.2">
      <c r="H3961" s="19">
        <v>-5.55400754751056E-3</v>
      </c>
    </row>
    <row r="3962" spans="8:8" ht="15" customHeight="1" x14ac:dyDescent="0.2">
      <c r="H3962" s="19">
        <v>4.1215916988587399E-3</v>
      </c>
    </row>
    <row r="3963" spans="8:8" ht="15" customHeight="1" x14ac:dyDescent="0.2">
      <c r="H3963" s="19">
        <v>-9.8984411171688397E-3</v>
      </c>
    </row>
    <row r="3964" spans="8:8" ht="15" customHeight="1" x14ac:dyDescent="0.2">
      <c r="H3964" s="19">
        <v>-1.6328961146486201E-2</v>
      </c>
    </row>
    <row r="3965" spans="8:8" ht="15" customHeight="1" x14ac:dyDescent="0.2">
      <c r="H3965" s="19">
        <v>1.4152080652363799E-2</v>
      </c>
    </row>
    <row r="3966" spans="8:8" ht="15" customHeight="1" x14ac:dyDescent="0.2">
      <c r="H3966" s="19">
        <v>-8.0755616695379299E-4</v>
      </c>
    </row>
    <row r="3967" spans="8:8" ht="15" customHeight="1" x14ac:dyDescent="0.2">
      <c r="H3967" s="19">
        <v>-2.1451818510217199E-2</v>
      </c>
    </row>
    <row r="3968" spans="8:8" ht="15" customHeight="1" x14ac:dyDescent="0.2">
      <c r="H3968" s="19">
        <v>3.8550305068256198E-3</v>
      </c>
    </row>
    <row r="3969" spans="8:8" ht="15" customHeight="1" x14ac:dyDescent="0.2">
      <c r="H3969" s="19">
        <v>-4.7925383843899E-5</v>
      </c>
    </row>
    <row r="3970" spans="8:8" ht="15" customHeight="1" x14ac:dyDescent="0.2">
      <c r="H3970" s="19">
        <v>2.8218073276997401E-3</v>
      </c>
    </row>
    <row r="3971" spans="8:8" ht="15" customHeight="1" x14ac:dyDescent="0.2">
      <c r="H3971" s="19">
        <v>4.1677313638540303E-3</v>
      </c>
    </row>
    <row r="3972" spans="8:8" ht="15" customHeight="1" x14ac:dyDescent="0.2">
      <c r="H3972" s="19">
        <v>9.5218625345183106E-3</v>
      </c>
    </row>
    <row r="3973" spans="8:8" ht="15" customHeight="1" x14ac:dyDescent="0.2">
      <c r="H3973" s="19">
        <v>2.15142929519935E-3</v>
      </c>
    </row>
    <row r="3974" spans="8:8" ht="15" customHeight="1" x14ac:dyDescent="0.2">
      <c r="H3974" s="19">
        <v>-1.47176190464628E-2</v>
      </c>
    </row>
    <row r="3975" spans="8:8" ht="15" customHeight="1" x14ac:dyDescent="0.2">
      <c r="H3975" s="19">
        <v>-1.9893235596673301E-3</v>
      </c>
    </row>
    <row r="3976" spans="8:8" ht="15" customHeight="1" x14ac:dyDescent="0.2">
      <c r="H3976" s="19">
        <v>-1.8098606202249401E-2</v>
      </c>
    </row>
    <row r="3977" spans="8:8" ht="15" customHeight="1" x14ac:dyDescent="0.2">
      <c r="H3977" s="19">
        <v>-5.8455295741415897E-3</v>
      </c>
    </row>
    <row r="3978" spans="8:8" ht="15" customHeight="1" x14ac:dyDescent="0.2">
      <c r="H3978" s="19">
        <v>1.38948020753341E-2</v>
      </c>
    </row>
    <row r="3979" spans="8:8" ht="15" customHeight="1" x14ac:dyDescent="0.2">
      <c r="H3979" s="19">
        <v>-9.4389731406725793E-3</v>
      </c>
    </row>
    <row r="3980" spans="8:8" ht="15" customHeight="1" x14ac:dyDescent="0.2">
      <c r="H3980" s="19">
        <v>1.08124661534965E-2</v>
      </c>
    </row>
    <row r="3981" spans="8:8" ht="15" customHeight="1" x14ac:dyDescent="0.2">
      <c r="H3981" s="19">
        <v>1.5682795442047402E-2</v>
      </c>
    </row>
    <row r="3982" spans="8:8" ht="15" customHeight="1" x14ac:dyDescent="0.2">
      <c r="H3982" s="19">
        <v>-3.5571329497001398E-4</v>
      </c>
    </row>
    <row r="3983" spans="8:8" ht="15" customHeight="1" x14ac:dyDescent="0.2">
      <c r="H3983" s="19">
        <v>-8.4593530044506197E-3</v>
      </c>
    </row>
    <row r="3984" spans="8:8" ht="15" customHeight="1" x14ac:dyDescent="0.2">
      <c r="H3984" s="19">
        <v>4.38233401129671E-3</v>
      </c>
    </row>
    <row r="3985" spans="8:8" ht="15" customHeight="1" x14ac:dyDescent="0.2">
      <c r="H3985" s="19">
        <v>2.4117719852647401E-3</v>
      </c>
    </row>
    <row r="3986" spans="8:8" ht="15" customHeight="1" x14ac:dyDescent="0.2">
      <c r="H3986" s="19">
        <v>1.15652012485711E-2</v>
      </c>
    </row>
    <row r="3987" spans="8:8" ht="15" customHeight="1" x14ac:dyDescent="0.2">
      <c r="H3987" s="19">
        <v>2.87877475406647E-3</v>
      </c>
    </row>
    <row r="3988" spans="8:8" ht="15" customHeight="1" x14ac:dyDescent="0.2">
      <c r="H3988" s="19">
        <v>-4.6425138927905897E-3</v>
      </c>
    </row>
    <row r="3989" spans="8:8" ht="15" customHeight="1" x14ac:dyDescent="0.2">
      <c r="H3989" s="19">
        <v>4.63644080667713E-3</v>
      </c>
    </row>
    <row r="3990" spans="8:8" ht="15" customHeight="1" x14ac:dyDescent="0.2">
      <c r="H3990" s="19">
        <v>5.4601113550246001E-3</v>
      </c>
    </row>
    <row r="3991" spans="8:8" ht="15" customHeight="1" x14ac:dyDescent="0.2">
      <c r="H3991" s="19">
        <v>2.2132208015433899E-3</v>
      </c>
    </row>
    <row r="3992" spans="8:8" ht="15" customHeight="1" x14ac:dyDescent="0.2">
      <c r="H3992" s="19">
        <v>1.38654300220548E-2</v>
      </c>
    </row>
    <row r="3993" spans="8:8" ht="15" customHeight="1" x14ac:dyDescent="0.2">
      <c r="H3993" s="19">
        <v>2.5695068575114798E-3</v>
      </c>
    </row>
    <row r="3994" spans="8:8" ht="15" customHeight="1" x14ac:dyDescent="0.2">
      <c r="H3994" s="19">
        <v>6.8859197723018404E-4</v>
      </c>
    </row>
    <row r="3995" spans="8:8" ht="15" customHeight="1" x14ac:dyDescent="0.2">
      <c r="H3995" s="19">
        <v>-8.6523703243140907E-3</v>
      </c>
    </row>
    <row r="3996" spans="8:8" ht="15" customHeight="1" x14ac:dyDescent="0.2">
      <c r="H3996" s="19">
        <v>-4.9898374906100903E-3</v>
      </c>
    </row>
    <row r="3997" spans="8:8" ht="15" customHeight="1" x14ac:dyDescent="0.2">
      <c r="H3997" s="19">
        <v>1.8888546329097498E-2</v>
      </c>
    </row>
    <row r="3998" spans="8:8" ht="15" customHeight="1" x14ac:dyDescent="0.2">
      <c r="H3998" s="19">
        <v>5.2965735592617599E-3</v>
      </c>
    </row>
    <row r="3999" spans="8:8" ht="15" customHeight="1" x14ac:dyDescent="0.2">
      <c r="H3999" s="19">
        <v>-2.7553186069988899E-4</v>
      </c>
    </row>
    <row r="4000" spans="8:8" ht="15" customHeight="1" x14ac:dyDescent="0.2">
      <c r="H4000" s="19">
        <v>-2.5778179872302E-3</v>
      </c>
    </row>
    <row r="4001" spans="8:8" ht="15" customHeight="1" x14ac:dyDescent="0.2">
      <c r="H4001" s="19">
        <v>-1.03716313431306E-2</v>
      </c>
    </row>
    <row r="4002" spans="8:8" ht="15" customHeight="1" x14ac:dyDescent="0.2">
      <c r="H4002" s="19">
        <v>-7.1081477427596398E-3</v>
      </c>
    </row>
    <row r="4003" spans="8:8" ht="15" customHeight="1" x14ac:dyDescent="0.2">
      <c r="H4003" s="19">
        <v>-6.2057953644881897E-3</v>
      </c>
    </row>
    <row r="4004" spans="8:8" ht="15" customHeight="1" x14ac:dyDescent="0.2">
      <c r="H4004" s="19">
        <v>2.1401427578603099E-3</v>
      </c>
    </row>
    <row r="4005" spans="8:8" ht="15" customHeight="1" x14ac:dyDescent="0.2">
      <c r="H4005" s="19">
        <v>1.2270815075349E-2</v>
      </c>
    </row>
    <row r="4006" spans="8:8" ht="15" customHeight="1" x14ac:dyDescent="0.2">
      <c r="H4006" s="19">
        <v>1.2781388850448199E-2</v>
      </c>
    </row>
    <row r="4007" spans="8:8" ht="15" customHeight="1" x14ac:dyDescent="0.2">
      <c r="H4007" s="19">
        <v>-6.2684699762517501E-3</v>
      </c>
    </row>
    <row r="4008" spans="8:8" ht="15" customHeight="1" x14ac:dyDescent="0.2">
      <c r="H4008" s="19">
        <v>9.8799776391985308E-3</v>
      </c>
    </row>
    <row r="4009" spans="8:8" ht="15" customHeight="1" x14ac:dyDescent="0.2">
      <c r="H4009" s="19">
        <v>-1.9503728494585801E-2</v>
      </c>
    </row>
    <row r="4010" spans="8:8" ht="15" customHeight="1" x14ac:dyDescent="0.2">
      <c r="H4010" s="19">
        <v>4.7444481708405102E-3</v>
      </c>
    </row>
    <row r="4011" spans="8:8" ht="15" customHeight="1" x14ac:dyDescent="0.2">
      <c r="H4011" s="19">
        <v>-3.4343792420289398E-3</v>
      </c>
    </row>
    <row r="4012" spans="8:8" ht="15" customHeight="1" x14ac:dyDescent="0.2">
      <c r="H4012" s="19">
        <v>-2.9399010290926801E-3</v>
      </c>
    </row>
    <row r="4013" spans="8:8" ht="15" customHeight="1" x14ac:dyDescent="0.2">
      <c r="H4013" s="19">
        <v>-1.06508622942099E-3</v>
      </c>
    </row>
    <row r="4014" spans="8:8" ht="15" customHeight="1" x14ac:dyDescent="0.2">
      <c r="H4014" s="19">
        <v>-3.5198476717950601E-3</v>
      </c>
    </row>
    <row r="4015" spans="8:8" ht="15" customHeight="1" x14ac:dyDescent="0.2">
      <c r="H4015" s="19">
        <v>1.55006466583541E-2</v>
      </c>
    </row>
    <row r="4016" spans="8:8" ht="15" customHeight="1" x14ac:dyDescent="0.2">
      <c r="H4016" s="19">
        <v>-1.5422476600324799E-3</v>
      </c>
    </row>
    <row r="4017" spans="8:8" ht="15" customHeight="1" x14ac:dyDescent="0.2">
      <c r="H4017" s="19">
        <v>-2.2522038612575799E-3</v>
      </c>
    </row>
    <row r="4018" spans="8:8" ht="15" customHeight="1" x14ac:dyDescent="0.2">
      <c r="H4018" s="19">
        <v>-1.13078674366605E-2</v>
      </c>
    </row>
    <row r="4019" spans="8:8" ht="15" customHeight="1" x14ac:dyDescent="0.2">
      <c r="H4019" s="19">
        <v>1.6027022197323899E-2</v>
      </c>
    </row>
    <row r="4020" spans="8:8" ht="15" customHeight="1" x14ac:dyDescent="0.2">
      <c r="H4020" s="19">
        <v>1.1521008074116299E-2</v>
      </c>
    </row>
    <row r="4021" spans="8:8" ht="15" customHeight="1" x14ac:dyDescent="0.2">
      <c r="H4021" s="19">
        <v>-4.87920080727573E-3</v>
      </c>
    </row>
    <row r="4022" spans="8:8" ht="15" customHeight="1" x14ac:dyDescent="0.2">
      <c r="H4022" s="19">
        <v>4.6932123004352197E-3</v>
      </c>
    </row>
    <row r="4023" spans="8:8" ht="15" customHeight="1" x14ac:dyDescent="0.2">
      <c r="H4023" s="19">
        <v>5.1058433128652898E-3</v>
      </c>
    </row>
    <row r="4024" spans="8:8" ht="15" customHeight="1" x14ac:dyDescent="0.2">
      <c r="H4024" s="19">
        <v>2.0658960877131601E-2</v>
      </c>
    </row>
    <row r="4025" spans="8:8" ht="15" customHeight="1" x14ac:dyDescent="0.2">
      <c r="H4025" s="19">
        <v>1.8850578620601E-3</v>
      </c>
    </row>
    <row r="4026" spans="8:8" ht="15" customHeight="1" x14ac:dyDescent="0.2">
      <c r="H4026" s="19">
        <v>-4.2124754775527398E-3</v>
      </c>
    </row>
    <row r="4027" spans="8:8" ht="15" customHeight="1" x14ac:dyDescent="0.2">
      <c r="H4027" s="19">
        <v>5.5016003808100304E-4</v>
      </c>
    </row>
    <row r="4028" spans="8:8" ht="15" customHeight="1" x14ac:dyDescent="0.2">
      <c r="H4028" s="19">
        <v>-1.4894132376574399E-2</v>
      </c>
    </row>
    <row r="4029" spans="8:8" ht="15" customHeight="1" x14ac:dyDescent="0.2">
      <c r="H4029" s="19">
        <v>6.3819757373232101E-3</v>
      </c>
    </row>
    <row r="4030" spans="8:8" ht="15" customHeight="1" x14ac:dyDescent="0.2">
      <c r="H4030" s="19">
        <v>-1.1398994896673899E-2</v>
      </c>
    </row>
    <row r="4031" spans="8:8" ht="15" customHeight="1" x14ac:dyDescent="0.2">
      <c r="H4031" s="19">
        <v>-5.9142211565829297E-3</v>
      </c>
    </row>
    <row r="4032" spans="8:8" ht="15" customHeight="1" x14ac:dyDescent="0.2">
      <c r="H4032" s="19">
        <v>-6.5422683885162499E-3</v>
      </c>
    </row>
    <row r="4033" spans="8:8" ht="15" customHeight="1" x14ac:dyDescent="0.2">
      <c r="H4033" s="19">
        <v>-8.0847525954363293E-3</v>
      </c>
    </row>
    <row r="4034" spans="8:8" ht="15" customHeight="1" x14ac:dyDescent="0.2">
      <c r="H4034" s="19">
        <v>-1.6803876375936298E-2</v>
      </c>
    </row>
    <row r="4035" spans="8:8" ht="15" customHeight="1" x14ac:dyDescent="0.2">
      <c r="H4035" s="19">
        <v>1.61746757668907E-2</v>
      </c>
    </row>
    <row r="4036" spans="8:8" ht="15" customHeight="1" x14ac:dyDescent="0.2">
      <c r="H4036" s="19">
        <v>5.5646912029339198E-3</v>
      </c>
    </row>
    <row r="4037" spans="8:8" ht="15" customHeight="1" x14ac:dyDescent="0.2">
      <c r="H4037" s="19">
        <v>1.1816173207500801E-2</v>
      </c>
    </row>
    <row r="4038" spans="8:8" ht="15" customHeight="1" x14ac:dyDescent="0.2">
      <c r="H4038" s="19">
        <v>-1.2567150913229E-2</v>
      </c>
    </row>
    <row r="4039" spans="8:8" ht="15" customHeight="1" x14ac:dyDescent="0.2">
      <c r="H4039" s="19">
        <v>8.9053784840294609E-3</v>
      </c>
    </row>
    <row r="4040" spans="8:8" ht="15" customHeight="1" x14ac:dyDescent="0.2">
      <c r="H4040" s="19">
        <v>1.56872390763502E-3</v>
      </c>
    </row>
    <row r="4041" spans="8:8" ht="15" customHeight="1" x14ac:dyDescent="0.2">
      <c r="H4041" s="19">
        <v>4.7667932940841304E-3</v>
      </c>
    </row>
    <row r="4042" spans="8:8" ht="15" customHeight="1" x14ac:dyDescent="0.2">
      <c r="H4042" s="19">
        <v>5.6486416924505902E-3</v>
      </c>
    </row>
    <row r="4043" spans="8:8" ht="15" customHeight="1" x14ac:dyDescent="0.2">
      <c r="H4043" s="19">
        <v>1.11833568323042E-2</v>
      </c>
    </row>
    <row r="4044" spans="8:8" ht="15" customHeight="1" x14ac:dyDescent="0.2">
      <c r="H4044" s="19">
        <v>-1.27073485021618E-2</v>
      </c>
    </row>
    <row r="4045" spans="8:8" ht="15" customHeight="1" x14ac:dyDescent="0.2">
      <c r="H4045" s="19">
        <v>7.6314466350230802E-3</v>
      </c>
    </row>
    <row r="4046" spans="8:8" ht="15" customHeight="1" x14ac:dyDescent="0.2">
      <c r="H4046" s="19">
        <v>9.4440860939227801E-3</v>
      </c>
    </row>
    <row r="4047" spans="8:8" ht="15" customHeight="1" x14ac:dyDescent="0.2">
      <c r="H4047" s="19">
        <v>-1.8114081707668E-3</v>
      </c>
    </row>
    <row r="4048" spans="8:8" ht="15" customHeight="1" x14ac:dyDescent="0.2">
      <c r="H4048" s="19">
        <v>-1.51937360096324E-3</v>
      </c>
    </row>
    <row r="4049" spans="8:8" ht="15" customHeight="1" x14ac:dyDescent="0.2">
      <c r="H4049" s="19">
        <v>-2.11572632544329E-3</v>
      </c>
    </row>
    <row r="4050" spans="8:8" ht="15" customHeight="1" x14ac:dyDescent="0.2">
      <c r="H4050" s="19">
        <v>1.2020312438591901E-2</v>
      </c>
    </row>
    <row r="4051" spans="8:8" ht="15" customHeight="1" x14ac:dyDescent="0.2">
      <c r="H4051" s="19">
        <v>4.24987473171228E-3</v>
      </c>
    </row>
    <row r="4052" spans="8:8" ht="15" customHeight="1" x14ac:dyDescent="0.2">
      <c r="H4052" s="19">
        <v>-1.1955455692314401E-2</v>
      </c>
    </row>
    <row r="4053" spans="8:8" ht="15" customHeight="1" x14ac:dyDescent="0.2">
      <c r="H4053" s="19">
        <v>-3.7478916864080297E-4</v>
      </c>
    </row>
    <row r="4054" spans="8:8" ht="15" customHeight="1" x14ac:dyDescent="0.2">
      <c r="H4054" s="19">
        <v>-1.42569657783253E-2</v>
      </c>
    </row>
    <row r="4055" spans="8:8" ht="15" customHeight="1" x14ac:dyDescent="0.2">
      <c r="H4055" s="19">
        <v>-1.4478320330226601E-2</v>
      </c>
    </row>
    <row r="4056" spans="8:8" ht="15" customHeight="1" x14ac:dyDescent="0.2">
      <c r="H4056" s="19">
        <v>1.6971171783256099E-2</v>
      </c>
    </row>
    <row r="4057" spans="8:8" ht="15" customHeight="1" x14ac:dyDescent="0.2">
      <c r="H4057" s="19">
        <v>6.3214645791805904E-4</v>
      </c>
    </row>
    <row r="4058" spans="8:8" ht="15" customHeight="1" x14ac:dyDescent="0.2">
      <c r="H4058" s="19">
        <v>-9.9790245751981907E-3</v>
      </c>
    </row>
    <row r="4059" spans="8:8" ht="15" customHeight="1" x14ac:dyDescent="0.2">
      <c r="H4059" s="19">
        <v>4.7592126476812199E-3</v>
      </c>
    </row>
    <row r="4060" spans="8:8" ht="15" customHeight="1" x14ac:dyDescent="0.2">
      <c r="H4060" s="19">
        <v>-7.9192897237384194E-3</v>
      </c>
    </row>
    <row r="4061" spans="8:8" ht="15" customHeight="1" x14ac:dyDescent="0.2">
      <c r="H4061" s="19">
        <v>-3.6261744353363501E-3</v>
      </c>
    </row>
    <row r="4062" spans="8:8" ht="15" customHeight="1" x14ac:dyDescent="0.2">
      <c r="H4062" s="19">
        <v>-1.87336237284828E-2</v>
      </c>
    </row>
    <row r="4063" spans="8:8" ht="15" customHeight="1" x14ac:dyDescent="0.2">
      <c r="H4063" s="19">
        <v>9.5011955596623705E-4</v>
      </c>
    </row>
    <row r="4064" spans="8:8" ht="15" customHeight="1" x14ac:dyDescent="0.2">
      <c r="H4064" s="19">
        <v>-7.0287505809228301E-3</v>
      </c>
    </row>
    <row r="4065" spans="8:8" ht="15" customHeight="1" x14ac:dyDescent="0.2">
      <c r="H4065" s="19">
        <v>-2.7880756373254399E-3</v>
      </c>
    </row>
    <row r="4066" spans="8:8" ht="15" customHeight="1" x14ac:dyDescent="0.2">
      <c r="H4066" s="19">
        <v>1.6269699337880399E-2</v>
      </c>
    </row>
    <row r="4067" spans="8:8" ht="15" customHeight="1" x14ac:dyDescent="0.2">
      <c r="H4067" s="19">
        <v>-1.60949568766269E-2</v>
      </c>
    </row>
    <row r="4068" spans="8:8" ht="15" customHeight="1" x14ac:dyDescent="0.2">
      <c r="H4068" s="19">
        <v>-6.9608079794166904E-3</v>
      </c>
    </row>
    <row r="4069" spans="8:8" ht="15" customHeight="1" x14ac:dyDescent="0.2">
      <c r="H4069" s="19">
        <v>5.6979315311521898E-3</v>
      </c>
    </row>
    <row r="4070" spans="8:8" ht="15" customHeight="1" x14ac:dyDescent="0.2">
      <c r="H4070" s="19">
        <v>1.4240501044686001E-2</v>
      </c>
    </row>
    <row r="4071" spans="8:8" ht="15" customHeight="1" x14ac:dyDescent="0.2">
      <c r="H4071" s="19">
        <v>1.8811592988592499E-3</v>
      </c>
    </row>
    <row r="4072" spans="8:8" ht="15" customHeight="1" x14ac:dyDescent="0.2">
      <c r="H4072" s="19">
        <v>1.26744274569703E-2</v>
      </c>
    </row>
    <row r="4073" spans="8:8" ht="15" customHeight="1" x14ac:dyDescent="0.2">
      <c r="H4073" s="19">
        <v>3.9754739546930097E-3</v>
      </c>
    </row>
    <row r="4074" spans="8:8" ht="15" customHeight="1" x14ac:dyDescent="0.2">
      <c r="H4074" s="19">
        <v>-5.753299359334E-3</v>
      </c>
    </row>
    <row r="4075" spans="8:8" ht="15" customHeight="1" x14ac:dyDescent="0.2">
      <c r="H4075" s="19">
        <v>9.4202281984852299E-4</v>
      </c>
    </row>
    <row r="4076" spans="8:8" ht="15" customHeight="1" x14ac:dyDescent="0.2">
      <c r="H4076" s="19">
        <v>5.5220310549220601E-3</v>
      </c>
    </row>
    <row r="4077" spans="8:8" ht="15" customHeight="1" x14ac:dyDescent="0.2">
      <c r="H4077" s="19">
        <v>2.41888415326437E-3</v>
      </c>
    </row>
    <row r="4078" spans="8:8" ht="15" customHeight="1" x14ac:dyDescent="0.2">
      <c r="H4078" s="19">
        <v>5.3651020448601903E-3</v>
      </c>
    </row>
    <row r="4079" spans="8:8" ht="15" customHeight="1" x14ac:dyDescent="0.2">
      <c r="H4079" s="19">
        <v>-2.2552491112496301E-2</v>
      </c>
    </row>
    <row r="4080" spans="8:8" ht="15" customHeight="1" x14ac:dyDescent="0.2">
      <c r="H4080" s="19">
        <v>1.9144509242165E-2</v>
      </c>
    </row>
    <row r="4081" spans="8:8" ht="15" customHeight="1" x14ac:dyDescent="0.2">
      <c r="H4081" s="19">
        <v>-1.5012720457344001E-3</v>
      </c>
    </row>
    <row r="4082" spans="8:8" ht="15" customHeight="1" x14ac:dyDescent="0.2">
      <c r="H4082" s="19">
        <v>-5.2663815795851504E-3</v>
      </c>
    </row>
    <row r="4083" spans="8:8" ht="15" customHeight="1" x14ac:dyDescent="0.2">
      <c r="H4083" s="19">
        <v>1.0838032833926699E-3</v>
      </c>
    </row>
    <row r="4084" spans="8:8" ht="15" customHeight="1" x14ac:dyDescent="0.2">
      <c r="H4084" s="19">
        <v>-1.21270174950868E-3</v>
      </c>
    </row>
    <row r="4085" spans="8:8" ht="15" customHeight="1" x14ac:dyDescent="0.2">
      <c r="H4085" s="19">
        <v>1.33049968778423E-2</v>
      </c>
    </row>
    <row r="4086" spans="8:8" ht="15" customHeight="1" x14ac:dyDescent="0.2">
      <c r="H4086" s="19">
        <v>-9.9265753944495711E-4</v>
      </c>
    </row>
    <row r="4087" spans="8:8" ht="15" customHeight="1" x14ac:dyDescent="0.2">
      <c r="H4087" s="19">
        <v>-6.1884951630213297E-4</v>
      </c>
    </row>
    <row r="4088" spans="8:8" ht="15" customHeight="1" x14ac:dyDescent="0.2">
      <c r="H4088" s="19">
        <v>6.3636055475571E-3</v>
      </c>
    </row>
    <row r="4089" spans="8:8" ht="15" customHeight="1" x14ac:dyDescent="0.2">
      <c r="H4089" s="19">
        <v>8.4243436176616897E-4</v>
      </c>
    </row>
    <row r="4090" spans="8:8" ht="15" customHeight="1" x14ac:dyDescent="0.2">
      <c r="H4090" s="19">
        <v>1.81651739406317E-3</v>
      </c>
    </row>
    <row r="4091" spans="8:8" ht="15" customHeight="1" x14ac:dyDescent="0.2">
      <c r="H4091" s="19">
        <v>9.9022132919517006E-3</v>
      </c>
    </row>
    <row r="4092" spans="8:8" ht="15" customHeight="1" x14ac:dyDescent="0.2">
      <c r="H4092" s="19">
        <v>1.06241576741579E-2</v>
      </c>
    </row>
    <row r="4093" spans="8:8" ht="15" customHeight="1" x14ac:dyDescent="0.2">
      <c r="H4093" s="19">
        <v>-4.2389917668173502E-3</v>
      </c>
    </row>
    <row r="4094" spans="8:8" ht="15" customHeight="1" x14ac:dyDescent="0.2">
      <c r="H4094" s="19">
        <v>1.13906609978543E-2</v>
      </c>
    </row>
    <row r="4095" spans="8:8" ht="15" customHeight="1" x14ac:dyDescent="0.2">
      <c r="H4095" s="19">
        <v>-4.2444831499278404E-3</v>
      </c>
    </row>
    <row r="4096" spans="8:8" ht="15" customHeight="1" x14ac:dyDescent="0.2">
      <c r="H4096" s="19">
        <v>-1.33421110677615E-2</v>
      </c>
    </row>
    <row r="4097" spans="8:8" ht="15" customHeight="1" x14ac:dyDescent="0.2">
      <c r="H4097" s="19">
        <v>9.3317546646818697E-3</v>
      </c>
    </row>
    <row r="4098" spans="8:8" ht="15" customHeight="1" x14ac:dyDescent="0.2">
      <c r="H4098" s="19">
        <v>1.20433702523684E-2</v>
      </c>
    </row>
    <row r="4099" spans="8:8" ht="15" customHeight="1" x14ac:dyDescent="0.2">
      <c r="H4099" s="19">
        <v>-1.91714688240763E-3</v>
      </c>
    </row>
    <row r="4100" spans="8:8" ht="15" customHeight="1" x14ac:dyDescent="0.2">
      <c r="H4100" s="19">
        <v>-1.42025938561985E-2</v>
      </c>
    </row>
    <row r="4101" spans="8:8" ht="15" customHeight="1" x14ac:dyDescent="0.2">
      <c r="H4101" s="19">
        <v>1.20316973435813E-2</v>
      </c>
    </row>
    <row r="4102" spans="8:8" ht="15" customHeight="1" x14ac:dyDescent="0.2">
      <c r="H4102" s="19">
        <v>5.1485888136938696E-4</v>
      </c>
    </row>
    <row r="4103" spans="8:8" ht="15" customHeight="1" x14ac:dyDescent="0.2">
      <c r="H4103" s="19">
        <v>-7.6072146585864997E-3</v>
      </c>
    </row>
    <row r="4104" spans="8:8" ht="15" customHeight="1" x14ac:dyDescent="0.2">
      <c r="H4104" s="19">
        <v>-4.8387207672538901E-3</v>
      </c>
    </row>
    <row r="4105" spans="8:8" ht="15" customHeight="1" x14ac:dyDescent="0.2">
      <c r="H4105" s="19">
        <v>-1.5676676601425198E-2</v>
      </c>
    </row>
    <row r="4106" spans="8:8" ht="15" customHeight="1" x14ac:dyDescent="0.2">
      <c r="H4106" s="19">
        <v>2.0039682383649799E-2</v>
      </c>
    </row>
    <row r="4107" spans="8:8" ht="15" customHeight="1" x14ac:dyDescent="0.2">
      <c r="H4107" s="19">
        <v>-7.2307700845636704E-4</v>
      </c>
    </row>
    <row r="4108" spans="8:8" ht="15" customHeight="1" x14ac:dyDescent="0.2">
      <c r="H4108" s="19">
        <v>-2.85959957201654E-3</v>
      </c>
    </row>
    <row r="4109" spans="8:8" ht="15" customHeight="1" x14ac:dyDescent="0.2">
      <c r="H4109" s="19">
        <v>1.4890834437740599E-2</v>
      </c>
    </row>
    <row r="4110" spans="8:8" ht="15" customHeight="1" x14ac:dyDescent="0.2">
      <c r="H4110" s="19">
        <v>5.7736291563762398E-3</v>
      </c>
    </row>
    <row r="4111" spans="8:8" ht="15" customHeight="1" x14ac:dyDescent="0.2">
      <c r="H4111" s="19">
        <v>-1.9540297587393798E-3</v>
      </c>
    </row>
    <row r="4112" spans="8:8" ht="15" customHeight="1" x14ac:dyDescent="0.2">
      <c r="H4112" s="19">
        <v>2.4656696050532601E-2</v>
      </c>
    </row>
    <row r="4113" spans="8:8" ht="15" customHeight="1" x14ac:dyDescent="0.2">
      <c r="H4113" s="19">
        <v>7.80983050902548E-3</v>
      </c>
    </row>
    <row r="4114" spans="8:8" ht="15" customHeight="1" x14ac:dyDescent="0.2">
      <c r="H4114" s="19">
        <v>-2.3953396101640502E-3</v>
      </c>
    </row>
    <row r="4115" spans="8:8" ht="15" customHeight="1" x14ac:dyDescent="0.2">
      <c r="H4115" s="19">
        <v>9.7335933269583402E-4</v>
      </c>
    </row>
    <row r="4116" spans="8:8" ht="15" customHeight="1" x14ac:dyDescent="0.2">
      <c r="H4116" s="19">
        <v>-5.0448375876849597E-3</v>
      </c>
    </row>
    <row r="4117" spans="8:8" ht="15" customHeight="1" x14ac:dyDescent="0.2">
      <c r="H4117" s="19">
        <v>4.3205572991969102E-4</v>
      </c>
    </row>
    <row r="4118" spans="8:8" ht="15" customHeight="1" x14ac:dyDescent="0.2">
      <c r="H4118" s="19">
        <v>9.3730036453521706E-3</v>
      </c>
    </row>
    <row r="4119" spans="8:8" ht="15" customHeight="1" x14ac:dyDescent="0.2">
      <c r="H4119" s="19">
        <v>8.9403465633588401E-4</v>
      </c>
    </row>
    <row r="4120" spans="8:8" ht="15" customHeight="1" x14ac:dyDescent="0.2">
      <c r="H4120" s="19">
        <v>-7.2009579908963797E-3</v>
      </c>
    </row>
    <row r="4121" spans="8:8" ht="15" customHeight="1" x14ac:dyDescent="0.2">
      <c r="H4121" s="19">
        <v>-2.26544259666644E-2</v>
      </c>
    </row>
    <row r="4122" spans="8:8" ht="15" customHeight="1" x14ac:dyDescent="0.2">
      <c r="H4122" s="19">
        <v>1.35248446913146E-2</v>
      </c>
    </row>
    <row r="4123" spans="8:8" ht="15" customHeight="1" x14ac:dyDescent="0.2">
      <c r="H4123" s="19">
        <v>1.0521112524872299E-2</v>
      </c>
    </row>
    <row r="4124" spans="8:8" ht="15" customHeight="1" x14ac:dyDescent="0.2">
      <c r="H4124" s="19">
        <v>-1.57843236259088E-2</v>
      </c>
    </row>
    <row r="4125" spans="8:8" ht="15" customHeight="1" x14ac:dyDescent="0.2">
      <c r="H4125" s="19">
        <v>1.03938699351382E-2</v>
      </c>
    </row>
    <row r="4126" spans="8:8" ht="15" customHeight="1" x14ac:dyDescent="0.2">
      <c r="H4126" s="19">
        <v>-6.7176125040955201E-3</v>
      </c>
    </row>
    <row r="4127" spans="8:8" ht="15" customHeight="1" x14ac:dyDescent="0.2">
      <c r="H4127" s="19">
        <v>7.0887877939494999E-3</v>
      </c>
    </row>
    <row r="4128" spans="8:8" ht="15" customHeight="1" x14ac:dyDescent="0.2">
      <c r="H4128" s="19">
        <v>-7.7397922822274104E-3</v>
      </c>
    </row>
    <row r="4129" spans="8:8" ht="15" customHeight="1" x14ac:dyDescent="0.2">
      <c r="H4129" s="19">
        <v>-2.0909188885703698E-3</v>
      </c>
    </row>
    <row r="4130" spans="8:8" ht="15" customHeight="1" x14ac:dyDescent="0.2">
      <c r="H4130" s="19">
        <v>1.2558165310107799E-3</v>
      </c>
    </row>
    <row r="4131" spans="8:8" ht="15" customHeight="1" x14ac:dyDescent="0.2">
      <c r="H4131" s="19">
        <v>1.9401435289168999E-3</v>
      </c>
    </row>
    <row r="4132" spans="8:8" ht="15" customHeight="1" x14ac:dyDescent="0.2">
      <c r="H4132" s="19">
        <v>-6.0933681845522199E-3</v>
      </c>
    </row>
    <row r="4133" spans="8:8" ht="15" customHeight="1" x14ac:dyDescent="0.2">
      <c r="H4133" s="19">
        <v>1.2848386666242001E-2</v>
      </c>
    </row>
    <row r="4134" spans="8:8" ht="15" customHeight="1" x14ac:dyDescent="0.2">
      <c r="H4134" s="19">
        <v>-1.7135171959439799E-3</v>
      </c>
    </row>
    <row r="4135" spans="8:8" ht="15" customHeight="1" x14ac:dyDescent="0.2">
      <c r="H4135" s="19">
        <v>-2.47385301146405E-3</v>
      </c>
    </row>
    <row r="4136" spans="8:8" ht="15" customHeight="1" x14ac:dyDescent="0.2">
      <c r="H4136" s="19">
        <v>4.9408078783643502E-3</v>
      </c>
    </row>
    <row r="4137" spans="8:8" ht="15" customHeight="1" x14ac:dyDescent="0.2">
      <c r="H4137" s="19">
        <v>-2.7743478968517E-3</v>
      </c>
    </row>
    <row r="4138" spans="8:8" ht="15" customHeight="1" x14ac:dyDescent="0.2">
      <c r="H4138" s="19">
        <v>8.0294577241933306E-3</v>
      </c>
    </row>
    <row r="4139" spans="8:8" ht="15" customHeight="1" x14ac:dyDescent="0.2">
      <c r="H4139" s="19">
        <v>-1.7135426339060698E-2</v>
      </c>
    </row>
    <row r="4140" spans="8:8" ht="15" customHeight="1" x14ac:dyDescent="0.2">
      <c r="H4140" s="19">
        <v>1.42109264775833E-2</v>
      </c>
    </row>
    <row r="4141" spans="8:8" ht="15" customHeight="1" x14ac:dyDescent="0.2">
      <c r="H4141" s="19">
        <v>-1.04387513057894E-2</v>
      </c>
    </row>
    <row r="4142" spans="8:8" ht="15" customHeight="1" x14ac:dyDescent="0.2">
      <c r="H4142" s="19">
        <v>-5.83625592519615E-3</v>
      </c>
    </row>
    <row r="4143" spans="8:8" ht="15" customHeight="1" x14ac:dyDescent="0.2">
      <c r="H4143" s="19">
        <v>1.48565982616299E-2</v>
      </c>
    </row>
    <row r="4144" spans="8:8" ht="15" customHeight="1" x14ac:dyDescent="0.2">
      <c r="H4144" s="19">
        <v>-9.5605560985616601E-3</v>
      </c>
    </row>
    <row r="4145" spans="8:8" ht="15" customHeight="1" x14ac:dyDescent="0.2">
      <c r="H4145" s="19">
        <v>-9.6579854624521191E-3</v>
      </c>
    </row>
    <row r="4146" spans="8:8" ht="15" customHeight="1" x14ac:dyDescent="0.2">
      <c r="H4146" s="19">
        <v>7.4353463270534397E-3</v>
      </c>
    </row>
    <row r="4147" spans="8:8" ht="15" customHeight="1" x14ac:dyDescent="0.2">
      <c r="H4147" s="19">
        <v>-6.4622772304366702E-4</v>
      </c>
    </row>
    <row r="4148" spans="8:8" ht="15" customHeight="1" x14ac:dyDescent="0.2">
      <c r="H4148" s="19">
        <v>1.7967717050234401E-2</v>
      </c>
    </row>
    <row r="4149" spans="8:8" ht="15" customHeight="1" x14ac:dyDescent="0.2">
      <c r="H4149" s="19">
        <v>-1.5764300153881802E-2</v>
      </c>
    </row>
    <row r="4150" spans="8:8" ht="15" customHeight="1" x14ac:dyDescent="0.2">
      <c r="H4150" s="19">
        <v>-4.5717835683978499E-3</v>
      </c>
    </row>
    <row r="4151" spans="8:8" ht="15" customHeight="1" x14ac:dyDescent="0.2">
      <c r="H4151" s="19">
        <v>-3.7730699993117401E-3</v>
      </c>
    </row>
    <row r="4152" spans="8:8" ht="15" customHeight="1" x14ac:dyDescent="0.2">
      <c r="H4152" s="19">
        <v>-2.9954861202490099E-3</v>
      </c>
    </row>
    <row r="4153" spans="8:8" ht="15" customHeight="1" x14ac:dyDescent="0.2">
      <c r="H4153" s="19">
        <v>-1.63629957756375E-2</v>
      </c>
    </row>
    <row r="4154" spans="8:8" ht="15" customHeight="1" x14ac:dyDescent="0.2">
      <c r="H4154" s="19">
        <v>2.9178574255379099E-3</v>
      </c>
    </row>
    <row r="4155" spans="8:8" ht="15" customHeight="1" x14ac:dyDescent="0.2">
      <c r="H4155" s="19">
        <v>1.4677015677727499E-3</v>
      </c>
    </row>
    <row r="4156" spans="8:8" ht="15" customHeight="1" x14ac:dyDescent="0.2">
      <c r="H4156" s="19">
        <v>-7.4623635303490603E-3</v>
      </c>
    </row>
    <row r="4157" spans="8:8" ht="15" customHeight="1" x14ac:dyDescent="0.2">
      <c r="H4157" s="19">
        <v>4.4235523018542802E-3</v>
      </c>
    </row>
    <row r="4158" spans="8:8" ht="15" customHeight="1" x14ac:dyDescent="0.2">
      <c r="H4158" s="19">
        <v>-2.70865824989336E-3</v>
      </c>
    </row>
    <row r="4159" spans="8:8" ht="15" customHeight="1" x14ac:dyDescent="0.2">
      <c r="H4159" s="19">
        <v>-1.32542005994717E-2</v>
      </c>
    </row>
    <row r="4160" spans="8:8" ht="15" customHeight="1" x14ac:dyDescent="0.2">
      <c r="H4160" s="19">
        <v>-9.3565149212092805E-3</v>
      </c>
    </row>
    <row r="4161" spans="8:8" ht="15" customHeight="1" x14ac:dyDescent="0.2">
      <c r="H4161" s="19">
        <v>-1.5140042607188301E-2</v>
      </c>
    </row>
    <row r="4162" spans="8:8" ht="15" customHeight="1" x14ac:dyDescent="0.2">
      <c r="H4162" s="19">
        <v>-1.5915412388368801E-3</v>
      </c>
    </row>
    <row r="4163" spans="8:8" ht="15" customHeight="1" x14ac:dyDescent="0.2">
      <c r="H4163" s="19">
        <v>-1.80675218619194E-2</v>
      </c>
    </row>
    <row r="4164" spans="8:8" ht="15" customHeight="1" x14ac:dyDescent="0.2">
      <c r="H4164" s="19">
        <v>-4.5103030138074198E-3</v>
      </c>
    </row>
    <row r="4165" spans="8:8" ht="15" customHeight="1" x14ac:dyDescent="0.2">
      <c r="H4165" s="19">
        <v>7.4387545651218197E-4</v>
      </c>
    </row>
    <row r="4166" spans="8:8" ht="15" customHeight="1" x14ac:dyDescent="0.2">
      <c r="H4166" s="19">
        <v>6.9786070251900796E-3</v>
      </c>
    </row>
    <row r="4167" spans="8:8" ht="15" customHeight="1" x14ac:dyDescent="0.2">
      <c r="H4167" s="19">
        <v>1.4841019225794999E-2</v>
      </c>
    </row>
    <row r="4168" spans="8:8" ht="15" customHeight="1" x14ac:dyDescent="0.2">
      <c r="H4168" s="19">
        <v>-1.9621509746523499E-3</v>
      </c>
    </row>
    <row r="4169" spans="8:8" ht="15" customHeight="1" x14ac:dyDescent="0.2">
      <c r="H4169" s="19">
        <v>1.43983781735828E-3</v>
      </c>
    </row>
    <row r="4170" spans="8:8" ht="15" customHeight="1" x14ac:dyDescent="0.2">
      <c r="H4170" s="19">
        <v>-1.17915124729683E-3</v>
      </c>
    </row>
    <row r="4171" spans="8:8" ht="15" customHeight="1" x14ac:dyDescent="0.2">
      <c r="H4171" s="19">
        <v>9.9719801848494292E-3</v>
      </c>
    </row>
    <row r="4172" spans="8:8" ht="15" customHeight="1" x14ac:dyDescent="0.2">
      <c r="H4172" s="19">
        <v>-2.2732957562541199E-3</v>
      </c>
    </row>
    <row r="4173" spans="8:8" ht="15" customHeight="1" x14ac:dyDescent="0.2">
      <c r="H4173" s="19">
        <v>-2.04511365991903E-2</v>
      </c>
    </row>
    <row r="4174" spans="8:8" ht="15" customHeight="1" x14ac:dyDescent="0.2">
      <c r="H4174" s="19">
        <v>-3.5921075140284298E-3</v>
      </c>
    </row>
    <row r="4175" spans="8:8" ht="15" customHeight="1" x14ac:dyDescent="0.2">
      <c r="H4175" s="19">
        <v>7.6847328105144502E-4</v>
      </c>
    </row>
    <row r="4176" spans="8:8" ht="15" customHeight="1" x14ac:dyDescent="0.2">
      <c r="H4176" s="19">
        <v>6.2874645288542294E-5</v>
      </c>
    </row>
    <row r="4177" spans="8:8" ht="15" customHeight="1" x14ac:dyDescent="0.2">
      <c r="H4177" s="19">
        <v>-1.08431795290325E-2</v>
      </c>
    </row>
    <row r="4178" spans="8:8" ht="15" customHeight="1" x14ac:dyDescent="0.2">
      <c r="H4178" s="19">
        <v>6.9067148349100703E-3</v>
      </c>
    </row>
    <row r="4179" spans="8:8" ht="15" customHeight="1" x14ac:dyDescent="0.2">
      <c r="H4179" s="19">
        <v>-4.7112193701997398E-3</v>
      </c>
    </row>
    <row r="4180" spans="8:8" ht="15" customHeight="1" x14ac:dyDescent="0.2">
      <c r="H4180" s="19">
        <v>3.0181612930666E-4</v>
      </c>
    </row>
    <row r="4181" spans="8:8" ht="15" customHeight="1" x14ac:dyDescent="0.2">
      <c r="H4181" s="19">
        <v>-7.4584265616069604E-3</v>
      </c>
    </row>
    <row r="4182" spans="8:8" ht="15" customHeight="1" x14ac:dyDescent="0.2">
      <c r="H4182" s="19">
        <v>1.27382035719359E-2</v>
      </c>
    </row>
    <row r="4183" spans="8:8" ht="15" customHeight="1" x14ac:dyDescent="0.2">
      <c r="H4183" s="19">
        <v>-5.3670983081163196E-3</v>
      </c>
    </row>
    <row r="4184" spans="8:8" ht="15" customHeight="1" x14ac:dyDescent="0.2">
      <c r="H4184" s="19">
        <v>2.2047203266720699E-3</v>
      </c>
    </row>
    <row r="4185" spans="8:8" ht="15" customHeight="1" x14ac:dyDescent="0.2">
      <c r="H4185" s="19">
        <v>1.4652975862857199E-2</v>
      </c>
    </row>
    <row r="4186" spans="8:8" ht="15" customHeight="1" x14ac:dyDescent="0.2">
      <c r="H4186" s="19">
        <v>3.7346616256607001E-3</v>
      </c>
    </row>
    <row r="4187" spans="8:8" ht="15" customHeight="1" x14ac:dyDescent="0.2">
      <c r="H4187" s="19">
        <v>-6.0444672202862398E-4</v>
      </c>
    </row>
    <row r="4188" spans="8:8" ht="15" customHeight="1" x14ac:dyDescent="0.2">
      <c r="H4188" s="19">
        <v>1.2766413222158201E-2</v>
      </c>
    </row>
    <row r="4189" spans="8:8" ht="15" customHeight="1" x14ac:dyDescent="0.2">
      <c r="H4189" s="19">
        <v>-6.8874005819289202E-5</v>
      </c>
    </row>
    <row r="4190" spans="8:8" ht="15" customHeight="1" x14ac:dyDescent="0.2">
      <c r="H4190" s="19">
        <v>6.45105453527636E-3</v>
      </c>
    </row>
    <row r="4191" spans="8:8" ht="15" customHeight="1" x14ac:dyDescent="0.2">
      <c r="H4191" s="19">
        <v>-1.0995808042398801E-2</v>
      </c>
    </row>
    <row r="4192" spans="8:8" ht="15" customHeight="1" x14ac:dyDescent="0.2">
      <c r="H4192" s="19">
        <v>3.06037302023578E-3</v>
      </c>
    </row>
    <row r="4193" spans="8:8" ht="15" customHeight="1" x14ac:dyDescent="0.2">
      <c r="H4193" s="19">
        <v>1.5564495798357199E-3</v>
      </c>
    </row>
    <row r="4194" spans="8:8" ht="15" customHeight="1" x14ac:dyDescent="0.2">
      <c r="H4194" s="19">
        <v>4.5227315900752702E-3</v>
      </c>
    </row>
    <row r="4195" spans="8:8" ht="15" customHeight="1" x14ac:dyDescent="0.2">
      <c r="H4195" s="19">
        <v>2.0980938410595999E-2</v>
      </c>
    </row>
    <row r="4196" spans="8:8" ht="15" customHeight="1" x14ac:dyDescent="0.2">
      <c r="H4196" s="19">
        <v>-5.5065167095367396E-3</v>
      </c>
    </row>
    <row r="4197" spans="8:8" ht="15" customHeight="1" x14ac:dyDescent="0.2">
      <c r="H4197" s="19">
        <v>-1.06799850303215E-2</v>
      </c>
    </row>
    <row r="4198" spans="8:8" ht="15" customHeight="1" x14ac:dyDescent="0.2">
      <c r="H4198" s="19">
        <v>8.4886975500152399E-3</v>
      </c>
    </row>
    <row r="4199" spans="8:8" ht="15" customHeight="1" x14ac:dyDescent="0.2">
      <c r="H4199" s="19">
        <v>5.7882404179352203E-3</v>
      </c>
    </row>
    <row r="4200" spans="8:8" ht="15" customHeight="1" x14ac:dyDescent="0.2">
      <c r="H4200" s="19">
        <v>-7.48161702102267E-3</v>
      </c>
    </row>
    <row r="4201" spans="8:8" ht="15" customHeight="1" x14ac:dyDescent="0.2">
      <c r="H4201" s="19">
        <v>1.3725569734797801E-2</v>
      </c>
    </row>
    <row r="4202" spans="8:8" ht="15" customHeight="1" x14ac:dyDescent="0.2">
      <c r="H4202" s="19">
        <v>-1.97758926358584E-2</v>
      </c>
    </row>
    <row r="4203" spans="8:8" ht="15" customHeight="1" x14ac:dyDescent="0.2">
      <c r="H4203" s="19">
        <v>-3.02451005464077E-3</v>
      </c>
    </row>
    <row r="4204" spans="8:8" ht="15" customHeight="1" x14ac:dyDescent="0.2">
      <c r="H4204" s="19">
        <v>-5.2461259549330397E-3</v>
      </c>
    </row>
    <row r="4205" spans="8:8" ht="15" customHeight="1" x14ac:dyDescent="0.2">
      <c r="H4205" s="19">
        <v>-2.2636766324312298E-3</v>
      </c>
    </row>
    <row r="4206" spans="8:8" ht="15" customHeight="1" x14ac:dyDescent="0.2">
      <c r="H4206" s="19">
        <v>4.5748411839118602E-3</v>
      </c>
    </row>
    <row r="4207" spans="8:8" ht="15" customHeight="1" x14ac:dyDescent="0.2">
      <c r="H4207" s="19">
        <v>1.6451598830253902E-2</v>
      </c>
    </row>
    <row r="4208" spans="8:8" ht="15" customHeight="1" x14ac:dyDescent="0.2">
      <c r="H4208" s="19">
        <v>-1.2754577101869001E-2</v>
      </c>
    </row>
    <row r="4209" spans="8:8" ht="15" customHeight="1" x14ac:dyDescent="0.2">
      <c r="H4209" s="19">
        <v>-1.2847398805791201E-2</v>
      </c>
    </row>
    <row r="4210" spans="8:8" ht="15" customHeight="1" x14ac:dyDescent="0.2">
      <c r="H4210" s="19">
        <v>-4.5220197192138503E-3</v>
      </c>
    </row>
    <row r="4211" spans="8:8" ht="15" customHeight="1" x14ac:dyDescent="0.2">
      <c r="H4211" s="19">
        <v>-3.1633706103387999E-3</v>
      </c>
    </row>
    <row r="4212" spans="8:8" ht="15" customHeight="1" x14ac:dyDescent="0.2">
      <c r="H4212" s="19">
        <v>1.9624651751608199E-2</v>
      </c>
    </row>
    <row r="4213" spans="8:8" ht="15" customHeight="1" x14ac:dyDescent="0.2">
      <c r="H4213" s="19">
        <v>-3.0189553490396798E-3</v>
      </c>
    </row>
    <row r="4214" spans="8:8" ht="15" customHeight="1" x14ac:dyDescent="0.2">
      <c r="H4214" s="19">
        <v>-7.1397270768891697E-3</v>
      </c>
    </row>
    <row r="4215" spans="8:8" ht="15" customHeight="1" x14ac:dyDescent="0.2">
      <c r="H4215" s="19">
        <v>1.8150697202367701E-3</v>
      </c>
    </row>
    <row r="4216" spans="8:8" ht="15" customHeight="1" x14ac:dyDescent="0.2">
      <c r="H4216" s="19">
        <v>1.5162702218889401E-3</v>
      </c>
    </row>
    <row r="4217" spans="8:8" ht="15" customHeight="1" x14ac:dyDescent="0.2">
      <c r="H4217" s="19">
        <v>-1.0564281264575599E-2</v>
      </c>
    </row>
    <row r="4218" spans="8:8" ht="15" customHeight="1" x14ac:dyDescent="0.2">
      <c r="H4218" s="19">
        <v>2.4225591704293099E-3</v>
      </c>
    </row>
    <row r="4219" spans="8:8" ht="15" customHeight="1" x14ac:dyDescent="0.2">
      <c r="H4219" s="19">
        <v>-1.7932257605186501E-3</v>
      </c>
    </row>
    <row r="4220" spans="8:8" ht="15" customHeight="1" x14ac:dyDescent="0.2">
      <c r="H4220" s="19">
        <v>1.8749400642413101E-2</v>
      </c>
    </row>
    <row r="4221" spans="8:8" ht="15" customHeight="1" x14ac:dyDescent="0.2">
      <c r="H4221" s="19">
        <v>1.2313584744004499E-2</v>
      </c>
    </row>
    <row r="4222" spans="8:8" ht="15" customHeight="1" x14ac:dyDescent="0.2">
      <c r="H4222" s="19">
        <v>1.1554750549486599E-2</v>
      </c>
    </row>
    <row r="4223" spans="8:8" ht="15" customHeight="1" x14ac:dyDescent="0.2">
      <c r="H4223" s="19">
        <v>-3.7513167028422599E-3</v>
      </c>
    </row>
    <row r="4224" spans="8:8" ht="15" customHeight="1" x14ac:dyDescent="0.2">
      <c r="H4224" s="19">
        <v>1.1041434265068001E-3</v>
      </c>
    </row>
    <row r="4225" spans="8:8" ht="15" customHeight="1" x14ac:dyDescent="0.2">
      <c r="H4225" s="19">
        <v>-1.4231652423251199E-3</v>
      </c>
    </row>
    <row r="4226" spans="8:8" ht="15" customHeight="1" x14ac:dyDescent="0.2">
      <c r="H4226" s="19">
        <v>-1.08694541774783E-2</v>
      </c>
    </row>
    <row r="4227" spans="8:8" ht="15" customHeight="1" x14ac:dyDescent="0.2">
      <c r="H4227" s="19">
        <v>-2.52555199944341E-3</v>
      </c>
    </row>
    <row r="4228" spans="8:8" ht="15" customHeight="1" x14ac:dyDescent="0.2">
      <c r="H4228" s="19">
        <v>1.30200834469904E-3</v>
      </c>
    </row>
    <row r="4229" spans="8:8" ht="15" customHeight="1" x14ac:dyDescent="0.2">
      <c r="H4229" s="19">
        <v>-9.2771784471592303E-3</v>
      </c>
    </row>
    <row r="4230" spans="8:8" ht="15" customHeight="1" x14ac:dyDescent="0.2">
      <c r="H4230" s="19">
        <v>1.35158643026911E-2</v>
      </c>
    </row>
    <row r="4231" spans="8:8" ht="15" customHeight="1" x14ac:dyDescent="0.2">
      <c r="H4231" s="19">
        <v>5.7620625860275798E-3</v>
      </c>
    </row>
    <row r="4232" spans="8:8" ht="15" customHeight="1" x14ac:dyDescent="0.2">
      <c r="H4232" s="19">
        <v>-1.1923839210849401E-2</v>
      </c>
    </row>
    <row r="4233" spans="8:8" ht="15" customHeight="1" x14ac:dyDescent="0.2">
      <c r="H4233" s="19">
        <v>-1.19369760130158E-3</v>
      </c>
    </row>
    <row r="4234" spans="8:8" ht="15" customHeight="1" x14ac:dyDescent="0.2">
      <c r="H4234" s="19">
        <v>3.58639053306165E-3</v>
      </c>
    </row>
    <row r="4235" spans="8:8" ht="15" customHeight="1" x14ac:dyDescent="0.2">
      <c r="H4235" s="19">
        <v>8.0124324595795791E-3</v>
      </c>
    </row>
    <row r="4236" spans="8:8" ht="15" customHeight="1" x14ac:dyDescent="0.2">
      <c r="H4236" s="19">
        <v>-9.2747999143268805E-4</v>
      </c>
    </row>
    <row r="4237" spans="8:8" ht="15" customHeight="1" x14ac:dyDescent="0.2">
      <c r="H4237" s="19">
        <v>3.3996396197854199E-3</v>
      </c>
    </row>
    <row r="4238" spans="8:8" ht="15" customHeight="1" x14ac:dyDescent="0.2">
      <c r="H4238" s="19">
        <v>-9.3516524227033292E-3</v>
      </c>
    </row>
    <row r="4239" spans="8:8" ht="15" customHeight="1" x14ac:dyDescent="0.2">
      <c r="H4239" s="19">
        <v>4.2216912552239701E-3</v>
      </c>
    </row>
    <row r="4240" spans="8:8" ht="15" customHeight="1" x14ac:dyDescent="0.2">
      <c r="H4240" s="19">
        <v>-3.4345528895913199E-3</v>
      </c>
    </row>
    <row r="4241" spans="8:8" ht="15" customHeight="1" x14ac:dyDescent="0.2">
      <c r="H4241" s="19">
        <v>-1.6777458995930299E-2</v>
      </c>
    </row>
    <row r="4242" spans="8:8" ht="15" customHeight="1" x14ac:dyDescent="0.2">
      <c r="H4242" s="19">
        <v>1.57195603973787E-2</v>
      </c>
    </row>
    <row r="4243" spans="8:8" ht="15" customHeight="1" x14ac:dyDescent="0.2">
      <c r="H4243" s="19">
        <v>6.3395267826986202E-3</v>
      </c>
    </row>
    <row r="4244" spans="8:8" ht="15" customHeight="1" x14ac:dyDescent="0.2">
      <c r="H4244" s="19">
        <v>6.7147623612755E-3</v>
      </c>
    </row>
    <row r="4245" spans="8:8" ht="15" customHeight="1" x14ac:dyDescent="0.2">
      <c r="H4245" s="19">
        <v>1.16665330444445E-3</v>
      </c>
    </row>
    <row r="4246" spans="8:8" ht="15" customHeight="1" x14ac:dyDescent="0.2">
      <c r="H4246" s="19">
        <v>-9.3212152233120901E-3</v>
      </c>
    </row>
    <row r="4247" spans="8:8" ht="15" customHeight="1" x14ac:dyDescent="0.2">
      <c r="H4247" s="19">
        <v>1.3984354833203299E-3</v>
      </c>
    </row>
    <row r="4248" spans="8:8" ht="15" customHeight="1" x14ac:dyDescent="0.2">
      <c r="H4248" s="19">
        <v>8.0610776955280308E-3</v>
      </c>
    </row>
    <row r="4249" spans="8:8" ht="15" customHeight="1" x14ac:dyDescent="0.2">
      <c r="H4249" s="19">
        <v>1.8846865632223401E-4</v>
      </c>
    </row>
    <row r="4250" spans="8:8" ht="15" customHeight="1" x14ac:dyDescent="0.2">
      <c r="H4250" s="19">
        <v>1.20483954442428E-2</v>
      </c>
    </row>
    <row r="4251" spans="8:8" ht="15" customHeight="1" x14ac:dyDescent="0.2">
      <c r="H4251" s="19">
        <v>-1.48727919411323E-2</v>
      </c>
    </row>
    <row r="4252" spans="8:8" ht="15" customHeight="1" x14ac:dyDescent="0.2">
      <c r="H4252" s="19">
        <v>1.9558778188230402E-3</v>
      </c>
    </row>
    <row r="4253" spans="8:8" ht="15" customHeight="1" x14ac:dyDescent="0.2">
      <c r="H4253" s="19">
        <v>1.21151296607541E-2</v>
      </c>
    </row>
    <row r="4254" spans="8:8" ht="15" customHeight="1" x14ac:dyDescent="0.2">
      <c r="H4254" s="19">
        <v>4.4775681903384303E-3</v>
      </c>
    </row>
    <row r="4255" spans="8:8" ht="15" customHeight="1" x14ac:dyDescent="0.2">
      <c r="H4255" s="19">
        <v>1.62710223689602E-3</v>
      </c>
    </row>
    <row r="4256" spans="8:8" ht="15" customHeight="1" x14ac:dyDescent="0.2">
      <c r="H4256" s="19">
        <v>9.8995134654965601E-3</v>
      </c>
    </row>
    <row r="4257" spans="8:8" ht="15" customHeight="1" x14ac:dyDescent="0.2">
      <c r="H4257" s="19">
        <v>-7.9594905060854908E-3</v>
      </c>
    </row>
    <row r="4258" spans="8:8" ht="15" customHeight="1" x14ac:dyDescent="0.2">
      <c r="H4258" s="19">
        <v>4.6859236033882897E-3</v>
      </c>
    </row>
    <row r="4259" spans="8:8" ht="15" customHeight="1" x14ac:dyDescent="0.2">
      <c r="H4259" s="19">
        <v>2.4558373122655101E-3</v>
      </c>
    </row>
    <row r="4260" spans="8:8" ht="15" customHeight="1" x14ac:dyDescent="0.2">
      <c r="H4260" s="19">
        <v>4.3663934515544402E-3</v>
      </c>
    </row>
    <row r="4261" spans="8:8" ht="15" customHeight="1" x14ac:dyDescent="0.2">
      <c r="H4261" s="19">
        <v>9.2621824564894501E-4</v>
      </c>
    </row>
    <row r="4262" spans="8:8" ht="15" customHeight="1" x14ac:dyDescent="0.2">
      <c r="H4262" s="19">
        <v>2.9023773247490799E-3</v>
      </c>
    </row>
    <row r="4263" spans="8:8" ht="15" customHeight="1" x14ac:dyDescent="0.2">
      <c r="H4263" s="19">
        <v>6.2807567997211298E-3</v>
      </c>
    </row>
    <row r="4264" spans="8:8" ht="15" customHeight="1" x14ac:dyDescent="0.2">
      <c r="H4264" s="19">
        <v>-1.8516760553664499E-3</v>
      </c>
    </row>
    <row r="4265" spans="8:8" ht="15" customHeight="1" x14ac:dyDescent="0.2">
      <c r="H4265" s="19">
        <v>-2.08330394456358E-2</v>
      </c>
    </row>
    <row r="4266" spans="8:8" ht="15" customHeight="1" x14ac:dyDescent="0.2">
      <c r="H4266" s="19">
        <v>-6.3965946747660003E-3</v>
      </c>
    </row>
    <row r="4267" spans="8:8" ht="15" customHeight="1" x14ac:dyDescent="0.2">
      <c r="H4267" s="19">
        <v>-8.9180407504670291E-3</v>
      </c>
    </row>
    <row r="4268" spans="8:8" ht="15" customHeight="1" x14ac:dyDescent="0.2">
      <c r="H4268" s="19">
        <v>1.0479476041978599E-2</v>
      </c>
    </row>
    <row r="4269" spans="8:8" ht="15" customHeight="1" x14ac:dyDescent="0.2">
      <c r="H4269" s="19">
        <v>1.06768546826708E-2</v>
      </c>
    </row>
    <row r="4270" spans="8:8" ht="15" customHeight="1" x14ac:dyDescent="0.2">
      <c r="H4270" s="19">
        <v>-6.6140108917931602E-3</v>
      </c>
    </row>
    <row r="4271" spans="8:8" ht="15" customHeight="1" x14ac:dyDescent="0.2">
      <c r="H4271" s="19">
        <v>-7.7082608911356902E-3</v>
      </c>
    </row>
    <row r="4272" spans="8:8" ht="15" customHeight="1" x14ac:dyDescent="0.2">
      <c r="H4272" s="19">
        <v>-8.6793881927468303E-3</v>
      </c>
    </row>
    <row r="4273" spans="8:8" ht="15" customHeight="1" x14ac:dyDescent="0.2">
      <c r="H4273" s="19">
        <v>4.5648201853548398E-3</v>
      </c>
    </row>
    <row r="4274" spans="8:8" ht="15" customHeight="1" x14ac:dyDescent="0.2">
      <c r="H4274" s="19">
        <v>-1.6131645571570801E-3</v>
      </c>
    </row>
    <row r="4275" spans="8:8" ht="15" customHeight="1" x14ac:dyDescent="0.2">
      <c r="H4275" s="19">
        <v>-3.9354749262515499E-3</v>
      </c>
    </row>
    <row r="4276" spans="8:8" ht="15" customHeight="1" x14ac:dyDescent="0.2">
      <c r="H4276" s="19">
        <v>-6.6324764317143596E-3</v>
      </c>
    </row>
    <row r="4277" spans="8:8" ht="15" customHeight="1" x14ac:dyDescent="0.2">
      <c r="H4277" s="19">
        <v>-1.56143358793152E-3</v>
      </c>
    </row>
    <row r="4278" spans="8:8" ht="15" customHeight="1" x14ac:dyDescent="0.2">
      <c r="H4278" s="19">
        <v>-7.4842028383243497E-3</v>
      </c>
    </row>
    <row r="4279" spans="8:8" ht="15" customHeight="1" x14ac:dyDescent="0.2">
      <c r="H4279" s="19">
        <v>-4.6888404324617397E-3</v>
      </c>
    </row>
    <row r="4280" spans="8:8" ht="15" customHeight="1" x14ac:dyDescent="0.2">
      <c r="H4280" s="19">
        <v>3.9657745251119496E-3</v>
      </c>
    </row>
    <row r="4281" spans="8:8" ht="15" customHeight="1" x14ac:dyDescent="0.2">
      <c r="H4281" s="19">
        <v>5.8166823244321904E-3</v>
      </c>
    </row>
    <row r="4282" spans="8:8" ht="15" customHeight="1" x14ac:dyDescent="0.2">
      <c r="H4282" s="19">
        <v>3.7441290771843502E-3</v>
      </c>
    </row>
    <row r="4283" spans="8:8" ht="15" customHeight="1" x14ac:dyDescent="0.2">
      <c r="H4283" s="19">
        <v>1.96038357132854E-2</v>
      </c>
    </row>
    <row r="4284" spans="8:8" ht="15" customHeight="1" x14ac:dyDescent="0.2">
      <c r="H4284" s="19">
        <v>8.8461900784632206E-3</v>
      </c>
    </row>
    <row r="4285" spans="8:8" ht="15" customHeight="1" x14ac:dyDescent="0.2">
      <c r="H4285" s="19">
        <v>1.1854576259641399E-3</v>
      </c>
    </row>
    <row r="4286" spans="8:8" ht="15" customHeight="1" x14ac:dyDescent="0.2">
      <c r="H4286" s="19">
        <v>-4.9530672182917001E-3</v>
      </c>
    </row>
    <row r="4287" spans="8:8" ht="15" customHeight="1" x14ac:dyDescent="0.2">
      <c r="H4287" s="19">
        <v>-1.31478912172068E-2</v>
      </c>
    </row>
    <row r="4288" spans="8:8" ht="15" customHeight="1" x14ac:dyDescent="0.2">
      <c r="H4288" s="19">
        <v>6.1879338385311296E-3</v>
      </c>
    </row>
    <row r="4289" spans="8:8" ht="15" customHeight="1" x14ac:dyDescent="0.2">
      <c r="H4289" s="19">
        <v>-1.22125049466425E-3</v>
      </c>
    </row>
    <row r="4290" spans="8:8" ht="15" customHeight="1" x14ac:dyDescent="0.2">
      <c r="H4290" s="19">
        <v>7.9373085201131701E-3</v>
      </c>
    </row>
    <row r="4291" spans="8:8" ht="15" customHeight="1" x14ac:dyDescent="0.2">
      <c r="H4291" s="19">
        <v>5.5296945890867004E-3</v>
      </c>
    </row>
    <row r="4292" spans="8:8" ht="15" customHeight="1" x14ac:dyDescent="0.2">
      <c r="H4292" s="19">
        <v>-1.6251753047413602E-2</v>
      </c>
    </row>
    <row r="4293" spans="8:8" ht="15" customHeight="1" x14ac:dyDescent="0.2">
      <c r="H4293" s="19">
        <v>6.5627028662309803E-3</v>
      </c>
    </row>
    <row r="4294" spans="8:8" ht="15" customHeight="1" x14ac:dyDescent="0.2">
      <c r="H4294" s="19">
        <v>-1.8716615303064899E-2</v>
      </c>
    </row>
    <row r="4295" spans="8:8" ht="15" customHeight="1" x14ac:dyDescent="0.2">
      <c r="H4295" s="19">
        <v>1.53219002560107E-2</v>
      </c>
    </row>
    <row r="4296" spans="8:8" ht="15" customHeight="1" x14ac:dyDescent="0.2">
      <c r="H4296" s="19">
        <v>7.2839681642449102E-3</v>
      </c>
    </row>
    <row r="4297" spans="8:8" ht="15" customHeight="1" x14ac:dyDescent="0.2">
      <c r="H4297" s="19">
        <v>1.81188207234389E-2</v>
      </c>
    </row>
    <row r="4298" spans="8:8" ht="15" customHeight="1" x14ac:dyDescent="0.2">
      <c r="H4298" s="19">
        <v>-1.45791517231211E-2</v>
      </c>
    </row>
    <row r="4299" spans="8:8" ht="15" customHeight="1" x14ac:dyDescent="0.2">
      <c r="H4299" s="19">
        <v>1.2478317848539601E-2</v>
      </c>
    </row>
    <row r="4300" spans="8:8" ht="15" customHeight="1" x14ac:dyDescent="0.2">
      <c r="H4300" s="19">
        <v>-9.5228665204365604E-4</v>
      </c>
    </row>
    <row r="4301" spans="8:8" ht="15" customHeight="1" x14ac:dyDescent="0.2">
      <c r="H4301" s="19">
        <v>-1.47981685330954E-2</v>
      </c>
    </row>
    <row r="4302" spans="8:8" ht="15" customHeight="1" x14ac:dyDescent="0.2">
      <c r="H4302" s="19">
        <v>-1.09124638113159E-3</v>
      </c>
    </row>
    <row r="4303" spans="8:8" ht="15" customHeight="1" x14ac:dyDescent="0.2">
      <c r="H4303" s="19">
        <v>1.19786256440753E-2</v>
      </c>
    </row>
    <row r="4304" spans="8:8" ht="15" customHeight="1" x14ac:dyDescent="0.2">
      <c r="H4304" s="19">
        <v>1.0018521913084499E-2</v>
      </c>
    </row>
    <row r="4305" spans="8:8" ht="15" customHeight="1" x14ac:dyDescent="0.2">
      <c r="H4305" s="19">
        <v>-1.26405928075014E-2</v>
      </c>
    </row>
    <row r="4306" spans="8:8" ht="15" customHeight="1" x14ac:dyDescent="0.2">
      <c r="H4306" s="19">
        <v>-3.17540404351478E-3</v>
      </c>
    </row>
    <row r="4307" spans="8:8" ht="15" customHeight="1" x14ac:dyDescent="0.2">
      <c r="H4307" s="19">
        <v>-1.37102469458012E-2</v>
      </c>
    </row>
    <row r="4308" spans="8:8" ht="15" customHeight="1" x14ac:dyDescent="0.2">
      <c r="H4308" s="19">
        <v>-1.1602648155660301E-2</v>
      </c>
    </row>
    <row r="4309" spans="8:8" ht="15" customHeight="1" x14ac:dyDescent="0.2">
      <c r="H4309" s="19">
        <v>-1.0447744523320701E-3</v>
      </c>
    </row>
    <row r="4310" spans="8:8" ht="15" customHeight="1" x14ac:dyDescent="0.2">
      <c r="H4310" s="19">
        <v>1.1496442305948399E-2</v>
      </c>
    </row>
    <row r="4311" spans="8:8" ht="15" customHeight="1" x14ac:dyDescent="0.2">
      <c r="H4311" s="19">
        <v>1.45499008850896E-2</v>
      </c>
    </row>
    <row r="4312" spans="8:8" ht="15" customHeight="1" x14ac:dyDescent="0.2">
      <c r="H4312" s="19">
        <v>-1.7655074356948499E-3</v>
      </c>
    </row>
    <row r="4313" spans="8:8" ht="15" customHeight="1" x14ac:dyDescent="0.2">
      <c r="H4313" s="19">
        <v>-1.1927987529132399E-3</v>
      </c>
    </row>
    <row r="4314" spans="8:8" ht="15" customHeight="1" x14ac:dyDescent="0.2">
      <c r="H4314" s="19">
        <v>8.8511700554464792E-3</v>
      </c>
    </row>
    <row r="4315" spans="8:8" ht="15" customHeight="1" x14ac:dyDescent="0.2">
      <c r="H4315" s="19">
        <v>-5.1043538529482301E-3</v>
      </c>
    </row>
    <row r="4316" spans="8:8" ht="15" customHeight="1" x14ac:dyDescent="0.2">
      <c r="H4316" s="19">
        <v>8.3520778054634402E-3</v>
      </c>
    </row>
    <row r="4317" spans="8:8" ht="15" customHeight="1" x14ac:dyDescent="0.2">
      <c r="H4317" s="19">
        <v>4.1741228168259798E-3</v>
      </c>
    </row>
    <row r="4318" spans="8:8" ht="15" customHeight="1" x14ac:dyDescent="0.2">
      <c r="H4318" s="19">
        <v>-1.7336874190781899E-2</v>
      </c>
    </row>
    <row r="4319" spans="8:8" ht="15" customHeight="1" x14ac:dyDescent="0.2">
      <c r="H4319" s="19">
        <v>-6.1828529604967299E-3</v>
      </c>
    </row>
    <row r="4320" spans="8:8" ht="15" customHeight="1" x14ac:dyDescent="0.2">
      <c r="H4320" s="19">
        <v>-3.3928245991622199E-3</v>
      </c>
    </row>
    <row r="4321" spans="8:8" ht="15" customHeight="1" x14ac:dyDescent="0.2">
      <c r="H4321" s="19">
        <v>-4.01894367573488E-3</v>
      </c>
    </row>
    <row r="4322" spans="8:8" ht="15" customHeight="1" x14ac:dyDescent="0.2">
      <c r="H4322" s="19">
        <v>-4.1194489862804197E-3</v>
      </c>
    </row>
    <row r="4323" spans="8:8" ht="15" customHeight="1" x14ac:dyDescent="0.2">
      <c r="H4323" s="19">
        <v>-7.5596522553019897E-3</v>
      </c>
    </row>
    <row r="4324" spans="8:8" ht="15" customHeight="1" x14ac:dyDescent="0.2">
      <c r="H4324" s="19">
        <v>5.5163038676533096E-3</v>
      </c>
    </row>
    <row r="4325" spans="8:8" ht="15" customHeight="1" x14ac:dyDescent="0.2">
      <c r="H4325" s="19">
        <v>-2.7656994947862102E-3</v>
      </c>
    </row>
    <row r="4326" spans="8:8" ht="15" customHeight="1" x14ac:dyDescent="0.2">
      <c r="H4326" s="19">
        <v>-1.3017097360188299E-2</v>
      </c>
    </row>
    <row r="4327" spans="8:8" ht="15" customHeight="1" x14ac:dyDescent="0.2">
      <c r="H4327" s="19">
        <v>1.91958481260317E-2</v>
      </c>
    </row>
    <row r="4328" spans="8:8" ht="15" customHeight="1" x14ac:dyDescent="0.2">
      <c r="H4328" s="19">
        <v>-1.0903297868571599E-2</v>
      </c>
    </row>
    <row r="4329" spans="8:8" ht="15" customHeight="1" x14ac:dyDescent="0.2">
      <c r="H4329" s="19">
        <v>-1.1581495413407E-2</v>
      </c>
    </row>
    <row r="4330" spans="8:8" ht="15" customHeight="1" x14ac:dyDescent="0.2">
      <c r="H4330" s="19">
        <v>-7.9953232023005794E-3</v>
      </c>
    </row>
    <row r="4331" spans="8:8" ht="15" customHeight="1" x14ac:dyDescent="0.2">
      <c r="H4331" s="19">
        <v>3.38122842095106E-3</v>
      </c>
    </row>
    <row r="4332" spans="8:8" ht="15" customHeight="1" x14ac:dyDescent="0.2">
      <c r="H4332" s="19">
        <v>9.6200086027263196E-4</v>
      </c>
    </row>
    <row r="4333" spans="8:8" ht="15" customHeight="1" x14ac:dyDescent="0.2">
      <c r="H4333" s="19">
        <v>-1.2117746617621101E-2</v>
      </c>
    </row>
    <row r="4334" spans="8:8" ht="15" customHeight="1" x14ac:dyDescent="0.2">
      <c r="H4334" s="19">
        <v>-2.9025081465559498E-2</v>
      </c>
    </row>
    <row r="4335" spans="8:8" ht="15" customHeight="1" x14ac:dyDescent="0.2">
      <c r="H4335" s="19">
        <v>1.4812171633253901E-5</v>
      </c>
    </row>
    <row r="4336" spans="8:8" ht="15" customHeight="1" x14ac:dyDescent="0.2">
      <c r="H4336" s="19">
        <v>-7.9713863267966405E-3</v>
      </c>
    </row>
    <row r="4337" spans="8:8" ht="15" customHeight="1" x14ac:dyDescent="0.2">
      <c r="H4337" s="19">
        <v>2.5750166118331899E-3</v>
      </c>
    </row>
    <row r="4338" spans="8:8" ht="15" customHeight="1" x14ac:dyDescent="0.2">
      <c r="H4338" s="19">
        <v>4.87056507508986E-3</v>
      </c>
    </row>
    <row r="4339" spans="8:8" ht="15" customHeight="1" x14ac:dyDescent="0.2">
      <c r="H4339" s="19">
        <v>-5.8755724113810298E-3</v>
      </c>
    </row>
    <row r="4340" spans="8:8" ht="15" customHeight="1" x14ac:dyDescent="0.2">
      <c r="H4340" s="19">
        <v>-5.2049734887790597E-3</v>
      </c>
    </row>
    <row r="4341" spans="8:8" ht="15" customHeight="1" x14ac:dyDescent="0.2">
      <c r="H4341" s="19">
        <v>2.18421258089419E-2</v>
      </c>
    </row>
    <row r="4342" spans="8:8" ht="15" customHeight="1" x14ac:dyDescent="0.2">
      <c r="H4342" s="19">
        <v>7.12582216408187E-3</v>
      </c>
    </row>
    <row r="4343" spans="8:8" ht="15" customHeight="1" x14ac:dyDescent="0.2">
      <c r="H4343" s="19">
        <v>-5.1853242801484104E-3</v>
      </c>
    </row>
    <row r="4344" spans="8:8" ht="15" customHeight="1" x14ac:dyDescent="0.2">
      <c r="H4344" s="19">
        <v>1.8715851769185599E-2</v>
      </c>
    </row>
    <row r="4345" spans="8:8" ht="15" customHeight="1" x14ac:dyDescent="0.2">
      <c r="H4345" s="19">
        <v>-1.9022677615714201E-3</v>
      </c>
    </row>
    <row r="4346" spans="8:8" ht="15" customHeight="1" x14ac:dyDescent="0.2">
      <c r="H4346" s="19">
        <v>-3.3121775377907502E-3</v>
      </c>
    </row>
    <row r="4347" spans="8:8" ht="15" customHeight="1" x14ac:dyDescent="0.2">
      <c r="H4347" s="19">
        <v>-2.45009272183172E-2</v>
      </c>
    </row>
    <row r="4348" spans="8:8" ht="15" customHeight="1" x14ac:dyDescent="0.2">
      <c r="H4348" s="19">
        <v>1.68807925385553E-2</v>
      </c>
    </row>
    <row r="4349" spans="8:8" ht="15" customHeight="1" x14ac:dyDescent="0.2">
      <c r="H4349" s="19">
        <v>-1.7587098108592599E-2</v>
      </c>
    </row>
    <row r="4350" spans="8:8" ht="15" customHeight="1" x14ac:dyDescent="0.2">
      <c r="H4350" s="19">
        <v>-1.6823539175337299E-3</v>
      </c>
    </row>
    <row r="4351" spans="8:8" ht="15" customHeight="1" x14ac:dyDescent="0.2">
      <c r="H4351" s="19">
        <v>2.9529858271706102E-3</v>
      </c>
    </row>
    <row r="4352" spans="8:8" ht="15" customHeight="1" x14ac:dyDescent="0.2">
      <c r="H4352" s="19">
        <v>-6.2967001973489103E-3</v>
      </c>
    </row>
    <row r="4353" spans="8:8" ht="15" customHeight="1" x14ac:dyDescent="0.2">
      <c r="H4353" s="19">
        <v>1.93127604297948E-3</v>
      </c>
    </row>
    <row r="4354" spans="8:8" ht="15" customHeight="1" x14ac:dyDescent="0.2">
      <c r="H4354" s="19">
        <v>2.5237481236459101E-2</v>
      </c>
    </row>
    <row r="4355" spans="8:8" ht="15" customHeight="1" x14ac:dyDescent="0.2">
      <c r="H4355" s="19">
        <v>1.5704514822774001E-2</v>
      </c>
    </row>
    <row r="4356" spans="8:8" ht="15" customHeight="1" x14ac:dyDescent="0.2">
      <c r="H4356" s="19">
        <v>-4.4252115319330602E-3</v>
      </c>
    </row>
    <row r="4357" spans="8:8" ht="15" customHeight="1" x14ac:dyDescent="0.2">
      <c r="H4357" s="19">
        <v>-1.59525106554592E-3</v>
      </c>
    </row>
    <row r="4358" spans="8:8" ht="15" customHeight="1" x14ac:dyDescent="0.2">
      <c r="H4358" s="19">
        <v>-2.25101703061903E-3</v>
      </c>
    </row>
    <row r="4359" spans="8:8" ht="15" customHeight="1" x14ac:dyDescent="0.2">
      <c r="H4359" s="19">
        <v>-1.4635665501820201E-2</v>
      </c>
    </row>
    <row r="4360" spans="8:8" ht="15" customHeight="1" x14ac:dyDescent="0.2">
      <c r="H4360" s="19">
        <v>-1.6282688326336898E-2</v>
      </c>
    </row>
    <row r="4361" spans="8:8" ht="15" customHeight="1" x14ac:dyDescent="0.2">
      <c r="H4361" s="19">
        <v>-2.4780570975446899E-2</v>
      </c>
    </row>
    <row r="4362" spans="8:8" ht="15" customHeight="1" x14ac:dyDescent="0.2">
      <c r="H4362" s="19">
        <v>1.5608256861562801E-3</v>
      </c>
    </row>
    <row r="4363" spans="8:8" ht="15" customHeight="1" x14ac:dyDescent="0.2">
      <c r="H4363" s="19">
        <v>-7.7940009022216599E-3</v>
      </c>
    </row>
    <row r="4364" spans="8:8" ht="15" customHeight="1" x14ac:dyDescent="0.2">
      <c r="H4364" s="19">
        <v>1.8869576305747401E-3</v>
      </c>
    </row>
    <row r="4365" spans="8:8" ht="15" customHeight="1" x14ac:dyDescent="0.2">
      <c r="H4365" s="19">
        <v>-8.52757460318662E-3</v>
      </c>
    </row>
    <row r="4366" spans="8:8" ht="15" customHeight="1" x14ac:dyDescent="0.2">
      <c r="H4366" s="19">
        <v>1.8273286452881399E-2</v>
      </c>
    </row>
    <row r="4367" spans="8:8" ht="15" customHeight="1" x14ac:dyDescent="0.2">
      <c r="H4367" s="19">
        <v>8.9808966825885798E-3</v>
      </c>
    </row>
    <row r="4368" spans="8:8" ht="15" customHeight="1" x14ac:dyDescent="0.2">
      <c r="H4368" s="19">
        <v>-3.29590276105711E-3</v>
      </c>
    </row>
    <row r="4369" spans="8:8" ht="15" customHeight="1" x14ac:dyDescent="0.2">
      <c r="H4369" s="19">
        <v>1.25854278647149E-2</v>
      </c>
    </row>
    <row r="4370" spans="8:8" ht="15" customHeight="1" x14ac:dyDescent="0.2">
      <c r="H4370" s="19">
        <v>1.6439433391929398E-2</v>
      </c>
    </row>
    <row r="4371" spans="8:8" ht="15" customHeight="1" x14ac:dyDescent="0.2">
      <c r="H4371" s="19">
        <v>1.8790629368596799E-2</v>
      </c>
    </row>
    <row r="4372" spans="8:8" ht="15" customHeight="1" x14ac:dyDescent="0.2">
      <c r="H4372" s="19">
        <v>-5.7394131291196998E-3</v>
      </c>
    </row>
    <row r="4373" spans="8:8" ht="15" customHeight="1" x14ac:dyDescent="0.2">
      <c r="H4373" s="19">
        <v>-8.6658110880478804E-3</v>
      </c>
    </row>
    <row r="4374" spans="8:8" ht="15" customHeight="1" x14ac:dyDescent="0.2">
      <c r="H4374" s="19">
        <v>1.1242537832584699E-2</v>
      </c>
    </row>
    <row r="4375" spans="8:8" ht="15" customHeight="1" x14ac:dyDescent="0.2">
      <c r="H4375" s="19">
        <v>-1.0305526745895E-4</v>
      </c>
    </row>
    <row r="4376" spans="8:8" ht="15" customHeight="1" x14ac:dyDescent="0.2">
      <c r="H4376" s="19">
        <v>3.9263280449831602E-3</v>
      </c>
    </row>
    <row r="4377" spans="8:8" ht="15" customHeight="1" x14ac:dyDescent="0.2">
      <c r="H4377" s="19">
        <v>-1.29469512806543E-2</v>
      </c>
    </row>
    <row r="4378" spans="8:8" ht="15" customHeight="1" x14ac:dyDescent="0.2">
      <c r="H4378" s="19">
        <v>1.9911803310916701E-3</v>
      </c>
    </row>
    <row r="4379" spans="8:8" ht="15" customHeight="1" x14ac:dyDescent="0.2">
      <c r="H4379" s="19">
        <v>-4.4967248070802296E-3</v>
      </c>
    </row>
    <row r="4380" spans="8:8" ht="15" customHeight="1" x14ac:dyDescent="0.2">
      <c r="H4380" s="19">
        <v>-9.9619041982218198E-3</v>
      </c>
    </row>
    <row r="4381" spans="8:8" ht="15" customHeight="1" x14ac:dyDescent="0.2">
      <c r="H4381" s="19">
        <v>-2.3307127766293602E-3</v>
      </c>
    </row>
    <row r="4382" spans="8:8" ht="15" customHeight="1" x14ac:dyDescent="0.2">
      <c r="H4382" s="19">
        <v>-9.3570902407736104E-4</v>
      </c>
    </row>
    <row r="4383" spans="8:8" ht="15" customHeight="1" x14ac:dyDescent="0.2">
      <c r="H4383" s="19">
        <v>1.6578969522942799E-2</v>
      </c>
    </row>
    <row r="4384" spans="8:8" ht="15" customHeight="1" x14ac:dyDescent="0.2">
      <c r="H4384" s="19">
        <v>-3.9489314235875298E-3</v>
      </c>
    </row>
    <row r="4385" spans="8:8" ht="15" customHeight="1" x14ac:dyDescent="0.2">
      <c r="H4385" s="19">
        <v>2.16039099811203E-3</v>
      </c>
    </row>
    <row r="4386" spans="8:8" ht="15" customHeight="1" x14ac:dyDescent="0.2">
      <c r="H4386" s="19">
        <v>-1.0174539786622101E-2</v>
      </c>
    </row>
    <row r="4387" spans="8:8" ht="15" customHeight="1" x14ac:dyDescent="0.2">
      <c r="H4387" s="19">
        <v>-7.9750177449079297E-3</v>
      </c>
    </row>
    <row r="4388" spans="8:8" ht="15" customHeight="1" x14ac:dyDescent="0.2">
      <c r="H4388" s="19">
        <v>1.7622355395198699E-2</v>
      </c>
    </row>
    <row r="4389" spans="8:8" ht="15" customHeight="1" x14ac:dyDescent="0.2">
      <c r="H4389" s="19">
        <v>-1.5859226482636098E-2</v>
      </c>
    </row>
    <row r="4390" spans="8:8" ht="15" customHeight="1" x14ac:dyDescent="0.2">
      <c r="H4390" s="19">
        <v>2.4292979892424202E-3</v>
      </c>
    </row>
    <row r="4391" spans="8:8" ht="15" customHeight="1" x14ac:dyDescent="0.2">
      <c r="H4391" s="19">
        <v>-3.99151906292262E-3</v>
      </c>
    </row>
    <row r="4392" spans="8:8" ht="15" customHeight="1" x14ac:dyDescent="0.2">
      <c r="H4392" s="19">
        <v>-1.8647877200348301E-2</v>
      </c>
    </row>
    <row r="4393" spans="8:8" ht="15" customHeight="1" x14ac:dyDescent="0.2">
      <c r="H4393" s="19">
        <v>1.7949233082555801E-3</v>
      </c>
    </row>
    <row r="4394" spans="8:8" ht="15" customHeight="1" x14ac:dyDescent="0.2">
      <c r="H4394" s="19">
        <v>1.50158650214195E-2</v>
      </c>
    </row>
    <row r="4395" spans="8:8" ht="15" customHeight="1" x14ac:dyDescent="0.2">
      <c r="H4395" s="19">
        <v>3.65795856502537E-3</v>
      </c>
    </row>
    <row r="4396" spans="8:8" ht="15" customHeight="1" x14ac:dyDescent="0.2">
      <c r="H4396" s="19">
        <v>5.3034827732553504E-3</v>
      </c>
    </row>
    <row r="4397" spans="8:8" ht="15" customHeight="1" x14ac:dyDescent="0.2">
      <c r="H4397" s="19">
        <v>-1.3627273839314001E-2</v>
      </c>
    </row>
    <row r="4398" spans="8:8" ht="15" customHeight="1" x14ac:dyDescent="0.2">
      <c r="H4398" s="19">
        <v>3.1186664979265398E-4</v>
      </c>
    </row>
    <row r="4399" spans="8:8" ht="15" customHeight="1" x14ac:dyDescent="0.2">
      <c r="H4399" s="19">
        <v>-3.9600506942963397E-3</v>
      </c>
    </row>
    <row r="4400" spans="8:8" ht="15" customHeight="1" x14ac:dyDescent="0.2">
      <c r="H4400" s="19">
        <v>-1.4061139942419601E-3</v>
      </c>
    </row>
    <row r="4401" spans="8:8" ht="15" customHeight="1" x14ac:dyDescent="0.2">
      <c r="H4401" s="19">
        <v>8.8005858856355403E-3</v>
      </c>
    </row>
    <row r="4402" spans="8:8" ht="15" customHeight="1" x14ac:dyDescent="0.2">
      <c r="H4402" s="19">
        <v>2.12009278286033E-3</v>
      </c>
    </row>
    <row r="4403" spans="8:8" ht="15" customHeight="1" x14ac:dyDescent="0.2">
      <c r="H4403" s="19">
        <v>2.5380207047542701E-2</v>
      </c>
    </row>
    <row r="4404" spans="8:8" ht="15" customHeight="1" x14ac:dyDescent="0.2">
      <c r="H4404" s="19">
        <v>1.52451874151689E-2</v>
      </c>
    </row>
    <row r="4405" spans="8:8" ht="15" customHeight="1" x14ac:dyDescent="0.2">
      <c r="H4405" s="19">
        <v>-1.1200468548024201E-2</v>
      </c>
    </row>
    <row r="4406" spans="8:8" ht="15" customHeight="1" x14ac:dyDescent="0.2">
      <c r="H4406" s="19">
        <v>-3.1024877867253998E-3</v>
      </c>
    </row>
    <row r="4407" spans="8:8" ht="15" customHeight="1" x14ac:dyDescent="0.2">
      <c r="H4407" s="19">
        <v>5.6339655437896898E-3</v>
      </c>
    </row>
    <row r="4408" spans="8:8" ht="15" customHeight="1" x14ac:dyDescent="0.2">
      <c r="H4408" s="19">
        <v>1.8271936409579199E-2</v>
      </c>
    </row>
    <row r="4409" spans="8:8" ht="15" customHeight="1" x14ac:dyDescent="0.2">
      <c r="H4409" s="19">
        <v>-3.5343896991269102E-3</v>
      </c>
    </row>
    <row r="4410" spans="8:8" ht="15" customHeight="1" x14ac:dyDescent="0.2">
      <c r="H4410" s="19">
        <v>-4.0445857833122101E-3</v>
      </c>
    </row>
    <row r="4411" spans="8:8" ht="15" customHeight="1" x14ac:dyDescent="0.2">
      <c r="H4411" s="19">
        <v>-2.47949617359319E-3</v>
      </c>
    </row>
    <row r="4412" spans="8:8" ht="15" customHeight="1" x14ac:dyDescent="0.2">
      <c r="H4412" s="19">
        <v>-8.3674012704983008E-3</v>
      </c>
    </row>
    <row r="4413" spans="8:8" ht="15" customHeight="1" x14ac:dyDescent="0.2">
      <c r="H4413" s="19">
        <v>-1.45779479420209E-3</v>
      </c>
    </row>
    <row r="4414" spans="8:8" ht="15" customHeight="1" x14ac:dyDescent="0.2">
      <c r="H4414" s="19">
        <v>-1.09921481414068E-2</v>
      </c>
    </row>
    <row r="4415" spans="8:8" ht="15" customHeight="1" x14ac:dyDescent="0.2">
      <c r="H4415" s="19">
        <v>-9.1804626435872203E-3</v>
      </c>
    </row>
    <row r="4416" spans="8:8" ht="15" customHeight="1" x14ac:dyDescent="0.2">
      <c r="H4416" s="19">
        <v>-3.6392941482979702E-3</v>
      </c>
    </row>
    <row r="4417" spans="8:8" ht="15" customHeight="1" x14ac:dyDescent="0.2">
      <c r="H4417" s="19">
        <v>8.5424069006089908E-3</v>
      </c>
    </row>
    <row r="4418" spans="8:8" ht="15" customHeight="1" x14ac:dyDescent="0.2">
      <c r="H4418" s="19">
        <v>4.9121462637682902E-3</v>
      </c>
    </row>
    <row r="4419" spans="8:8" ht="15" customHeight="1" x14ac:dyDescent="0.2">
      <c r="H4419" s="19">
        <v>1.7223221103332599E-4</v>
      </c>
    </row>
    <row r="4420" spans="8:8" ht="15" customHeight="1" x14ac:dyDescent="0.2">
      <c r="H4420" s="19">
        <v>-6.1419164155126502E-3</v>
      </c>
    </row>
    <row r="4421" spans="8:8" ht="15" customHeight="1" x14ac:dyDescent="0.2">
      <c r="H4421" s="19">
        <v>1.7136346478645501E-3</v>
      </c>
    </row>
    <row r="4422" spans="8:8" ht="15" customHeight="1" x14ac:dyDescent="0.2">
      <c r="H4422" s="19">
        <v>-5.0773910450039299E-3</v>
      </c>
    </row>
    <row r="4423" spans="8:8" ht="15" customHeight="1" x14ac:dyDescent="0.2">
      <c r="H4423" s="19">
        <v>-1.12957427067707E-2</v>
      </c>
    </row>
    <row r="4424" spans="8:8" ht="15" customHeight="1" x14ac:dyDescent="0.2">
      <c r="H4424" s="19">
        <v>2.07375826587178E-2</v>
      </c>
    </row>
    <row r="4425" spans="8:8" ht="15" customHeight="1" x14ac:dyDescent="0.2">
      <c r="H4425" s="19">
        <v>-9.8148111607523607E-3</v>
      </c>
    </row>
    <row r="4426" spans="8:8" ht="15" customHeight="1" x14ac:dyDescent="0.2">
      <c r="H4426" s="19">
        <v>9.8390701450485792E-3</v>
      </c>
    </row>
    <row r="4427" spans="8:8" ht="15" customHeight="1" x14ac:dyDescent="0.2">
      <c r="H4427" s="19">
        <v>1.0783578771365501E-3</v>
      </c>
    </row>
    <row r="4428" spans="8:8" ht="15" customHeight="1" x14ac:dyDescent="0.2">
      <c r="H4428" s="19">
        <v>-1.3279469052308399E-2</v>
      </c>
    </row>
    <row r="4429" spans="8:8" ht="15" customHeight="1" x14ac:dyDescent="0.2">
      <c r="H4429" s="19">
        <v>-3.4166237519632999E-3</v>
      </c>
    </row>
    <row r="4430" spans="8:8" ht="15" customHeight="1" x14ac:dyDescent="0.2">
      <c r="H4430" s="19">
        <v>-8.2335324367132107E-3</v>
      </c>
    </row>
    <row r="4431" spans="8:8" ht="15" customHeight="1" x14ac:dyDescent="0.2">
      <c r="H4431" s="19">
        <v>-9.6903577580410901E-3</v>
      </c>
    </row>
    <row r="4432" spans="8:8" ht="15" customHeight="1" x14ac:dyDescent="0.2">
      <c r="H4432" s="19">
        <v>7.4282743724549596E-3</v>
      </c>
    </row>
    <row r="4433" spans="8:8" ht="15" customHeight="1" x14ac:dyDescent="0.2">
      <c r="H4433" s="19">
        <v>-3.8376961113170999E-3</v>
      </c>
    </row>
    <row r="4434" spans="8:8" ht="15" customHeight="1" x14ac:dyDescent="0.2">
      <c r="H4434" s="19">
        <v>1.1322028016778299E-3</v>
      </c>
    </row>
    <row r="4435" spans="8:8" ht="15" customHeight="1" x14ac:dyDescent="0.2">
      <c r="H4435" s="19">
        <v>-4.49612974218664E-3</v>
      </c>
    </row>
    <row r="4436" spans="8:8" ht="15" customHeight="1" x14ac:dyDescent="0.2">
      <c r="H4436" s="19">
        <v>-1.52012923672142E-2</v>
      </c>
    </row>
    <row r="4437" spans="8:8" ht="15" customHeight="1" x14ac:dyDescent="0.2">
      <c r="H4437" s="19">
        <v>-1.9104164174789402E-2</v>
      </c>
    </row>
    <row r="4438" spans="8:8" ht="15" customHeight="1" x14ac:dyDescent="0.2">
      <c r="H4438" s="19">
        <v>-1.14382162212698E-2</v>
      </c>
    </row>
    <row r="4439" spans="8:8" ht="15" customHeight="1" x14ac:dyDescent="0.2">
      <c r="H4439" s="19">
        <v>-1.4073686819088599E-2</v>
      </c>
    </row>
    <row r="4440" spans="8:8" ht="15" customHeight="1" x14ac:dyDescent="0.2">
      <c r="H4440" s="19">
        <v>-1.8519012440373399E-2</v>
      </c>
    </row>
    <row r="4441" spans="8:8" ht="15" customHeight="1" x14ac:dyDescent="0.2">
      <c r="H4441" s="19">
        <v>2.3262973505729499E-4</v>
      </c>
    </row>
    <row r="4442" spans="8:8" ht="15" customHeight="1" x14ac:dyDescent="0.2">
      <c r="H4442" s="19">
        <v>5.64639948472382E-3</v>
      </c>
    </row>
    <row r="4443" spans="8:8" ht="15" customHeight="1" x14ac:dyDescent="0.2">
      <c r="H4443" s="19">
        <v>-6.6329466866213802E-3</v>
      </c>
    </row>
    <row r="4444" spans="8:8" ht="15" customHeight="1" x14ac:dyDescent="0.2">
      <c r="H4444" s="19">
        <v>1.02705344737394E-2</v>
      </c>
    </row>
    <row r="4445" spans="8:8" ht="15" customHeight="1" x14ac:dyDescent="0.2">
      <c r="H4445" s="19">
        <v>1.6701398195961299E-2</v>
      </c>
    </row>
    <row r="4446" spans="8:8" ht="15" customHeight="1" x14ac:dyDescent="0.2">
      <c r="H4446" s="19">
        <v>-3.7716723798054399E-3</v>
      </c>
    </row>
    <row r="4447" spans="8:8" ht="15" customHeight="1" x14ac:dyDescent="0.2">
      <c r="H4447" s="19">
        <v>3.87690637738218E-3</v>
      </c>
    </row>
    <row r="4448" spans="8:8" ht="15" customHeight="1" x14ac:dyDescent="0.2">
      <c r="H4448" s="19">
        <v>3.5380958201772202E-3</v>
      </c>
    </row>
    <row r="4449" spans="8:8" ht="15" customHeight="1" x14ac:dyDescent="0.2">
      <c r="H4449" s="19">
        <v>1.60019474518301E-2</v>
      </c>
    </row>
    <row r="4450" spans="8:8" ht="15" customHeight="1" x14ac:dyDescent="0.2">
      <c r="H4450" s="19">
        <v>5.5010665800679804E-3</v>
      </c>
    </row>
    <row r="4451" spans="8:8" ht="15" customHeight="1" x14ac:dyDescent="0.2">
      <c r="H4451" s="19">
        <v>2.9322112204947402E-3</v>
      </c>
    </row>
    <row r="4452" spans="8:8" ht="15" customHeight="1" x14ac:dyDescent="0.2">
      <c r="H4452" s="19">
        <v>-1.01477529071222E-2</v>
      </c>
    </row>
    <row r="4453" spans="8:8" ht="15" customHeight="1" x14ac:dyDescent="0.2">
      <c r="H4453" s="19">
        <v>8.7510258185791098E-3</v>
      </c>
    </row>
    <row r="4454" spans="8:8" ht="15" customHeight="1" x14ac:dyDescent="0.2">
      <c r="H4454" s="19">
        <v>-8.4613576608142099E-4</v>
      </c>
    </row>
    <row r="4455" spans="8:8" ht="15" customHeight="1" x14ac:dyDescent="0.2">
      <c r="H4455" s="19">
        <v>2.7658686566760702E-3</v>
      </c>
    </row>
    <row r="4456" spans="8:8" ht="15" customHeight="1" x14ac:dyDescent="0.2">
      <c r="H4456" s="19">
        <v>6.3034212663357903E-3</v>
      </c>
    </row>
    <row r="4457" spans="8:8" ht="15" customHeight="1" x14ac:dyDescent="0.2">
      <c r="H4457" s="19">
        <v>9.8580197653806503E-3</v>
      </c>
    </row>
    <row r="4458" spans="8:8" ht="15" customHeight="1" x14ac:dyDescent="0.2">
      <c r="H4458" s="19">
        <v>-1.0572473079430799E-2</v>
      </c>
    </row>
    <row r="4459" spans="8:8" ht="15" customHeight="1" x14ac:dyDescent="0.2">
      <c r="H4459" s="19">
        <v>-6.1972226990224203E-3</v>
      </c>
    </row>
    <row r="4460" spans="8:8" ht="15" customHeight="1" x14ac:dyDescent="0.2">
      <c r="H4460" s="19">
        <v>4.0142527320762497E-3</v>
      </c>
    </row>
    <row r="4461" spans="8:8" ht="15" customHeight="1" x14ac:dyDescent="0.2">
      <c r="H4461" s="19">
        <v>-5.04627057131685E-3</v>
      </c>
    </row>
    <row r="4462" spans="8:8" ht="15" customHeight="1" x14ac:dyDescent="0.2">
      <c r="H4462" s="19">
        <v>5.2432655130657502E-4</v>
      </c>
    </row>
    <row r="4463" spans="8:8" ht="15" customHeight="1" x14ac:dyDescent="0.2">
      <c r="H4463" s="19">
        <v>1.78346400182233E-2</v>
      </c>
    </row>
    <row r="4464" spans="8:8" ht="15" customHeight="1" x14ac:dyDescent="0.2">
      <c r="H4464" s="19">
        <v>1.9789644875588801E-3</v>
      </c>
    </row>
    <row r="4465" spans="8:8" ht="15" customHeight="1" x14ac:dyDescent="0.2">
      <c r="H4465" s="19">
        <v>3.5356670101508898E-3</v>
      </c>
    </row>
    <row r="4466" spans="8:8" ht="15" customHeight="1" x14ac:dyDescent="0.2">
      <c r="H4466" s="19">
        <v>1.7463216353582899E-2</v>
      </c>
    </row>
    <row r="4467" spans="8:8" ht="15" customHeight="1" x14ac:dyDescent="0.2">
      <c r="H4467" s="19">
        <v>7.7455166691435999E-3</v>
      </c>
    </row>
    <row r="4468" spans="8:8" ht="15" customHeight="1" x14ac:dyDescent="0.2">
      <c r="H4468" s="19">
        <v>1.33662550624158E-2</v>
      </c>
    </row>
    <row r="4469" spans="8:8" ht="15" customHeight="1" x14ac:dyDescent="0.2">
      <c r="H4469" s="19">
        <v>1.2379970353979501E-2</v>
      </c>
    </row>
    <row r="4470" spans="8:8" ht="15" customHeight="1" x14ac:dyDescent="0.2">
      <c r="H4470" s="19">
        <v>-1.1213880690267001E-2</v>
      </c>
    </row>
    <row r="4471" spans="8:8" ht="15" customHeight="1" x14ac:dyDescent="0.2">
      <c r="H4471" s="19">
        <v>3.4503937510023401E-3</v>
      </c>
    </row>
    <row r="4472" spans="8:8" ht="15" customHeight="1" x14ac:dyDescent="0.2">
      <c r="H4472" s="19">
        <v>-1.1249303954254E-3</v>
      </c>
    </row>
    <row r="4473" spans="8:8" ht="15" customHeight="1" x14ac:dyDescent="0.2">
      <c r="H4473" s="19">
        <v>-2.94519432526626E-3</v>
      </c>
    </row>
    <row r="4474" spans="8:8" ht="15" customHeight="1" x14ac:dyDescent="0.2">
      <c r="H4474" s="19">
        <v>1.9470604432533602E-2</v>
      </c>
    </row>
    <row r="4475" spans="8:8" ht="15" customHeight="1" x14ac:dyDescent="0.2">
      <c r="H4475" s="19">
        <v>3.8175210556398399E-3</v>
      </c>
    </row>
    <row r="4476" spans="8:8" ht="15" customHeight="1" x14ac:dyDescent="0.2">
      <c r="H4476" s="19">
        <v>-8.6594317488500206E-3</v>
      </c>
    </row>
    <row r="4477" spans="8:8" ht="15" customHeight="1" x14ac:dyDescent="0.2">
      <c r="H4477" s="19">
        <v>7.80465983200991E-3</v>
      </c>
    </row>
    <row r="4478" spans="8:8" ht="15" customHeight="1" x14ac:dyDescent="0.2">
      <c r="H4478" s="19">
        <v>-4.2511726770682696E-3</v>
      </c>
    </row>
    <row r="4479" spans="8:8" ht="15" customHeight="1" x14ac:dyDescent="0.2">
      <c r="H4479" s="19">
        <v>-6.7841074891821004E-3</v>
      </c>
    </row>
    <row r="4480" spans="8:8" ht="15" customHeight="1" x14ac:dyDescent="0.2">
      <c r="H4480" s="19">
        <v>3.6288628700379901E-3</v>
      </c>
    </row>
    <row r="4481" spans="8:8" ht="15" customHeight="1" x14ac:dyDescent="0.2">
      <c r="H4481" s="19">
        <v>-1.8195662694549801E-2</v>
      </c>
    </row>
    <row r="4482" spans="8:8" ht="15" customHeight="1" x14ac:dyDescent="0.2">
      <c r="H4482" s="19">
        <v>1.6692944248799701E-2</v>
      </c>
    </row>
    <row r="4483" spans="8:8" ht="15" customHeight="1" x14ac:dyDescent="0.2">
      <c r="H4483" s="19">
        <v>1.210674110298E-2</v>
      </c>
    </row>
    <row r="4484" spans="8:8" ht="15" customHeight="1" x14ac:dyDescent="0.2">
      <c r="H4484" s="19">
        <v>-1.6903350258973299E-2</v>
      </c>
    </row>
    <row r="4485" spans="8:8" ht="15" customHeight="1" x14ac:dyDescent="0.2">
      <c r="H4485" s="19">
        <v>-8.7606761579448397E-3</v>
      </c>
    </row>
    <row r="4486" spans="8:8" ht="15" customHeight="1" x14ac:dyDescent="0.2">
      <c r="H4486" s="19">
        <v>-1.55358237012888E-2</v>
      </c>
    </row>
    <row r="4487" spans="8:8" ht="15" customHeight="1" x14ac:dyDescent="0.2">
      <c r="H4487" s="19">
        <v>-4.26621859968362E-3</v>
      </c>
    </row>
    <row r="4488" spans="8:8" ht="15" customHeight="1" x14ac:dyDescent="0.2">
      <c r="H4488" s="19">
        <v>-1.1769317873069301E-2</v>
      </c>
    </row>
    <row r="4489" spans="8:8" ht="15" customHeight="1" x14ac:dyDescent="0.2">
      <c r="H4489" s="19">
        <v>5.4185891431186598E-3</v>
      </c>
    </row>
    <row r="4490" spans="8:8" ht="15" customHeight="1" x14ac:dyDescent="0.2">
      <c r="H4490" s="19">
        <v>2.7469124935593299E-3</v>
      </c>
    </row>
    <row r="4491" spans="8:8" ht="15" customHeight="1" x14ac:dyDescent="0.2">
      <c r="H4491" s="19">
        <v>-8.9710205754487005E-3</v>
      </c>
    </row>
    <row r="4492" spans="8:8" ht="15" customHeight="1" x14ac:dyDescent="0.2">
      <c r="H4492" s="19">
        <v>-8.1195417430826294E-3</v>
      </c>
    </row>
    <row r="4493" spans="8:8" ht="15" customHeight="1" x14ac:dyDescent="0.2">
      <c r="H4493" s="19">
        <v>5.1350938942839295E-4</v>
      </c>
    </row>
    <row r="4494" spans="8:8" ht="15" customHeight="1" x14ac:dyDescent="0.2">
      <c r="H4494" s="19">
        <v>1.3745713951567699E-2</v>
      </c>
    </row>
    <row r="4495" spans="8:8" ht="15" customHeight="1" x14ac:dyDescent="0.2">
      <c r="H4495" s="19">
        <v>-6.7632442527346699E-3</v>
      </c>
    </row>
    <row r="4496" spans="8:8" ht="15" customHeight="1" x14ac:dyDescent="0.2">
      <c r="H4496" s="19">
        <v>-1.6318414381391699E-2</v>
      </c>
    </row>
    <row r="4497" spans="8:8" ht="15" customHeight="1" x14ac:dyDescent="0.2">
      <c r="H4497" s="19">
        <v>-1.09303452689603E-2</v>
      </c>
    </row>
    <row r="4498" spans="8:8" ht="15" customHeight="1" x14ac:dyDescent="0.2">
      <c r="H4498" s="19">
        <v>-1.3357139906062901E-2</v>
      </c>
    </row>
    <row r="4499" spans="8:8" ht="15" customHeight="1" x14ac:dyDescent="0.2">
      <c r="H4499" s="19">
        <v>6.1916561917178701E-3</v>
      </c>
    </row>
    <row r="4500" spans="8:8" ht="15" customHeight="1" x14ac:dyDescent="0.2">
      <c r="H4500" s="19">
        <v>5.3116633296382597E-3</v>
      </c>
    </row>
    <row r="4501" spans="8:8" ht="15" customHeight="1" x14ac:dyDescent="0.2">
      <c r="H4501" s="19">
        <v>7.3860383633689098E-3</v>
      </c>
    </row>
    <row r="4502" spans="8:8" ht="15" customHeight="1" x14ac:dyDescent="0.2">
      <c r="H4502" s="19">
        <v>-1.5401385994638799E-3</v>
      </c>
    </row>
    <row r="4503" spans="8:8" ht="15" customHeight="1" x14ac:dyDescent="0.2">
      <c r="H4503" s="19">
        <v>-4.5944939180226196E-3</v>
      </c>
    </row>
    <row r="4504" spans="8:8" ht="15" customHeight="1" x14ac:dyDescent="0.2">
      <c r="H4504" s="19">
        <v>1.0367670266067299E-3</v>
      </c>
    </row>
    <row r="4505" spans="8:8" ht="15" customHeight="1" x14ac:dyDescent="0.2">
      <c r="H4505" s="19">
        <v>-1.3651428812043599E-2</v>
      </c>
    </row>
    <row r="4506" spans="8:8" ht="15" customHeight="1" x14ac:dyDescent="0.2">
      <c r="H4506" s="19">
        <v>1.06034543968728E-2</v>
      </c>
    </row>
    <row r="4507" spans="8:8" ht="15" customHeight="1" x14ac:dyDescent="0.2">
      <c r="H4507" s="19">
        <v>-3.5621348927039401E-3</v>
      </c>
    </row>
    <row r="4508" spans="8:8" ht="15" customHeight="1" x14ac:dyDescent="0.2">
      <c r="H4508" s="19">
        <v>-9.0083928616064499E-3</v>
      </c>
    </row>
    <row r="4509" spans="8:8" ht="15" customHeight="1" x14ac:dyDescent="0.2">
      <c r="H4509" s="19">
        <v>3.5056944353899899E-3</v>
      </c>
    </row>
    <row r="4510" spans="8:8" ht="15" customHeight="1" x14ac:dyDescent="0.2">
      <c r="H4510" s="19">
        <v>-6.3221626125590704E-3</v>
      </c>
    </row>
    <row r="4511" spans="8:8" ht="15" customHeight="1" x14ac:dyDescent="0.2">
      <c r="H4511" s="19">
        <v>9.6197775101064201E-3</v>
      </c>
    </row>
    <row r="4512" spans="8:8" ht="15" customHeight="1" x14ac:dyDescent="0.2">
      <c r="H4512" s="19">
        <v>7.3463461372009499E-4</v>
      </c>
    </row>
    <row r="4513" spans="8:8" ht="15" customHeight="1" x14ac:dyDescent="0.2">
      <c r="H4513" s="19">
        <v>7.2338305484136601E-3</v>
      </c>
    </row>
    <row r="4514" spans="8:8" ht="15" customHeight="1" x14ac:dyDescent="0.2">
      <c r="H4514" s="19">
        <v>2.70693174411763E-3</v>
      </c>
    </row>
    <row r="4515" spans="8:8" ht="15" customHeight="1" x14ac:dyDescent="0.2">
      <c r="H4515" s="19">
        <v>-1.3206871122595399E-2</v>
      </c>
    </row>
    <row r="4516" spans="8:8" ht="15" customHeight="1" x14ac:dyDescent="0.2">
      <c r="H4516" s="19">
        <v>5.9653477516595802E-3</v>
      </c>
    </row>
    <row r="4517" spans="8:8" ht="15" customHeight="1" x14ac:dyDescent="0.2">
      <c r="H4517" s="19">
        <v>1.5176459394718499E-3</v>
      </c>
    </row>
    <row r="4518" spans="8:8" ht="15" customHeight="1" x14ac:dyDescent="0.2">
      <c r="H4518" s="19">
        <v>-1.1055621024468399E-2</v>
      </c>
    </row>
    <row r="4519" spans="8:8" ht="15" customHeight="1" x14ac:dyDescent="0.2">
      <c r="H4519" s="19">
        <v>-1.5811403633239E-3</v>
      </c>
    </row>
    <row r="4520" spans="8:8" ht="15" customHeight="1" x14ac:dyDescent="0.2">
      <c r="H4520" s="19">
        <v>-5.6173194886836495E-4</v>
      </c>
    </row>
    <row r="4521" spans="8:8" ht="15" customHeight="1" x14ac:dyDescent="0.2">
      <c r="H4521" s="19">
        <v>7.4200744475924601E-3</v>
      </c>
    </row>
    <row r="4522" spans="8:8" ht="15" customHeight="1" x14ac:dyDescent="0.2">
      <c r="H4522" s="19">
        <v>3.9509194685786297E-3</v>
      </c>
    </row>
    <row r="4523" spans="8:8" ht="15" customHeight="1" x14ac:dyDescent="0.2">
      <c r="H4523" s="19">
        <v>-3.7002125388354901E-3</v>
      </c>
    </row>
    <row r="4524" spans="8:8" ht="15" customHeight="1" x14ac:dyDescent="0.2">
      <c r="H4524" s="19">
        <v>-1.31123423420032E-3</v>
      </c>
    </row>
    <row r="4525" spans="8:8" ht="15" customHeight="1" x14ac:dyDescent="0.2">
      <c r="H4525" s="19">
        <v>7.3688817542606096E-3</v>
      </c>
    </row>
    <row r="4526" spans="8:8" ht="15" customHeight="1" x14ac:dyDescent="0.2">
      <c r="H4526" s="19">
        <v>-1.54293118960931E-3</v>
      </c>
    </row>
    <row r="4527" spans="8:8" ht="15" customHeight="1" x14ac:dyDescent="0.2">
      <c r="H4527" s="19">
        <v>9.1672629370874396E-3</v>
      </c>
    </row>
    <row r="4528" spans="8:8" ht="15" customHeight="1" x14ac:dyDescent="0.2">
      <c r="H4528" s="19">
        <v>-1.0942235629093E-2</v>
      </c>
    </row>
    <row r="4529" spans="8:8" ht="15" customHeight="1" x14ac:dyDescent="0.2">
      <c r="H4529" s="19">
        <v>5.40765800815047E-3</v>
      </c>
    </row>
    <row r="4530" spans="8:8" ht="15" customHeight="1" x14ac:dyDescent="0.2">
      <c r="H4530" s="19">
        <v>-6.7091129772570797E-3</v>
      </c>
    </row>
    <row r="4531" spans="8:8" ht="15" customHeight="1" x14ac:dyDescent="0.2">
      <c r="H4531" s="19">
        <v>1.5176481476988799E-2</v>
      </c>
    </row>
    <row r="4532" spans="8:8" ht="15" customHeight="1" x14ac:dyDescent="0.2">
      <c r="H4532" s="19">
        <v>-4.5091586224350402E-3</v>
      </c>
    </row>
    <row r="4533" spans="8:8" ht="15" customHeight="1" x14ac:dyDescent="0.2">
      <c r="H4533" s="19">
        <v>-1.7222853861948599E-2</v>
      </c>
    </row>
    <row r="4534" spans="8:8" ht="15" customHeight="1" x14ac:dyDescent="0.2">
      <c r="H4534" s="19">
        <v>-2.62321288509796E-3</v>
      </c>
    </row>
    <row r="4535" spans="8:8" ht="15" customHeight="1" x14ac:dyDescent="0.2">
      <c r="H4535" s="19">
        <v>-2.9885595902775099E-2</v>
      </c>
    </row>
    <row r="4536" spans="8:8" ht="15" customHeight="1" x14ac:dyDescent="0.2">
      <c r="H4536" s="19">
        <v>8.3787511265261301E-3</v>
      </c>
    </row>
    <row r="4537" spans="8:8" ht="15" customHeight="1" x14ac:dyDescent="0.2">
      <c r="H4537" s="19">
        <v>-1.30819647460225E-2</v>
      </c>
    </row>
    <row r="4538" spans="8:8" ht="15" customHeight="1" x14ac:dyDescent="0.2">
      <c r="H4538" s="19">
        <v>-2.40535567085064E-2</v>
      </c>
    </row>
    <row r="4539" spans="8:8" ht="15" customHeight="1" x14ac:dyDescent="0.2">
      <c r="H4539" s="19">
        <v>-1.2303840646973801E-2</v>
      </c>
    </row>
    <row r="4540" spans="8:8" ht="15" customHeight="1" x14ac:dyDescent="0.2">
      <c r="H4540" s="19">
        <v>8.1775737562107299E-3</v>
      </c>
    </row>
    <row r="4541" spans="8:8" ht="15" customHeight="1" x14ac:dyDescent="0.2">
      <c r="H4541" s="19">
        <v>-3.79786411185545E-3</v>
      </c>
    </row>
    <row r="4542" spans="8:8" ht="15" customHeight="1" x14ac:dyDescent="0.2">
      <c r="H4542" s="19">
        <v>-1.34308655671573E-2</v>
      </c>
    </row>
    <row r="4543" spans="8:8" ht="15" customHeight="1" x14ac:dyDescent="0.2">
      <c r="H4543" s="19">
        <v>1.03526943530532E-2</v>
      </c>
    </row>
    <row r="4544" spans="8:8" ht="15" customHeight="1" x14ac:dyDescent="0.2">
      <c r="H4544" s="19">
        <v>-1.25713117908297E-2</v>
      </c>
    </row>
    <row r="4545" spans="8:8" ht="15" customHeight="1" x14ac:dyDescent="0.2">
      <c r="H4545" s="19">
        <v>5.51063190164865E-3</v>
      </c>
    </row>
    <row r="4546" spans="8:8" ht="15" customHeight="1" x14ac:dyDescent="0.2">
      <c r="H4546" s="19">
        <v>-2.0815770539566899E-2</v>
      </c>
    </row>
    <row r="4547" spans="8:8" ht="15" customHeight="1" x14ac:dyDescent="0.2">
      <c r="H4547" s="19">
        <v>3.9373365717726098E-3</v>
      </c>
    </row>
    <row r="4548" spans="8:8" ht="15" customHeight="1" x14ac:dyDescent="0.2">
      <c r="H4548" s="19">
        <v>3.7941132977365802E-3</v>
      </c>
    </row>
    <row r="4549" spans="8:8" ht="15" customHeight="1" x14ac:dyDescent="0.2">
      <c r="H4549" s="19">
        <v>3.64951233053129E-3</v>
      </c>
    </row>
    <row r="4550" spans="8:8" ht="15" customHeight="1" x14ac:dyDescent="0.2">
      <c r="H4550" s="19">
        <v>-1.5247773192770099E-3</v>
      </c>
    </row>
    <row r="4551" spans="8:8" ht="15" customHeight="1" x14ac:dyDescent="0.2">
      <c r="H4551" s="19">
        <v>-6.7784828000742401E-3</v>
      </c>
    </row>
    <row r="4552" spans="8:8" ht="15" customHeight="1" x14ac:dyDescent="0.2">
      <c r="H4552" s="19">
        <v>-8.5504550348186898E-3</v>
      </c>
    </row>
    <row r="4553" spans="8:8" ht="15" customHeight="1" x14ac:dyDescent="0.2">
      <c r="H4553" s="19">
        <v>8.1678396355568707E-3</v>
      </c>
    </row>
    <row r="4554" spans="8:8" ht="15" customHeight="1" x14ac:dyDescent="0.2">
      <c r="H4554" s="19">
        <v>2.20858295188099E-3</v>
      </c>
    </row>
    <row r="4555" spans="8:8" ht="15" customHeight="1" x14ac:dyDescent="0.2">
      <c r="H4555" s="19">
        <v>-4.4140924882274798E-3</v>
      </c>
    </row>
    <row r="4556" spans="8:8" ht="15" customHeight="1" x14ac:dyDescent="0.2">
      <c r="H4556" s="19">
        <v>1.1532844733355E-2</v>
      </c>
    </row>
    <row r="4557" spans="8:8" ht="15" customHeight="1" x14ac:dyDescent="0.2">
      <c r="H4557" s="19">
        <v>-8.2174550948138497E-3</v>
      </c>
    </row>
    <row r="4558" spans="8:8" ht="15" customHeight="1" x14ac:dyDescent="0.2">
      <c r="H4558" s="19">
        <v>1.41388046460418E-4</v>
      </c>
    </row>
    <row r="4559" spans="8:8" ht="15" customHeight="1" x14ac:dyDescent="0.2">
      <c r="H4559" s="19">
        <v>-8.21141259033876E-3</v>
      </c>
    </row>
    <row r="4560" spans="8:8" ht="15" customHeight="1" x14ac:dyDescent="0.2">
      <c r="H4560" s="19">
        <v>9.6259784337991792E-3</v>
      </c>
    </row>
    <row r="4561" spans="8:8" ht="15" customHeight="1" x14ac:dyDescent="0.2">
      <c r="H4561" s="19">
        <v>1.079143995359E-2</v>
      </c>
    </row>
    <row r="4562" spans="8:8" ht="15" customHeight="1" x14ac:dyDescent="0.2">
      <c r="H4562" s="19">
        <v>1.08695144788718E-4</v>
      </c>
    </row>
    <row r="4563" spans="8:8" ht="15" customHeight="1" x14ac:dyDescent="0.2">
      <c r="H4563" s="19">
        <v>6.4753657222889702E-3</v>
      </c>
    </row>
    <row r="4564" spans="8:8" ht="15" customHeight="1" x14ac:dyDescent="0.2">
      <c r="H4564" s="19">
        <v>1.2953758932148699E-2</v>
      </c>
    </row>
    <row r="4565" spans="8:8" ht="15" customHeight="1" x14ac:dyDescent="0.2">
      <c r="H4565" s="19">
        <v>7.9554139745340903E-3</v>
      </c>
    </row>
    <row r="4566" spans="8:8" ht="15" customHeight="1" x14ac:dyDescent="0.2">
      <c r="H4566" s="19">
        <v>6.6067034146678999E-4</v>
      </c>
    </row>
    <row r="4567" spans="8:8" ht="15" customHeight="1" x14ac:dyDescent="0.2">
      <c r="H4567" s="19">
        <v>-3.2271717339199799E-3</v>
      </c>
    </row>
    <row r="4568" spans="8:8" ht="15" customHeight="1" x14ac:dyDescent="0.2">
      <c r="H4568" s="19">
        <v>7.9874142026196207E-3</v>
      </c>
    </row>
    <row r="4569" spans="8:8" ht="15" customHeight="1" x14ac:dyDescent="0.2">
      <c r="H4569" s="19">
        <v>2.33394546586797E-2</v>
      </c>
    </row>
    <row r="4570" spans="8:8" ht="15" customHeight="1" x14ac:dyDescent="0.2">
      <c r="H4570" s="19">
        <v>1.97174721693275E-2</v>
      </c>
    </row>
    <row r="4571" spans="8:8" ht="15" customHeight="1" x14ac:dyDescent="0.2">
      <c r="H4571" s="19">
        <v>7.09180836501611E-3</v>
      </c>
    </row>
    <row r="4572" spans="8:8" ht="15" customHeight="1" x14ac:dyDescent="0.2">
      <c r="H4572" s="19">
        <v>2.3093805745751501E-2</v>
      </c>
    </row>
    <row r="4573" spans="8:8" ht="15" customHeight="1" x14ac:dyDescent="0.2">
      <c r="H4573" s="19">
        <v>-1.6507926479679601E-2</v>
      </c>
    </row>
    <row r="4574" spans="8:8" ht="15" customHeight="1" x14ac:dyDescent="0.2">
      <c r="H4574" s="19">
        <v>4.9636301649911597E-3</v>
      </c>
    </row>
    <row r="4575" spans="8:8" ht="15" customHeight="1" x14ac:dyDescent="0.2">
      <c r="H4575" s="19">
        <v>-6.9363336137065103E-3</v>
      </c>
    </row>
    <row r="4576" spans="8:8" ht="15" customHeight="1" x14ac:dyDescent="0.2">
      <c r="H4576" s="19">
        <v>1.9833243871156198E-3</v>
      </c>
    </row>
    <row r="4577" spans="8:8" ht="15" customHeight="1" x14ac:dyDescent="0.2">
      <c r="H4577" s="19">
        <v>1.2269654798700201E-4</v>
      </c>
    </row>
    <row r="4578" spans="8:8" ht="15" customHeight="1" x14ac:dyDescent="0.2">
      <c r="H4578" s="19">
        <v>5.0568768768613197E-3</v>
      </c>
    </row>
    <row r="4579" spans="8:8" ht="15" customHeight="1" x14ac:dyDescent="0.2">
      <c r="H4579" s="19">
        <v>-9.0140939974356904E-3</v>
      </c>
    </row>
    <row r="4580" spans="8:8" ht="15" customHeight="1" x14ac:dyDescent="0.2">
      <c r="H4580" s="19">
        <v>-1.38534536050928E-2</v>
      </c>
    </row>
    <row r="4581" spans="8:8" ht="15" customHeight="1" x14ac:dyDescent="0.2">
      <c r="H4581" s="19">
        <v>-1.4121366297049701E-2</v>
      </c>
    </row>
    <row r="4582" spans="8:8" ht="15" customHeight="1" x14ac:dyDescent="0.2">
      <c r="H4582" s="19">
        <v>-3.4484944779794901E-3</v>
      </c>
    </row>
    <row r="4583" spans="8:8" ht="15" customHeight="1" x14ac:dyDescent="0.2">
      <c r="H4583" s="19">
        <v>6.9661207124284896E-4</v>
      </c>
    </row>
    <row r="4584" spans="8:8" ht="15" customHeight="1" x14ac:dyDescent="0.2">
      <c r="H4584" s="19">
        <v>-1.06224963559858E-2</v>
      </c>
    </row>
    <row r="4585" spans="8:8" ht="15" customHeight="1" x14ac:dyDescent="0.2">
      <c r="H4585" s="19">
        <v>1.07683285189823E-2</v>
      </c>
    </row>
    <row r="4586" spans="8:8" ht="15" customHeight="1" x14ac:dyDescent="0.2">
      <c r="H4586" s="19">
        <v>1.59424960597947E-3</v>
      </c>
    </row>
    <row r="4587" spans="8:8" ht="15" customHeight="1" x14ac:dyDescent="0.2">
      <c r="H4587" s="19">
        <v>-5.20190248187557E-4</v>
      </c>
    </row>
    <row r="4588" spans="8:8" ht="15" customHeight="1" x14ac:dyDescent="0.2">
      <c r="H4588" s="19">
        <v>1.7761936816948001E-2</v>
      </c>
    </row>
    <row r="4589" spans="8:8" ht="15" customHeight="1" x14ac:dyDescent="0.2">
      <c r="H4589" s="19">
        <v>-1.5783395691706501E-3</v>
      </c>
    </row>
    <row r="4590" spans="8:8" ht="15" customHeight="1" x14ac:dyDescent="0.2">
      <c r="H4590" s="19">
        <v>-5.1379695041562602E-3</v>
      </c>
    </row>
    <row r="4591" spans="8:8" ht="15" customHeight="1" x14ac:dyDescent="0.2">
      <c r="H4591" s="19">
        <v>-1.19427370871199E-2</v>
      </c>
    </row>
    <row r="4592" spans="8:8" ht="15" customHeight="1" x14ac:dyDescent="0.2">
      <c r="H4592" s="19">
        <v>-9.9729502945614095E-3</v>
      </c>
    </row>
    <row r="4593" spans="8:8" ht="15" customHeight="1" x14ac:dyDescent="0.2">
      <c r="H4593" s="19">
        <v>8.9915240462538296E-4</v>
      </c>
    </row>
    <row r="4594" spans="8:8" ht="15" customHeight="1" x14ac:dyDescent="0.2">
      <c r="H4594" s="19">
        <v>5.2970316826606301E-3</v>
      </c>
    </row>
    <row r="4595" spans="8:8" ht="15" customHeight="1" x14ac:dyDescent="0.2">
      <c r="H4595" s="19">
        <v>-4.0258653052508099E-3</v>
      </c>
    </row>
    <row r="4596" spans="8:8" ht="15" customHeight="1" x14ac:dyDescent="0.2">
      <c r="H4596" s="19">
        <v>1.7968553902407199E-2</v>
      </c>
    </row>
    <row r="4597" spans="8:8" ht="15" customHeight="1" x14ac:dyDescent="0.2">
      <c r="H4597" s="19">
        <v>-3.0805987090334397E-4</v>
      </c>
    </row>
    <row r="4598" spans="8:8" ht="15" customHeight="1" x14ac:dyDescent="0.2">
      <c r="H4598" s="19">
        <v>1.85160192438851E-3</v>
      </c>
    </row>
    <row r="4599" spans="8:8" ht="15" customHeight="1" x14ac:dyDescent="0.2">
      <c r="H4599" s="19">
        <v>7.8532189392649908E-3</v>
      </c>
    </row>
    <row r="4600" spans="8:8" ht="15" customHeight="1" x14ac:dyDescent="0.2">
      <c r="H4600" s="19">
        <v>1.6635405159918699E-2</v>
      </c>
    </row>
    <row r="4601" spans="8:8" ht="15" customHeight="1" x14ac:dyDescent="0.2">
      <c r="H4601" s="19">
        <v>-6.7661689345407698E-3</v>
      </c>
    </row>
    <row r="4602" spans="8:8" ht="15" customHeight="1" x14ac:dyDescent="0.2">
      <c r="H4602" s="19">
        <v>1.99563476955552E-2</v>
      </c>
    </row>
    <row r="4603" spans="8:8" ht="15" customHeight="1" x14ac:dyDescent="0.2">
      <c r="H4603" s="19">
        <v>-8.6572730028156006E-5</v>
      </c>
    </row>
    <row r="4604" spans="8:8" ht="15" customHeight="1" x14ac:dyDescent="0.2">
      <c r="H4604" s="19">
        <v>1.40585155341392E-2</v>
      </c>
    </row>
    <row r="4605" spans="8:8" ht="15" customHeight="1" x14ac:dyDescent="0.2">
      <c r="H4605" s="19">
        <v>-6.5149091078138396E-3</v>
      </c>
    </row>
    <row r="4606" spans="8:8" ht="15" customHeight="1" x14ac:dyDescent="0.2">
      <c r="H4606" s="19">
        <v>-1.9812283965754601E-2</v>
      </c>
    </row>
    <row r="4607" spans="8:8" ht="15" customHeight="1" x14ac:dyDescent="0.2">
      <c r="H4607" s="19">
        <v>6.1725961616787102E-3</v>
      </c>
    </row>
    <row r="4608" spans="8:8" ht="15" customHeight="1" x14ac:dyDescent="0.2">
      <c r="H4608" s="19">
        <v>-1.1518043623442299E-3</v>
      </c>
    </row>
    <row r="4609" spans="8:8" ht="15" customHeight="1" x14ac:dyDescent="0.2">
      <c r="H4609" s="19">
        <v>2.5116516161352402E-3</v>
      </c>
    </row>
    <row r="4610" spans="8:8" ht="15" customHeight="1" x14ac:dyDescent="0.2">
      <c r="H4610" s="19">
        <v>-1.38898813484365E-2</v>
      </c>
    </row>
    <row r="4611" spans="8:8" ht="15" customHeight="1" x14ac:dyDescent="0.2">
      <c r="H4611" s="19">
        <v>1.4226582195890199E-4</v>
      </c>
    </row>
    <row r="4612" spans="8:8" ht="15" customHeight="1" x14ac:dyDescent="0.2">
      <c r="H4612" s="19">
        <v>2.3480868491249599E-2</v>
      </c>
    </row>
    <row r="4613" spans="8:8" ht="15" customHeight="1" x14ac:dyDescent="0.2">
      <c r="H4613" s="19">
        <v>5.4143958183600002E-3</v>
      </c>
    </row>
    <row r="4614" spans="8:8" ht="15" customHeight="1" x14ac:dyDescent="0.2">
      <c r="H4614" s="19">
        <v>-4.3475034497961898E-3</v>
      </c>
    </row>
    <row r="4615" spans="8:8" ht="15" customHeight="1" x14ac:dyDescent="0.2">
      <c r="H4615" s="19">
        <v>4.7628305800847103E-3</v>
      </c>
    </row>
    <row r="4616" spans="8:8" ht="15" customHeight="1" x14ac:dyDescent="0.2">
      <c r="H4616" s="19">
        <v>-1.7154144585193199E-2</v>
      </c>
    </row>
    <row r="4617" spans="8:8" ht="15" customHeight="1" x14ac:dyDescent="0.2">
      <c r="H4617" s="19">
        <v>-7.2179074025166398E-3</v>
      </c>
    </row>
    <row r="4618" spans="8:8" ht="15" customHeight="1" x14ac:dyDescent="0.2">
      <c r="H4618" s="19">
        <v>-1.2578991951835299E-2</v>
      </c>
    </row>
    <row r="4619" spans="8:8" ht="15" customHeight="1" x14ac:dyDescent="0.2">
      <c r="H4619" s="19">
        <v>-5.8434730328488097E-3</v>
      </c>
    </row>
    <row r="4620" spans="8:8" ht="15" customHeight="1" x14ac:dyDescent="0.2">
      <c r="H4620" s="19">
        <v>2.0759811985950501E-2</v>
      </c>
    </row>
    <row r="4621" spans="8:8" ht="15" customHeight="1" x14ac:dyDescent="0.2">
      <c r="H4621" s="19">
        <v>-6.8111780101964099E-3</v>
      </c>
    </row>
    <row r="4622" spans="8:8" ht="15" customHeight="1" x14ac:dyDescent="0.2">
      <c r="H4622" s="19">
        <v>-5.8230091136995199E-3</v>
      </c>
    </row>
    <row r="4623" spans="8:8" ht="15" customHeight="1" x14ac:dyDescent="0.2">
      <c r="H4623" s="19">
        <v>-7.1846346776000001E-3</v>
      </c>
    </row>
    <row r="4624" spans="8:8" ht="15" customHeight="1" x14ac:dyDescent="0.2">
      <c r="H4624" s="19">
        <v>4.0844267651850901E-3</v>
      </c>
    </row>
    <row r="4625" spans="8:8" ht="15" customHeight="1" x14ac:dyDescent="0.2">
      <c r="H4625" s="19">
        <v>4.7326609425268002E-3</v>
      </c>
    </row>
    <row r="4626" spans="8:8" ht="15" customHeight="1" x14ac:dyDescent="0.2">
      <c r="H4626" s="19">
        <v>-9.1787131808122001E-3</v>
      </c>
    </row>
    <row r="4627" spans="8:8" ht="15" customHeight="1" x14ac:dyDescent="0.2">
      <c r="H4627" s="19">
        <v>5.1981004649946597E-3</v>
      </c>
    </row>
    <row r="4628" spans="8:8" ht="15" customHeight="1" x14ac:dyDescent="0.2">
      <c r="H4628" s="19">
        <v>-7.0064366669439796E-3</v>
      </c>
    </row>
    <row r="4629" spans="8:8" ht="15" customHeight="1" x14ac:dyDescent="0.2">
      <c r="H4629" s="19">
        <v>3.9136919277522999E-3</v>
      </c>
    </row>
    <row r="4630" spans="8:8" ht="15" customHeight="1" x14ac:dyDescent="0.2">
      <c r="H4630" s="19">
        <v>-2.5215501710380999E-3</v>
      </c>
    </row>
    <row r="4631" spans="8:8" ht="15" customHeight="1" x14ac:dyDescent="0.2">
      <c r="H4631" s="19">
        <v>-3.85097321663314E-3</v>
      </c>
    </row>
    <row r="4632" spans="8:8" ht="15" customHeight="1" x14ac:dyDescent="0.2">
      <c r="H4632" s="19">
        <v>3.8112769593051602E-3</v>
      </c>
    </row>
    <row r="4633" spans="8:8" ht="15" customHeight="1" x14ac:dyDescent="0.2">
      <c r="H4633" s="19">
        <v>-1.0968425715562301E-3</v>
      </c>
    </row>
    <row r="4634" spans="8:8" ht="15" customHeight="1" x14ac:dyDescent="0.2">
      <c r="H4634" s="19">
        <v>1.8547458633555801E-2</v>
      </c>
    </row>
    <row r="4635" spans="8:8" ht="15" customHeight="1" x14ac:dyDescent="0.2">
      <c r="H4635" s="19">
        <v>-8.4792128511774999E-3</v>
      </c>
    </row>
    <row r="4636" spans="8:8" ht="15" customHeight="1" x14ac:dyDescent="0.2">
      <c r="H4636" s="19">
        <v>7.9923214981433809E-3</v>
      </c>
    </row>
    <row r="4637" spans="8:8" ht="15" customHeight="1" x14ac:dyDescent="0.2">
      <c r="H4637" s="19">
        <v>-4.1929890815731898E-6</v>
      </c>
    </row>
    <row r="4638" spans="8:8" ht="15" customHeight="1" x14ac:dyDescent="0.2">
      <c r="H4638" s="19">
        <v>-6.3495489931191702E-3</v>
      </c>
    </row>
    <row r="4639" spans="8:8" ht="15" customHeight="1" x14ac:dyDescent="0.2">
      <c r="H4639" s="19">
        <v>6.2830905202562503E-3</v>
      </c>
    </row>
    <row r="4640" spans="8:8" ht="15" customHeight="1" x14ac:dyDescent="0.2">
      <c r="H4640" s="19">
        <v>-7.6622172922906204E-5</v>
      </c>
    </row>
    <row r="4641" spans="8:8" ht="15" customHeight="1" x14ac:dyDescent="0.2">
      <c r="H4641" s="19">
        <v>3.4441569871431102E-3</v>
      </c>
    </row>
    <row r="4642" spans="8:8" ht="15" customHeight="1" x14ac:dyDescent="0.2">
      <c r="H4642" s="19">
        <v>1.0507531774934201E-2</v>
      </c>
    </row>
    <row r="4643" spans="8:8" ht="15" customHeight="1" x14ac:dyDescent="0.2">
      <c r="H4643" s="19">
        <v>-5.0743079213669898E-3</v>
      </c>
    </row>
    <row r="4644" spans="8:8" ht="15" customHeight="1" x14ac:dyDescent="0.2">
      <c r="H4644" s="19">
        <v>-8.00904248188168E-4</v>
      </c>
    </row>
    <row r="4645" spans="8:8" ht="15" customHeight="1" x14ac:dyDescent="0.2">
      <c r="H4645" s="19">
        <v>6.8217232131255997E-3</v>
      </c>
    </row>
    <row r="4646" spans="8:8" ht="15" customHeight="1" x14ac:dyDescent="0.2">
      <c r="H4646" s="19">
        <v>4.2426286783798402E-3</v>
      </c>
    </row>
    <row r="4647" spans="8:8" ht="15" customHeight="1" x14ac:dyDescent="0.2">
      <c r="H4647" s="19">
        <v>-5.5644002071680498E-3</v>
      </c>
    </row>
    <row r="4648" spans="8:8" ht="15" customHeight="1" x14ac:dyDescent="0.2">
      <c r="H4648" s="19">
        <v>-1.1589887511473201E-2</v>
      </c>
    </row>
    <row r="4649" spans="8:8" ht="15" customHeight="1" x14ac:dyDescent="0.2">
      <c r="H4649" s="19">
        <v>8.4834964768321208E-3</v>
      </c>
    </row>
    <row r="4650" spans="8:8" ht="15" customHeight="1" x14ac:dyDescent="0.2">
      <c r="H4650" s="19">
        <v>7.9616190683727095E-4</v>
      </c>
    </row>
    <row r="4651" spans="8:8" ht="15" customHeight="1" x14ac:dyDescent="0.2">
      <c r="H4651" s="19">
        <v>8.3328131495136303E-3</v>
      </c>
    </row>
    <row r="4652" spans="8:8" ht="15" customHeight="1" x14ac:dyDescent="0.2">
      <c r="H4652" s="19">
        <v>2.3524764787042698E-3</v>
      </c>
    </row>
    <row r="4653" spans="8:8" ht="15" customHeight="1" x14ac:dyDescent="0.2">
      <c r="H4653" s="19">
        <v>1.5476136146867599E-2</v>
      </c>
    </row>
    <row r="4654" spans="8:8" ht="15" customHeight="1" x14ac:dyDescent="0.2">
      <c r="H4654" s="19">
        <v>-1.15074172913191E-2</v>
      </c>
    </row>
    <row r="4655" spans="8:8" ht="15" customHeight="1" x14ac:dyDescent="0.2">
      <c r="H4655" s="19">
        <v>-3.8507949996155499E-3</v>
      </c>
    </row>
    <row r="4656" spans="8:8" ht="15" customHeight="1" x14ac:dyDescent="0.2">
      <c r="H4656" s="19">
        <v>-8.2273692991866199E-3</v>
      </c>
    </row>
    <row r="4657" spans="8:8" ht="15" customHeight="1" x14ac:dyDescent="0.2">
      <c r="H4657" s="19">
        <v>-1.08457894345667E-2</v>
      </c>
    </row>
    <row r="4658" spans="8:8" ht="15" customHeight="1" x14ac:dyDescent="0.2">
      <c r="H4658" s="19">
        <v>8.4722865917942706E-3</v>
      </c>
    </row>
    <row r="4659" spans="8:8" ht="15" customHeight="1" x14ac:dyDescent="0.2">
      <c r="H4659" s="19">
        <v>9.2393419054554796E-3</v>
      </c>
    </row>
    <row r="4660" spans="8:8" ht="15" customHeight="1" x14ac:dyDescent="0.2">
      <c r="H4660" s="19">
        <v>9.6994618593549504E-4</v>
      </c>
    </row>
    <row r="4661" spans="8:8" ht="15" customHeight="1" x14ac:dyDescent="0.2">
      <c r="H4661" s="19">
        <v>-3.00789593551195E-3</v>
      </c>
    </row>
    <row r="4662" spans="8:8" ht="15" customHeight="1" x14ac:dyDescent="0.2">
      <c r="H4662" s="19">
        <v>-8.0762569889534092E-3</v>
      </c>
    </row>
    <row r="4663" spans="8:8" ht="15" customHeight="1" x14ac:dyDescent="0.2">
      <c r="H4663" s="19">
        <v>2.8819858148155198E-3</v>
      </c>
    </row>
    <row r="4664" spans="8:8" ht="15" customHeight="1" x14ac:dyDescent="0.2">
      <c r="H4664" s="19">
        <v>-3.9218184781910801E-3</v>
      </c>
    </row>
    <row r="4665" spans="8:8" ht="15" customHeight="1" x14ac:dyDescent="0.2">
      <c r="H4665" s="19">
        <v>5.6339357709726604E-3</v>
      </c>
    </row>
    <row r="4666" spans="8:8" ht="15" customHeight="1" x14ac:dyDescent="0.2">
      <c r="H4666" s="19">
        <v>8.9031126730768507E-3</v>
      </c>
    </row>
    <row r="4667" spans="8:8" ht="15" customHeight="1" x14ac:dyDescent="0.2">
      <c r="H4667" s="19">
        <v>-1.26473412177766E-3</v>
      </c>
    </row>
    <row r="4668" spans="8:8" ht="15" customHeight="1" x14ac:dyDescent="0.2">
      <c r="H4668" s="19">
        <v>1.59961161172931E-2</v>
      </c>
    </row>
    <row r="4669" spans="8:8" ht="15" customHeight="1" x14ac:dyDescent="0.2">
      <c r="H4669" s="19">
        <v>-1.06623677229654E-2</v>
      </c>
    </row>
    <row r="4670" spans="8:8" ht="15" customHeight="1" x14ac:dyDescent="0.2">
      <c r="H4670" s="19">
        <v>-8.3649358227513605E-3</v>
      </c>
    </row>
    <row r="4671" spans="8:8" ht="15" customHeight="1" x14ac:dyDescent="0.2">
      <c r="H4671" s="19">
        <v>1.17858769666804E-2</v>
      </c>
    </row>
    <row r="4672" spans="8:8" ht="15" customHeight="1" x14ac:dyDescent="0.2">
      <c r="H4672" s="19">
        <v>-1.9871495532806302E-3</v>
      </c>
    </row>
    <row r="4673" spans="8:8" ht="15" customHeight="1" x14ac:dyDescent="0.2">
      <c r="H4673" s="19">
        <v>-1.6707866999496699E-3</v>
      </c>
    </row>
    <row r="4674" spans="8:8" ht="15" customHeight="1" x14ac:dyDescent="0.2">
      <c r="H4674" s="19">
        <v>4.7874683119167099E-3</v>
      </c>
    </row>
    <row r="4675" spans="8:8" ht="15" customHeight="1" x14ac:dyDescent="0.2">
      <c r="H4675" s="19">
        <v>-3.5923063179437802E-3</v>
      </c>
    </row>
    <row r="4676" spans="8:8" ht="15" customHeight="1" x14ac:dyDescent="0.2">
      <c r="H4676" s="19">
        <v>2.05030500115971E-3</v>
      </c>
    </row>
    <row r="4677" spans="8:8" ht="15" customHeight="1" x14ac:dyDescent="0.2">
      <c r="H4677" s="19">
        <v>1.3621324996824599E-2</v>
      </c>
    </row>
    <row r="4678" spans="8:8" ht="15" customHeight="1" x14ac:dyDescent="0.2">
      <c r="H4678" s="19">
        <v>4.1367319028483901E-3</v>
      </c>
    </row>
    <row r="4679" spans="8:8" ht="15" customHeight="1" x14ac:dyDescent="0.2">
      <c r="H4679" s="19">
        <v>8.5938805070418806E-3</v>
      </c>
    </row>
    <row r="4680" spans="8:8" ht="15" customHeight="1" x14ac:dyDescent="0.2">
      <c r="H4680" s="19">
        <v>7.0786045782665304E-4</v>
      </c>
    </row>
    <row r="4681" spans="8:8" ht="15" customHeight="1" x14ac:dyDescent="0.2">
      <c r="H4681" s="19">
        <v>3.9406450742394501E-3</v>
      </c>
    </row>
    <row r="4682" spans="8:8" ht="15" customHeight="1" x14ac:dyDescent="0.2">
      <c r="H4682" s="19">
        <v>-3.0816924877164601E-3</v>
      </c>
    </row>
    <row r="4683" spans="8:8" ht="15" customHeight="1" x14ac:dyDescent="0.2">
      <c r="H4683" s="19">
        <v>-7.7711176592898902E-3</v>
      </c>
    </row>
    <row r="4684" spans="8:8" ht="15" customHeight="1" x14ac:dyDescent="0.2">
      <c r="H4684" s="19">
        <v>-4.6193466577261104E-3</v>
      </c>
    </row>
    <row r="4685" spans="8:8" ht="15" customHeight="1" x14ac:dyDescent="0.2">
      <c r="H4685" s="19">
        <v>1.09263029458038E-2</v>
      </c>
    </row>
    <row r="4686" spans="8:8" ht="15" customHeight="1" x14ac:dyDescent="0.2">
      <c r="H4686" s="19">
        <v>1.3125082252252299E-3</v>
      </c>
    </row>
    <row r="4687" spans="8:8" ht="15" customHeight="1" x14ac:dyDescent="0.2">
      <c r="H4687" s="19">
        <v>1.4184967484182701E-2</v>
      </c>
    </row>
    <row r="4688" spans="8:8" ht="15" customHeight="1" x14ac:dyDescent="0.2">
      <c r="H4688" s="19">
        <v>-1.09888452805219E-2</v>
      </c>
    </row>
    <row r="4689" spans="8:8" ht="15" customHeight="1" x14ac:dyDescent="0.2">
      <c r="H4689" s="19">
        <v>-7.9805048990984392E-3</v>
      </c>
    </row>
    <row r="4690" spans="8:8" ht="15" customHeight="1" x14ac:dyDescent="0.2">
      <c r="H4690" s="19">
        <v>5.0939523593254597E-3</v>
      </c>
    </row>
    <row r="4691" spans="8:8" ht="15" customHeight="1" x14ac:dyDescent="0.2">
      <c r="H4691" s="19">
        <v>-6.5068238421517799E-3</v>
      </c>
    </row>
    <row r="4692" spans="8:8" ht="15" customHeight="1" x14ac:dyDescent="0.2">
      <c r="H4692" s="19">
        <v>-2.6109684806020299E-3</v>
      </c>
    </row>
    <row r="4693" spans="8:8" ht="15" customHeight="1" x14ac:dyDescent="0.2">
      <c r="H4693" s="19">
        <v>-6.1354584849972003E-3</v>
      </c>
    </row>
    <row r="4694" spans="8:8" ht="15" customHeight="1" x14ac:dyDescent="0.2">
      <c r="H4694" s="19">
        <v>9.6126815981487992E-3</v>
      </c>
    </row>
    <row r="4695" spans="8:8" ht="15" customHeight="1" x14ac:dyDescent="0.2">
      <c r="H4695" s="19">
        <v>7.8329994107999394E-3</v>
      </c>
    </row>
    <row r="4696" spans="8:8" ht="15" customHeight="1" x14ac:dyDescent="0.2">
      <c r="H4696" s="19">
        <v>4.3234956690181301E-3</v>
      </c>
    </row>
    <row r="4697" spans="8:8" ht="15" customHeight="1" x14ac:dyDescent="0.2">
      <c r="H4697" s="19">
        <v>2.5973996883871999E-3</v>
      </c>
    </row>
    <row r="4698" spans="8:8" ht="15" customHeight="1" x14ac:dyDescent="0.2">
      <c r="H4698" s="19">
        <v>-1.2330901379341199E-4</v>
      </c>
    </row>
    <row r="4699" spans="8:8" ht="15" customHeight="1" x14ac:dyDescent="0.2">
      <c r="H4699" s="19">
        <v>-9.5982358687214005E-3</v>
      </c>
    </row>
    <row r="4700" spans="8:8" ht="15" customHeight="1" x14ac:dyDescent="0.2">
      <c r="H4700" s="19">
        <v>-1.7096101213261199E-2</v>
      </c>
    </row>
    <row r="4701" spans="8:8" ht="15" customHeight="1" x14ac:dyDescent="0.2">
      <c r="H4701" s="19">
        <v>1.11132586035699E-2</v>
      </c>
    </row>
    <row r="4702" spans="8:8" ht="15" customHeight="1" x14ac:dyDescent="0.2">
      <c r="H4702" s="19">
        <v>1.6435417344581201E-3</v>
      </c>
    </row>
    <row r="4703" spans="8:8" ht="15" customHeight="1" x14ac:dyDescent="0.2">
      <c r="H4703" s="19">
        <v>6.9433748501572896E-3</v>
      </c>
    </row>
    <row r="4704" spans="8:8" ht="15" customHeight="1" x14ac:dyDescent="0.2">
      <c r="H4704" s="19">
        <v>-1.9073635671927899E-3</v>
      </c>
    </row>
    <row r="4705" spans="8:8" ht="15" customHeight="1" x14ac:dyDescent="0.2">
      <c r="H4705" s="19">
        <v>7.9090009690183198E-3</v>
      </c>
    </row>
    <row r="4706" spans="8:8" ht="15" customHeight="1" x14ac:dyDescent="0.2">
      <c r="H4706" s="19">
        <v>-1.51450122259348E-2</v>
      </c>
    </row>
    <row r="4707" spans="8:8" ht="15" customHeight="1" x14ac:dyDescent="0.2">
      <c r="H4707" s="19">
        <v>7.2087654226881698E-3</v>
      </c>
    </row>
    <row r="4708" spans="8:8" ht="15" customHeight="1" x14ac:dyDescent="0.2">
      <c r="H4708" s="19">
        <v>-5.1506890820600202E-3</v>
      </c>
    </row>
    <row r="4709" spans="8:8" ht="15" customHeight="1" x14ac:dyDescent="0.2">
      <c r="H4709" s="19">
        <v>2.0407489366343699E-2</v>
      </c>
    </row>
    <row r="4710" spans="8:8" ht="15" customHeight="1" x14ac:dyDescent="0.2">
      <c r="H4710" s="19">
        <v>3.9840991789201197E-3</v>
      </c>
    </row>
    <row r="4711" spans="8:8" ht="15" customHeight="1" x14ac:dyDescent="0.2">
      <c r="H4711" s="19">
        <v>1.50447470880212E-2</v>
      </c>
    </row>
    <row r="4712" spans="8:8" ht="15" customHeight="1" x14ac:dyDescent="0.2">
      <c r="H4712" s="19">
        <v>2.5382758469006199E-3</v>
      </c>
    </row>
    <row r="4713" spans="8:8" ht="15" customHeight="1" x14ac:dyDescent="0.2">
      <c r="H4713" s="19">
        <v>-5.5402996769242504E-3</v>
      </c>
    </row>
    <row r="4714" spans="8:8" ht="15" customHeight="1" x14ac:dyDescent="0.2">
      <c r="H4714" s="19">
        <v>1.9335869474123801E-2</v>
      </c>
    </row>
    <row r="4715" spans="8:8" ht="15" customHeight="1" x14ac:dyDescent="0.2">
      <c r="H4715" s="19">
        <v>1.1956187367362699E-2</v>
      </c>
    </row>
    <row r="4716" spans="8:8" ht="15" customHeight="1" x14ac:dyDescent="0.2">
      <c r="H4716" s="19">
        <v>1.28621808897587E-2</v>
      </c>
    </row>
    <row r="4717" spans="8:8" ht="15" customHeight="1" x14ac:dyDescent="0.2">
      <c r="H4717" s="19">
        <v>-4.4822304084541801E-4</v>
      </c>
    </row>
    <row r="4718" spans="8:8" ht="15" customHeight="1" x14ac:dyDescent="0.2">
      <c r="H4718" s="19">
        <v>-1.64147239346349E-3</v>
      </c>
    </row>
    <row r="4719" spans="8:8" ht="15" customHeight="1" x14ac:dyDescent="0.2">
      <c r="H4719" s="19">
        <v>-6.6547408327936701E-3</v>
      </c>
    </row>
    <row r="4720" spans="8:8" ht="15" customHeight="1" x14ac:dyDescent="0.2">
      <c r="H4720" s="19">
        <v>3.4707868239802699E-3</v>
      </c>
    </row>
    <row r="4721" spans="8:8" ht="15" customHeight="1" x14ac:dyDescent="0.2">
      <c r="H4721" s="19">
        <v>6.9530012511181101E-3</v>
      </c>
    </row>
    <row r="4722" spans="8:8" ht="15" customHeight="1" x14ac:dyDescent="0.2">
      <c r="H4722" s="19">
        <v>1.5063158454170601E-2</v>
      </c>
    </row>
    <row r="4723" spans="8:8" ht="15" customHeight="1" x14ac:dyDescent="0.2">
      <c r="H4723" s="19">
        <v>2.0174927055355601E-2</v>
      </c>
    </row>
    <row r="4724" spans="8:8" ht="15" customHeight="1" x14ac:dyDescent="0.2">
      <c r="H4724" s="19">
        <v>-6.9391669315475304E-4</v>
      </c>
    </row>
    <row r="4725" spans="8:8" ht="15" customHeight="1" x14ac:dyDescent="0.2">
      <c r="H4725" s="19">
        <v>4.7164849257903202E-3</v>
      </c>
    </row>
    <row r="4726" spans="8:8" ht="15" customHeight="1" x14ac:dyDescent="0.2">
      <c r="H4726" s="19">
        <v>-1.1508435906080101E-2</v>
      </c>
    </row>
    <row r="4727" spans="8:8" ht="15" customHeight="1" x14ac:dyDescent="0.2">
      <c r="H4727" s="19">
        <v>1.4613948018965799E-3</v>
      </c>
    </row>
    <row r="4728" spans="8:8" ht="15" customHeight="1" x14ac:dyDescent="0.2">
      <c r="H4728" s="19">
        <v>9.8121496771184404E-3</v>
      </c>
    </row>
    <row r="4729" spans="8:8" ht="15" customHeight="1" x14ac:dyDescent="0.2">
      <c r="H4729" s="19">
        <v>-6.0708001186015499E-3</v>
      </c>
    </row>
    <row r="4730" spans="8:8" ht="15" customHeight="1" x14ac:dyDescent="0.2">
      <c r="H4730" s="19">
        <v>5.05670952984203E-3</v>
      </c>
    </row>
    <row r="4731" spans="8:8" ht="15" customHeight="1" x14ac:dyDescent="0.2">
      <c r="H4731" s="19">
        <v>-3.5484282454030999E-3</v>
      </c>
    </row>
    <row r="4732" spans="8:8" ht="15" customHeight="1" x14ac:dyDescent="0.2">
      <c r="H4732" s="19">
        <v>1.0154724383489E-3</v>
      </c>
    </row>
    <row r="4733" spans="8:8" ht="15" customHeight="1" x14ac:dyDescent="0.2">
      <c r="H4733" s="19">
        <v>4.6225468505756004E-3</v>
      </c>
    </row>
    <row r="4734" spans="8:8" ht="15" customHeight="1" x14ac:dyDescent="0.2">
      <c r="H4734" s="19">
        <v>7.73999314572822E-3</v>
      </c>
    </row>
    <row r="4735" spans="8:8" ht="15" customHeight="1" x14ac:dyDescent="0.2">
      <c r="H4735" s="19">
        <v>7.4497126195483196E-3</v>
      </c>
    </row>
    <row r="4736" spans="8:8" ht="15" customHeight="1" x14ac:dyDescent="0.2">
      <c r="H4736" s="19">
        <v>-1.05614624243879E-2</v>
      </c>
    </row>
    <row r="4737" spans="8:8" ht="15" customHeight="1" x14ac:dyDescent="0.2">
      <c r="H4737" s="19">
        <v>-6.6459211824054798E-4</v>
      </c>
    </row>
    <row r="4738" spans="8:8" ht="15" customHeight="1" x14ac:dyDescent="0.2">
      <c r="H4738" s="19">
        <v>-5.09167578829773E-4</v>
      </c>
    </row>
    <row r="4739" spans="8:8" ht="15" customHeight="1" x14ac:dyDescent="0.2">
      <c r="H4739" s="19">
        <v>6.5805796515065202E-3</v>
      </c>
    </row>
    <row r="4740" spans="8:8" ht="15" customHeight="1" x14ac:dyDescent="0.2">
      <c r="H4740" s="19">
        <v>5.6067908216325402E-3</v>
      </c>
    </row>
    <row r="4741" spans="8:8" ht="15" customHeight="1" x14ac:dyDescent="0.2">
      <c r="H4741" s="19">
        <v>-2.3614200148743001E-3</v>
      </c>
    </row>
    <row r="4742" spans="8:8" ht="15" customHeight="1" x14ac:dyDescent="0.2">
      <c r="H4742" s="19">
        <v>5.2485713434223197E-3</v>
      </c>
    </row>
    <row r="4743" spans="8:8" ht="15" customHeight="1" x14ac:dyDescent="0.2">
      <c r="H4743" s="19">
        <v>-8.9669057096898406E-3</v>
      </c>
    </row>
    <row r="4744" spans="8:8" ht="15" customHeight="1" x14ac:dyDescent="0.2">
      <c r="H4744" s="19">
        <v>9.6105415351915493E-3</v>
      </c>
    </row>
    <row r="4745" spans="8:8" ht="15" customHeight="1" x14ac:dyDescent="0.2">
      <c r="H4745" s="19">
        <v>-9.6323072528874001E-4</v>
      </c>
    </row>
    <row r="4746" spans="8:8" ht="15" customHeight="1" x14ac:dyDescent="0.2">
      <c r="H4746" s="19">
        <v>-3.7247848403556502E-3</v>
      </c>
    </row>
    <row r="4747" spans="8:8" ht="15" customHeight="1" x14ac:dyDescent="0.2">
      <c r="H4747" s="19">
        <v>-3.5932145587276899E-3</v>
      </c>
    </row>
    <row r="4748" spans="8:8" ht="15" customHeight="1" x14ac:dyDescent="0.2">
      <c r="H4748" s="19">
        <v>1.15325533812027E-3</v>
      </c>
    </row>
    <row r="4749" spans="8:8" ht="15" customHeight="1" x14ac:dyDescent="0.2">
      <c r="H4749" s="19">
        <v>-6.1052058595266199E-3</v>
      </c>
    </row>
    <row r="4750" spans="8:8" ht="15" customHeight="1" x14ac:dyDescent="0.2">
      <c r="H4750" s="19">
        <v>-6.3767214403755797E-4</v>
      </c>
    </row>
    <row r="4751" spans="8:8" ht="15" customHeight="1" x14ac:dyDescent="0.2">
      <c r="H4751" s="19">
        <v>-2.3755340086806902E-3</v>
      </c>
    </row>
    <row r="4752" spans="8:8" ht="15" customHeight="1" x14ac:dyDescent="0.2">
      <c r="H4752" s="19">
        <v>-7.93775211169285E-4</v>
      </c>
    </row>
    <row r="4753" spans="8:8" ht="15" customHeight="1" x14ac:dyDescent="0.2">
      <c r="H4753" s="19">
        <v>-2.0853260354447602E-2</v>
      </c>
    </row>
    <row r="4754" spans="8:8" ht="15" customHeight="1" x14ac:dyDescent="0.2">
      <c r="H4754" s="19">
        <v>-6.0648518957612E-3</v>
      </c>
    </row>
    <row r="4755" spans="8:8" ht="15" customHeight="1" x14ac:dyDescent="0.2">
      <c r="H4755" s="19">
        <v>7.7890448411961199E-3</v>
      </c>
    </row>
    <row r="4756" spans="8:8" ht="15" customHeight="1" x14ac:dyDescent="0.2">
      <c r="H4756" s="19">
        <v>1.25624407340759E-3</v>
      </c>
    </row>
    <row r="4757" spans="8:8" ht="15" customHeight="1" x14ac:dyDescent="0.2">
      <c r="H4757" s="19">
        <v>8.6230255748056296E-3</v>
      </c>
    </row>
    <row r="4758" spans="8:8" ht="15" customHeight="1" x14ac:dyDescent="0.2">
      <c r="H4758" s="19">
        <v>8.1827947681777004E-3</v>
      </c>
    </row>
    <row r="4759" spans="8:8" ht="15" customHeight="1" x14ac:dyDescent="0.2">
      <c r="H4759" s="19">
        <v>-2.2228150787148701E-3</v>
      </c>
    </row>
    <row r="4760" spans="8:8" ht="15" customHeight="1" x14ac:dyDescent="0.2">
      <c r="H4760" s="19">
        <v>1.1336691450365401E-2</v>
      </c>
    </row>
    <row r="4761" spans="8:8" ht="15" customHeight="1" x14ac:dyDescent="0.2">
      <c r="H4761" s="19">
        <v>-9.7391361031176696E-3</v>
      </c>
    </row>
    <row r="4762" spans="8:8" ht="15" customHeight="1" x14ac:dyDescent="0.2">
      <c r="H4762" s="19">
        <v>-7.4001047989913603E-3</v>
      </c>
    </row>
    <row r="4763" spans="8:8" ht="15" customHeight="1" x14ac:dyDescent="0.2">
      <c r="H4763" s="19">
        <v>2.7303765944354101E-5</v>
      </c>
    </row>
    <row r="4764" spans="8:8" ht="15" customHeight="1" x14ac:dyDescent="0.2">
      <c r="H4764" s="19">
        <v>-1.61733825527621E-2</v>
      </c>
    </row>
    <row r="4765" spans="8:8" ht="15" customHeight="1" x14ac:dyDescent="0.2">
      <c r="H4765" s="19">
        <v>3.2703584459536602E-4</v>
      </c>
    </row>
    <row r="4766" spans="8:8" ht="15" customHeight="1" x14ac:dyDescent="0.2">
      <c r="H4766" s="19">
        <v>1.5136163238889399E-3</v>
      </c>
    </row>
    <row r="4767" spans="8:8" ht="15" customHeight="1" x14ac:dyDescent="0.2">
      <c r="H4767" s="19">
        <v>9.8904640760022803E-4</v>
      </c>
    </row>
    <row r="4768" spans="8:8" ht="15" customHeight="1" x14ac:dyDescent="0.2">
      <c r="H4768" s="19">
        <v>-8.4602913559625008E-3</v>
      </c>
    </row>
    <row r="4769" spans="8:8" ht="15" customHeight="1" x14ac:dyDescent="0.2">
      <c r="H4769" s="19">
        <v>-2.2057677977088499E-3</v>
      </c>
    </row>
    <row r="4770" spans="8:8" ht="15" customHeight="1" x14ac:dyDescent="0.2">
      <c r="H4770" s="19">
        <v>-4.58273314872314E-3</v>
      </c>
    </row>
    <row r="4771" spans="8:8" ht="15" customHeight="1" x14ac:dyDescent="0.2">
      <c r="H4771" s="19">
        <v>-1.36074515839332E-2</v>
      </c>
    </row>
    <row r="4772" spans="8:8" ht="15" customHeight="1" x14ac:dyDescent="0.2">
      <c r="H4772" s="19">
        <v>5.1458470155121396E-3</v>
      </c>
    </row>
    <row r="4773" spans="8:8" ht="15" customHeight="1" x14ac:dyDescent="0.2">
      <c r="H4773" s="19">
        <v>4.9662890285174701E-3</v>
      </c>
    </row>
    <row r="4774" spans="8:8" ht="15" customHeight="1" x14ac:dyDescent="0.2">
      <c r="H4774" s="19">
        <v>2.3371346811491299E-2</v>
      </c>
    </row>
    <row r="4775" spans="8:8" ht="15" customHeight="1" x14ac:dyDescent="0.2">
      <c r="H4775" s="19">
        <v>-8.7357032608435597E-4</v>
      </c>
    </row>
    <row r="4776" spans="8:8" ht="15" customHeight="1" x14ac:dyDescent="0.2">
      <c r="H4776" s="19">
        <v>-1.0577979019112199E-2</v>
      </c>
    </row>
    <row r="4777" spans="8:8" ht="15" customHeight="1" x14ac:dyDescent="0.2">
      <c r="H4777" s="19">
        <v>-6.6611631751182501E-3</v>
      </c>
    </row>
    <row r="4778" spans="8:8" ht="15" customHeight="1" x14ac:dyDescent="0.2">
      <c r="H4778" s="19">
        <v>7.9897224675322693E-3</v>
      </c>
    </row>
    <row r="4779" spans="8:8" ht="15" customHeight="1" x14ac:dyDescent="0.2">
      <c r="H4779" s="19">
        <v>-1.44669602355148E-2</v>
      </c>
    </row>
    <row r="4780" spans="8:8" ht="15" customHeight="1" x14ac:dyDescent="0.2">
      <c r="H4780" s="19">
        <v>3.2419249164510302E-5</v>
      </c>
    </row>
    <row r="4781" spans="8:8" ht="15" customHeight="1" x14ac:dyDescent="0.2">
      <c r="H4781" s="19">
        <v>2.2766723160401801E-3</v>
      </c>
    </row>
    <row r="4782" spans="8:8" ht="15" customHeight="1" x14ac:dyDescent="0.2">
      <c r="H4782" s="19">
        <v>-1.20638701810039E-2</v>
      </c>
    </row>
    <row r="4783" spans="8:8" ht="15" customHeight="1" x14ac:dyDescent="0.2">
      <c r="H4783" s="19">
        <v>9.88854058395351E-3</v>
      </c>
    </row>
    <row r="4784" spans="8:8" ht="15" customHeight="1" x14ac:dyDescent="0.2">
      <c r="H4784" s="19">
        <v>6.7966028442383204E-3</v>
      </c>
    </row>
    <row r="4785" spans="8:8" ht="15" customHeight="1" x14ac:dyDescent="0.2">
      <c r="H4785" s="19">
        <v>-9.8417792581929897E-4</v>
      </c>
    </row>
    <row r="4786" spans="8:8" ht="15" customHeight="1" x14ac:dyDescent="0.2">
      <c r="H4786" s="19">
        <v>4.72927995877783E-3</v>
      </c>
    </row>
    <row r="4787" spans="8:8" ht="15" customHeight="1" x14ac:dyDescent="0.2">
      <c r="H4787" s="19">
        <v>-5.4606843140937097E-3</v>
      </c>
    </row>
    <row r="4788" spans="8:8" ht="15" customHeight="1" x14ac:dyDescent="0.2">
      <c r="H4788" s="19">
        <v>-1.07628995186476E-2</v>
      </c>
    </row>
    <row r="4789" spans="8:8" ht="15" customHeight="1" x14ac:dyDescent="0.2">
      <c r="H4789" s="19">
        <v>1.35725135132936E-2</v>
      </c>
    </row>
    <row r="4790" spans="8:8" ht="15" customHeight="1" x14ac:dyDescent="0.2">
      <c r="H4790" s="19">
        <v>2.8083182785920398E-3</v>
      </c>
    </row>
    <row r="4791" spans="8:8" ht="15" customHeight="1" x14ac:dyDescent="0.2">
      <c r="H4791" s="19">
        <v>1.8961121365858199E-2</v>
      </c>
    </row>
    <row r="4792" spans="8:8" ht="15" customHeight="1" x14ac:dyDescent="0.2">
      <c r="H4792" s="19">
        <v>7.0027412912504203E-3</v>
      </c>
    </row>
    <row r="4793" spans="8:8" ht="15" customHeight="1" x14ac:dyDescent="0.2">
      <c r="H4793" s="19">
        <v>1.7721764923567501E-2</v>
      </c>
    </row>
    <row r="4794" spans="8:8" ht="15" customHeight="1" x14ac:dyDescent="0.2">
      <c r="H4794" s="19">
        <v>-2.19868062660921E-3</v>
      </c>
    </row>
    <row r="4795" spans="8:8" ht="15" customHeight="1" x14ac:dyDescent="0.2">
      <c r="H4795" s="19">
        <v>1.0217874049222E-2</v>
      </c>
    </row>
    <row r="4796" spans="8:8" ht="15" customHeight="1" x14ac:dyDescent="0.2">
      <c r="H4796" s="19">
        <v>-9.4720787297079903E-3</v>
      </c>
    </row>
    <row r="4797" spans="8:8" ht="15" customHeight="1" x14ac:dyDescent="0.2">
      <c r="H4797" s="19">
        <v>6.24138402948393E-3</v>
      </c>
    </row>
    <row r="4798" spans="8:8" ht="15" customHeight="1" x14ac:dyDescent="0.2">
      <c r="H4798" s="19">
        <v>5.43125103686758E-3</v>
      </c>
    </row>
    <row r="4799" spans="8:8" ht="15" customHeight="1" x14ac:dyDescent="0.2">
      <c r="H4799" s="19">
        <v>5.7319032218552002E-4</v>
      </c>
    </row>
    <row r="4800" spans="8:8" ht="15" customHeight="1" x14ac:dyDescent="0.2">
      <c r="H4800" s="19">
        <v>5.05875370539289E-3</v>
      </c>
    </row>
    <row r="4801" spans="8:8" ht="15" customHeight="1" x14ac:dyDescent="0.2">
      <c r="H4801" s="19">
        <v>-1.36589895457855E-2</v>
      </c>
    </row>
    <row r="4802" spans="8:8" ht="15" customHeight="1" x14ac:dyDescent="0.2">
      <c r="H4802" s="19">
        <v>4.0150072051177901E-3</v>
      </c>
    </row>
    <row r="4803" spans="8:8" ht="15" customHeight="1" x14ac:dyDescent="0.2">
      <c r="H4803" s="19">
        <v>-5.0550410913100495E-4</v>
      </c>
    </row>
    <row r="4804" spans="8:8" ht="15" customHeight="1" x14ac:dyDescent="0.2">
      <c r="H4804" s="19">
        <v>1.4853573243292699E-3</v>
      </c>
    </row>
    <row r="4805" spans="8:8" ht="15" customHeight="1" x14ac:dyDescent="0.2">
      <c r="H4805" s="19">
        <v>1.24668908794181E-2</v>
      </c>
    </row>
    <row r="4806" spans="8:8" ht="15" customHeight="1" x14ac:dyDescent="0.2">
      <c r="H4806" s="19">
        <v>-1.41289037933927E-2</v>
      </c>
    </row>
    <row r="4807" spans="8:8" ht="15" customHeight="1" x14ac:dyDescent="0.2">
      <c r="H4807" s="19">
        <v>-5.1889111868203197E-3</v>
      </c>
    </row>
    <row r="4808" spans="8:8" ht="15" customHeight="1" x14ac:dyDescent="0.2">
      <c r="H4808" s="19">
        <v>6.3650427540133201E-3</v>
      </c>
    </row>
    <row r="4809" spans="8:8" ht="15" customHeight="1" x14ac:dyDescent="0.2">
      <c r="H4809" s="19">
        <v>-3.6773619292238902E-3</v>
      </c>
    </row>
    <row r="4810" spans="8:8" ht="15" customHeight="1" x14ac:dyDescent="0.2">
      <c r="H4810" s="19">
        <v>5.8745169459909902E-3</v>
      </c>
    </row>
    <row r="4811" spans="8:8" ht="15" customHeight="1" x14ac:dyDescent="0.2">
      <c r="H4811" s="19">
        <v>2.1559716816102002E-3</v>
      </c>
    </row>
    <row r="4812" spans="8:8" ht="15" customHeight="1" x14ac:dyDescent="0.2">
      <c r="H4812" s="19">
        <v>-7.6346160536512704E-3</v>
      </c>
    </row>
    <row r="4813" spans="8:8" ht="15" customHeight="1" x14ac:dyDescent="0.2">
      <c r="H4813" s="19">
        <v>-7.1020714705820602E-4</v>
      </c>
    </row>
    <row r="4814" spans="8:8" ht="15" customHeight="1" x14ac:dyDescent="0.2">
      <c r="H4814" s="19">
        <v>4.0871995123064001E-3</v>
      </c>
    </row>
    <row r="4815" spans="8:8" ht="15" customHeight="1" x14ac:dyDescent="0.2">
      <c r="H4815" s="19">
        <v>3.38654019509037E-3</v>
      </c>
    </row>
    <row r="4816" spans="8:8" ht="15" customHeight="1" x14ac:dyDescent="0.2">
      <c r="H4816" s="19">
        <v>2.1807146252185898E-3</v>
      </c>
    </row>
    <row r="4817" spans="8:8" ht="15" customHeight="1" x14ac:dyDescent="0.2">
      <c r="H4817" s="19">
        <v>1.1641301914450499E-2</v>
      </c>
    </row>
    <row r="4818" spans="8:8" ht="15" customHeight="1" x14ac:dyDescent="0.2">
      <c r="H4818" s="19">
        <v>2.6795523749629001E-3</v>
      </c>
    </row>
    <row r="4819" spans="8:8" ht="15" customHeight="1" x14ac:dyDescent="0.2">
      <c r="H4819" s="19">
        <v>6.4611079592009103E-3</v>
      </c>
    </row>
    <row r="4820" spans="8:8" ht="15" customHeight="1" x14ac:dyDescent="0.2">
      <c r="H4820" s="19">
        <v>-1.1987433409192E-2</v>
      </c>
    </row>
    <row r="4821" spans="8:8" ht="15" customHeight="1" x14ac:dyDescent="0.2">
      <c r="H4821" s="19">
        <v>-1.10425852522831E-2</v>
      </c>
    </row>
    <row r="4822" spans="8:8" ht="15" customHeight="1" x14ac:dyDescent="0.2">
      <c r="H4822" s="19">
        <v>-1.5752228129033201E-2</v>
      </c>
    </row>
    <row r="4823" spans="8:8" ht="15" customHeight="1" x14ac:dyDescent="0.2">
      <c r="H4823" s="19">
        <v>3.1612367309300201E-3</v>
      </c>
    </row>
    <row r="4824" spans="8:8" ht="15" customHeight="1" x14ac:dyDescent="0.2">
      <c r="H4824" s="19">
        <v>-6.2315883391055801E-3</v>
      </c>
    </row>
    <row r="4825" spans="8:8" ht="15" customHeight="1" x14ac:dyDescent="0.2">
      <c r="H4825" s="19">
        <v>1.3693577877716601E-3</v>
      </c>
    </row>
    <row r="4826" spans="8:8" ht="15" customHeight="1" x14ac:dyDescent="0.2">
      <c r="H4826" s="19">
        <v>-3.7624605413502901E-3</v>
      </c>
    </row>
    <row r="4827" spans="8:8" ht="15" customHeight="1" x14ac:dyDescent="0.2">
      <c r="H4827" s="19">
        <v>-1.53827079436716E-2</v>
      </c>
    </row>
    <row r="4828" spans="8:8" ht="15" customHeight="1" x14ac:dyDescent="0.2">
      <c r="H4828" s="19">
        <v>-8.2399626040457492E-3</v>
      </c>
    </row>
    <row r="4829" spans="8:8" ht="15" customHeight="1" x14ac:dyDescent="0.2">
      <c r="H4829" s="19">
        <v>-9.1920207192037195E-3</v>
      </c>
    </row>
    <row r="4830" spans="8:8" ht="15" customHeight="1" x14ac:dyDescent="0.2">
      <c r="H4830" s="19">
        <v>1.40777356371092E-2</v>
      </c>
    </row>
    <row r="4831" spans="8:8" ht="15" customHeight="1" x14ac:dyDescent="0.2">
      <c r="H4831" s="19">
        <v>2.8403439815969499E-3</v>
      </c>
    </row>
    <row r="4832" spans="8:8" ht="15" customHeight="1" x14ac:dyDescent="0.2">
      <c r="H4832" s="19">
        <v>-1.2052482917376799E-2</v>
      </c>
    </row>
    <row r="4833" spans="8:8" ht="15" customHeight="1" x14ac:dyDescent="0.2">
      <c r="H4833" s="19">
        <v>-1.6574946795951399E-2</v>
      </c>
    </row>
    <row r="4834" spans="8:8" ht="15" customHeight="1" x14ac:dyDescent="0.2">
      <c r="H4834" s="19">
        <v>-9.3291990814392007E-3</v>
      </c>
    </row>
    <row r="4835" spans="8:8" ht="15" customHeight="1" x14ac:dyDescent="0.2">
      <c r="H4835" s="19">
        <v>-8.6279603895466003E-3</v>
      </c>
    </row>
    <row r="4836" spans="8:8" ht="15" customHeight="1" x14ac:dyDescent="0.2">
      <c r="H4836" s="19">
        <v>1.13750724803233E-2</v>
      </c>
    </row>
    <row r="4837" spans="8:8" ht="15" customHeight="1" x14ac:dyDescent="0.2">
      <c r="H4837" s="19">
        <v>7.0363478003381604E-3</v>
      </c>
    </row>
    <row r="4838" spans="8:8" ht="15" customHeight="1" x14ac:dyDescent="0.2">
      <c r="H4838" s="19">
        <v>-1.07921928721326E-2</v>
      </c>
    </row>
    <row r="4839" spans="8:8" ht="15" customHeight="1" x14ac:dyDescent="0.2">
      <c r="H4839" s="19">
        <v>2.6433288931737098E-3</v>
      </c>
    </row>
    <row r="4840" spans="8:8" ht="15" customHeight="1" x14ac:dyDescent="0.2">
      <c r="H4840" s="19">
        <v>1.5834092504637999E-2</v>
      </c>
    </row>
    <row r="4841" spans="8:8" ht="15" customHeight="1" x14ac:dyDescent="0.2">
      <c r="H4841" s="19">
        <v>-6.2416572052670302E-3</v>
      </c>
    </row>
    <row r="4842" spans="8:8" ht="15" customHeight="1" x14ac:dyDescent="0.2">
      <c r="H4842" s="19">
        <v>-8.0222474453730108E-3</v>
      </c>
    </row>
    <row r="4843" spans="8:8" ht="15" customHeight="1" x14ac:dyDescent="0.2">
      <c r="H4843" s="19">
        <v>1.08695470678369E-3</v>
      </c>
    </row>
    <row r="4844" spans="8:8" ht="15" customHeight="1" x14ac:dyDescent="0.2">
      <c r="H4844" s="19">
        <v>-1.27243500141654E-2</v>
      </c>
    </row>
    <row r="4845" spans="8:8" ht="15" customHeight="1" x14ac:dyDescent="0.2">
      <c r="H4845" s="19">
        <v>-4.9667599295366901E-3</v>
      </c>
    </row>
    <row r="4846" spans="8:8" ht="15" customHeight="1" x14ac:dyDescent="0.2">
      <c r="H4846" s="19">
        <v>1.18897552688418E-2</v>
      </c>
    </row>
    <row r="4847" spans="8:8" ht="15" customHeight="1" x14ac:dyDescent="0.2">
      <c r="H4847" s="19">
        <v>-8.9912758156687599E-3</v>
      </c>
    </row>
    <row r="4848" spans="8:8" ht="15" customHeight="1" x14ac:dyDescent="0.2">
      <c r="H4848" s="19">
        <v>-2.6571019182126299E-3</v>
      </c>
    </row>
    <row r="4849" spans="8:8" ht="15" customHeight="1" x14ac:dyDescent="0.2">
      <c r="H4849" s="19">
        <v>8.7710740610972195E-3</v>
      </c>
    </row>
    <row r="4850" spans="8:8" ht="15" customHeight="1" x14ac:dyDescent="0.2">
      <c r="H4850" s="19">
        <v>-1.38102963774529E-2</v>
      </c>
    </row>
    <row r="4851" spans="8:8" ht="15" customHeight="1" x14ac:dyDescent="0.2">
      <c r="H4851" s="19">
        <v>-3.8098040927354998E-3</v>
      </c>
    </row>
    <row r="4852" spans="8:8" ht="15" customHeight="1" x14ac:dyDescent="0.2">
      <c r="H4852" s="19">
        <v>-5.2925549773784704E-3</v>
      </c>
    </row>
    <row r="4853" spans="8:8" ht="15" customHeight="1" x14ac:dyDescent="0.2">
      <c r="H4853" s="19">
        <v>4.8274651428041699E-3</v>
      </c>
    </row>
    <row r="4854" spans="8:8" ht="15" customHeight="1" x14ac:dyDescent="0.2">
      <c r="H4854" s="19">
        <v>-3.11272603108182E-3</v>
      </c>
    </row>
    <row r="4855" spans="8:8" ht="15" customHeight="1" x14ac:dyDescent="0.2">
      <c r="H4855" s="19">
        <v>5.7672829313396498E-3</v>
      </c>
    </row>
    <row r="4856" spans="8:8" ht="15" customHeight="1" x14ac:dyDescent="0.2">
      <c r="H4856" s="19">
        <v>7.8466325094497993E-3</v>
      </c>
    </row>
    <row r="4857" spans="8:8" ht="15" customHeight="1" x14ac:dyDescent="0.2">
      <c r="H4857" s="19">
        <v>1.17832235629805E-2</v>
      </c>
    </row>
    <row r="4858" spans="8:8" ht="15" customHeight="1" x14ac:dyDescent="0.2">
      <c r="H4858" s="19">
        <v>-3.23128151864898E-3</v>
      </c>
    </row>
    <row r="4859" spans="8:8" ht="15" customHeight="1" x14ac:dyDescent="0.2">
      <c r="H4859" s="19">
        <v>2.1467749985896099E-2</v>
      </c>
    </row>
    <row r="4860" spans="8:8" ht="15" customHeight="1" x14ac:dyDescent="0.2">
      <c r="H4860" s="19">
        <v>-7.6672765994395299E-3</v>
      </c>
    </row>
    <row r="4861" spans="8:8" ht="15" customHeight="1" x14ac:dyDescent="0.2">
      <c r="H4861" s="19">
        <v>-2.3148766043675498E-2</v>
      </c>
    </row>
    <row r="4862" spans="8:8" ht="15" customHeight="1" x14ac:dyDescent="0.2">
      <c r="H4862" s="19">
        <v>-1.7938160656356499E-2</v>
      </c>
    </row>
    <row r="4863" spans="8:8" ht="15" customHeight="1" x14ac:dyDescent="0.2">
      <c r="H4863" s="19">
        <v>3.4723411205456098E-3</v>
      </c>
    </row>
    <row r="4864" spans="8:8" ht="15" customHeight="1" x14ac:dyDescent="0.2">
      <c r="H4864" s="19">
        <v>-1.03446307857528E-2</v>
      </c>
    </row>
    <row r="4865" spans="8:8" ht="15" customHeight="1" x14ac:dyDescent="0.2">
      <c r="H4865" s="19">
        <v>-1.4126135221024501E-3</v>
      </c>
    </row>
    <row r="4866" spans="8:8" ht="15" customHeight="1" x14ac:dyDescent="0.2">
      <c r="H4866" s="19">
        <v>6.5957444653398896E-3</v>
      </c>
    </row>
    <row r="4867" spans="8:8" ht="15" customHeight="1" x14ac:dyDescent="0.2">
      <c r="H4867" s="19">
        <v>2.7692136232721001E-3</v>
      </c>
    </row>
    <row r="4868" spans="8:8" ht="15" customHeight="1" x14ac:dyDescent="0.2">
      <c r="H4868" s="19">
        <v>3.9120177659341298E-3</v>
      </c>
    </row>
    <row r="4869" spans="8:8" ht="15" customHeight="1" x14ac:dyDescent="0.2">
      <c r="H4869" s="19">
        <v>-1.10627028572411E-2</v>
      </c>
    </row>
    <row r="4870" spans="8:8" ht="15" customHeight="1" x14ac:dyDescent="0.2">
      <c r="H4870" s="19">
        <v>1.50635877056477E-2</v>
      </c>
    </row>
    <row r="4871" spans="8:8" ht="15" customHeight="1" x14ac:dyDescent="0.2">
      <c r="H4871" s="19">
        <v>-9.4345925830644408E-3</v>
      </c>
    </row>
    <row r="4872" spans="8:8" ht="15" customHeight="1" x14ac:dyDescent="0.2">
      <c r="H4872" s="19">
        <v>2.03753891822262E-2</v>
      </c>
    </row>
    <row r="4873" spans="8:8" ht="15" customHeight="1" x14ac:dyDescent="0.2">
      <c r="H4873" s="19">
        <v>-7.9554917902006708E-3</v>
      </c>
    </row>
    <row r="4874" spans="8:8" ht="15" customHeight="1" x14ac:dyDescent="0.2">
      <c r="H4874" s="19">
        <v>8.41489221060371E-3</v>
      </c>
    </row>
    <row r="4875" spans="8:8" ht="15" customHeight="1" x14ac:dyDescent="0.2">
      <c r="H4875" s="19">
        <v>2.67524307601457E-4</v>
      </c>
    </row>
    <row r="4876" spans="8:8" ht="15" customHeight="1" x14ac:dyDescent="0.2">
      <c r="H4876" s="19">
        <v>-1.98201709622026E-3</v>
      </c>
    </row>
    <row r="4877" spans="8:8" ht="15" customHeight="1" x14ac:dyDescent="0.2">
      <c r="H4877" s="19">
        <v>-1.0341895684866499E-3</v>
      </c>
    </row>
    <row r="4878" spans="8:8" ht="15" customHeight="1" x14ac:dyDescent="0.2">
      <c r="H4878" s="19">
        <v>1.15768208134491E-2</v>
      </c>
    </row>
    <row r="4879" spans="8:8" ht="15" customHeight="1" x14ac:dyDescent="0.2">
      <c r="H4879" s="19">
        <v>6.0341762559162401E-3</v>
      </c>
    </row>
    <row r="4880" spans="8:8" ht="15" customHeight="1" x14ac:dyDescent="0.2">
      <c r="H4880" s="19">
        <v>9.6482417720794803E-3</v>
      </c>
    </row>
    <row r="4881" spans="8:8" ht="15" customHeight="1" x14ac:dyDescent="0.2">
      <c r="H4881" s="19">
        <v>-1.3938999704775001E-3</v>
      </c>
    </row>
    <row r="4882" spans="8:8" ht="15" customHeight="1" x14ac:dyDescent="0.2">
      <c r="H4882" s="19">
        <v>1.0780894573076099E-3</v>
      </c>
    </row>
    <row r="4883" spans="8:8" ht="15" customHeight="1" x14ac:dyDescent="0.2">
      <c r="H4883" s="19">
        <v>-8.6614140986225902E-3</v>
      </c>
    </row>
    <row r="4884" spans="8:8" ht="15" customHeight="1" x14ac:dyDescent="0.2">
      <c r="H4884" s="19">
        <v>8.9721713416402692E-3</v>
      </c>
    </row>
    <row r="4885" spans="8:8" ht="15" customHeight="1" x14ac:dyDescent="0.2">
      <c r="H4885" s="19">
        <v>-1.19365597608798E-2</v>
      </c>
    </row>
    <row r="4886" spans="8:8" ht="15" customHeight="1" x14ac:dyDescent="0.2">
      <c r="H4886" s="19">
        <v>1.0310920608109401E-2</v>
      </c>
    </row>
    <row r="4887" spans="8:8" ht="15" customHeight="1" x14ac:dyDescent="0.2">
      <c r="H4887" s="19">
        <v>2.19626778900184E-3</v>
      </c>
    </row>
    <row r="4888" spans="8:8" ht="15" customHeight="1" x14ac:dyDescent="0.2">
      <c r="H4888" s="19">
        <v>-7.52239027271302E-3</v>
      </c>
    </row>
    <row r="4889" spans="8:8" ht="15" customHeight="1" x14ac:dyDescent="0.2">
      <c r="H4889" s="19">
        <v>1.4496516202480599E-2</v>
      </c>
    </row>
    <row r="4890" spans="8:8" ht="15" customHeight="1" x14ac:dyDescent="0.2">
      <c r="H4890" s="19">
        <v>1.49245545915568E-3</v>
      </c>
    </row>
    <row r="4891" spans="8:8" ht="15" customHeight="1" x14ac:dyDescent="0.2">
      <c r="H4891" s="19">
        <v>1.53583751239904E-2</v>
      </c>
    </row>
    <row r="4892" spans="8:8" ht="15" customHeight="1" x14ac:dyDescent="0.2">
      <c r="H4892" s="19">
        <v>1.0144007754914501E-2</v>
      </c>
    </row>
    <row r="4893" spans="8:8" ht="15" customHeight="1" x14ac:dyDescent="0.2">
      <c r="H4893" s="19">
        <v>1.0278065454164599E-2</v>
      </c>
    </row>
    <row r="4894" spans="8:8" ht="15" customHeight="1" x14ac:dyDescent="0.2">
      <c r="H4894" s="19">
        <v>-2.90962390066955E-4</v>
      </c>
    </row>
    <row r="4895" spans="8:8" ht="15" customHeight="1" x14ac:dyDescent="0.2">
      <c r="H4895" s="19">
        <v>-2.9361572032443901E-3</v>
      </c>
    </row>
    <row r="4896" spans="8:8" ht="15" customHeight="1" x14ac:dyDescent="0.2">
      <c r="H4896" s="19">
        <v>-1.30686885900062E-2</v>
      </c>
    </row>
    <row r="4897" spans="8:8" ht="15" customHeight="1" x14ac:dyDescent="0.2">
      <c r="H4897" s="19">
        <v>1.11159339603038E-2</v>
      </c>
    </row>
    <row r="4898" spans="8:8" ht="15" customHeight="1" x14ac:dyDescent="0.2">
      <c r="H4898" s="19">
        <v>-2.6934119723715001E-2</v>
      </c>
    </row>
    <row r="4899" spans="8:8" ht="15" customHeight="1" x14ac:dyDescent="0.2">
      <c r="H4899" s="19">
        <v>-2.0625133881773498E-2</v>
      </c>
    </row>
    <row r="4900" spans="8:8" ht="15" customHeight="1" x14ac:dyDescent="0.2">
      <c r="H4900" s="19">
        <v>-1.4878800089169499E-2</v>
      </c>
    </row>
    <row r="4901" spans="8:8" ht="15" customHeight="1" x14ac:dyDescent="0.2">
      <c r="H4901" s="19">
        <v>-3.06709816783198E-3</v>
      </c>
    </row>
    <row r="4902" spans="8:8" ht="15" customHeight="1" x14ac:dyDescent="0.2">
      <c r="H4902" s="19">
        <v>4.17998594318293E-3</v>
      </c>
    </row>
    <row r="4903" spans="8:8" ht="15" customHeight="1" x14ac:dyDescent="0.2">
      <c r="H4903" s="19">
        <v>2.71180538548129E-3</v>
      </c>
    </row>
    <row r="4904" spans="8:8" ht="15" customHeight="1" x14ac:dyDescent="0.2">
      <c r="H4904" s="19">
        <v>6.3044852485301204E-3</v>
      </c>
    </row>
    <row r="4905" spans="8:8" ht="15" customHeight="1" x14ac:dyDescent="0.2">
      <c r="H4905" s="19">
        <v>-1.6602593828475101E-3</v>
      </c>
    </row>
    <row r="4906" spans="8:8" ht="15" customHeight="1" x14ac:dyDescent="0.2">
      <c r="H4906" s="19">
        <v>2.2050222666659399E-4</v>
      </c>
    </row>
    <row r="4907" spans="8:8" ht="15" customHeight="1" x14ac:dyDescent="0.2">
      <c r="H4907" s="19">
        <v>-2.02583374259016E-2</v>
      </c>
    </row>
    <row r="4908" spans="8:8" ht="15" customHeight="1" x14ac:dyDescent="0.2">
      <c r="H4908" s="19">
        <v>-1.23992218188225E-3</v>
      </c>
    </row>
    <row r="4909" spans="8:8" ht="15" customHeight="1" x14ac:dyDescent="0.2">
      <c r="H4909" s="19">
        <v>8.7626620881875294E-3</v>
      </c>
    </row>
    <row r="4910" spans="8:8" ht="15" customHeight="1" x14ac:dyDescent="0.2">
      <c r="H4910" s="19">
        <v>-7.9050145329168792E-3</v>
      </c>
    </row>
    <row r="4911" spans="8:8" ht="15" customHeight="1" x14ac:dyDescent="0.2">
      <c r="H4911" s="19">
        <v>-1.7648220665734799E-4</v>
      </c>
    </row>
    <row r="4912" spans="8:8" ht="15" customHeight="1" x14ac:dyDescent="0.2">
      <c r="H4912" s="19">
        <v>6.2570580303360603E-3</v>
      </c>
    </row>
    <row r="4913" spans="8:8" ht="15" customHeight="1" x14ac:dyDescent="0.2">
      <c r="H4913" s="19">
        <v>-1.47563211111641E-2</v>
      </c>
    </row>
    <row r="4914" spans="8:8" ht="15" customHeight="1" x14ac:dyDescent="0.2">
      <c r="H4914" s="19">
        <v>-5.9762987369606701E-3</v>
      </c>
    </row>
    <row r="4915" spans="8:8" ht="15" customHeight="1" x14ac:dyDescent="0.2">
      <c r="H4915" s="19">
        <v>-4.4452189575371996E-3</v>
      </c>
    </row>
    <row r="4916" spans="8:8" ht="15" customHeight="1" x14ac:dyDescent="0.2">
      <c r="H4916" s="19">
        <v>1.0803887821249599E-2</v>
      </c>
    </row>
    <row r="4917" spans="8:8" ht="15" customHeight="1" x14ac:dyDescent="0.2">
      <c r="H4917" s="19">
        <v>-1.5829732615849901E-2</v>
      </c>
    </row>
    <row r="4918" spans="8:8" ht="15" customHeight="1" x14ac:dyDescent="0.2">
      <c r="H4918" s="19">
        <v>-1.0327198732758201E-2</v>
      </c>
    </row>
    <row r="4919" spans="8:8" ht="15" customHeight="1" x14ac:dyDescent="0.2">
      <c r="H4919" s="19">
        <v>1.05095565943422E-2</v>
      </c>
    </row>
    <row r="4920" spans="8:8" ht="15" customHeight="1" x14ac:dyDescent="0.2">
      <c r="H4920" s="19">
        <v>5.1254003631948496E-3</v>
      </c>
    </row>
    <row r="4921" spans="8:8" ht="15" customHeight="1" x14ac:dyDescent="0.2">
      <c r="H4921" s="19">
        <v>1.5507705276522199E-2</v>
      </c>
    </row>
    <row r="4922" spans="8:8" ht="15" customHeight="1" x14ac:dyDescent="0.2">
      <c r="H4922" s="19">
        <v>-6.4770103441777402E-3</v>
      </c>
    </row>
    <row r="4923" spans="8:8" ht="15" customHeight="1" x14ac:dyDescent="0.2">
      <c r="H4923" s="19">
        <v>1.38130893883866E-2</v>
      </c>
    </row>
    <row r="4924" spans="8:8" ht="15" customHeight="1" x14ac:dyDescent="0.2">
      <c r="H4924" s="19">
        <v>-3.6251555197999801E-3</v>
      </c>
    </row>
    <row r="4925" spans="8:8" ht="15" customHeight="1" x14ac:dyDescent="0.2">
      <c r="H4925" s="19">
        <v>-3.0075536855427801E-3</v>
      </c>
    </row>
    <row r="4926" spans="8:8" ht="15" customHeight="1" x14ac:dyDescent="0.2">
      <c r="H4926" s="19">
        <v>9.2326148914021397E-3</v>
      </c>
    </row>
    <row r="4927" spans="8:8" ht="15" customHeight="1" x14ac:dyDescent="0.2">
      <c r="H4927" s="19">
        <v>-1.43585092136772E-3</v>
      </c>
    </row>
    <row r="4928" spans="8:8" ht="15" customHeight="1" x14ac:dyDescent="0.2">
      <c r="H4928" s="19">
        <v>1.0697293480724599E-3</v>
      </c>
    </row>
    <row r="4929" spans="8:8" ht="15" customHeight="1" x14ac:dyDescent="0.2">
      <c r="H4929" s="19">
        <v>-4.5712449371513903E-4</v>
      </c>
    </row>
    <row r="4930" spans="8:8" ht="15" customHeight="1" x14ac:dyDescent="0.2">
      <c r="H4930" s="19">
        <v>9.5653776277572801E-3</v>
      </c>
    </row>
    <row r="4931" spans="8:8" ht="15" customHeight="1" x14ac:dyDescent="0.2">
      <c r="H4931" s="19">
        <v>2.95983513769861E-3</v>
      </c>
    </row>
    <row r="4932" spans="8:8" ht="15" customHeight="1" x14ac:dyDescent="0.2">
      <c r="H4932" s="19">
        <v>-4.79409821169283E-3</v>
      </c>
    </row>
    <row r="4933" spans="8:8" ht="15" customHeight="1" x14ac:dyDescent="0.2">
      <c r="H4933" s="19">
        <v>5.5685587886652697E-3</v>
      </c>
    </row>
    <row r="4934" spans="8:8" ht="15" customHeight="1" x14ac:dyDescent="0.2">
      <c r="H4934" s="19">
        <v>-1.2583064647378899E-3</v>
      </c>
    </row>
    <row r="4935" spans="8:8" ht="15" customHeight="1" x14ac:dyDescent="0.2">
      <c r="H4935" s="19">
        <v>1.5085363900320401E-3</v>
      </c>
    </row>
    <row r="4936" spans="8:8" ht="15" customHeight="1" x14ac:dyDescent="0.2">
      <c r="H4936" s="19">
        <v>-2.1981363182579001E-2</v>
      </c>
    </row>
    <row r="4937" spans="8:8" ht="15" customHeight="1" x14ac:dyDescent="0.2">
      <c r="H4937" s="19">
        <v>2.0817661608823401E-3</v>
      </c>
    </row>
    <row r="4938" spans="8:8" ht="15" customHeight="1" x14ac:dyDescent="0.2">
      <c r="H4938" s="19">
        <v>4.4539990040444203E-3</v>
      </c>
    </row>
    <row r="4939" spans="8:8" ht="15" customHeight="1" x14ac:dyDescent="0.2">
      <c r="H4939" s="19">
        <v>1.43838293213374E-2</v>
      </c>
    </row>
    <row r="4940" spans="8:8" ht="15" customHeight="1" x14ac:dyDescent="0.2">
      <c r="H4940" s="19">
        <v>-2.2460302885451201E-3</v>
      </c>
    </row>
    <row r="4941" spans="8:8" ht="15" customHeight="1" x14ac:dyDescent="0.2">
      <c r="H4941" s="19">
        <v>7.3396680907699405E-4</v>
      </c>
    </row>
    <row r="4942" spans="8:8" ht="15" customHeight="1" x14ac:dyDescent="0.2">
      <c r="H4942" s="19">
        <v>-1.2107224228686301E-2</v>
      </c>
    </row>
    <row r="4943" spans="8:8" ht="15" customHeight="1" x14ac:dyDescent="0.2">
      <c r="H4943" s="19">
        <v>-1.6492344566105201E-3</v>
      </c>
    </row>
    <row r="4944" spans="8:8" ht="15" customHeight="1" x14ac:dyDescent="0.2">
      <c r="H4944" s="19">
        <v>-7.9100311392158208E-3</v>
      </c>
    </row>
    <row r="4945" spans="8:8" ht="15" customHeight="1" x14ac:dyDescent="0.2">
      <c r="H4945" s="19">
        <v>1.35143716640565E-2</v>
      </c>
    </row>
    <row r="4946" spans="8:8" ht="15" customHeight="1" x14ac:dyDescent="0.2">
      <c r="H4946" s="19">
        <v>-9.4161742803199402E-3</v>
      </c>
    </row>
    <row r="4947" spans="8:8" ht="15" customHeight="1" x14ac:dyDescent="0.2">
      <c r="H4947" s="19">
        <v>-4.63456617475742E-3</v>
      </c>
    </row>
    <row r="4948" spans="8:8" ht="15" customHeight="1" x14ac:dyDescent="0.2">
      <c r="H4948" s="19">
        <v>-2.35194966018496E-3</v>
      </c>
    </row>
    <row r="4949" spans="8:8" ht="15" customHeight="1" x14ac:dyDescent="0.2">
      <c r="H4949" s="19">
        <v>2.13755950012674E-2</v>
      </c>
    </row>
    <row r="4950" spans="8:8" ht="15" customHeight="1" x14ac:dyDescent="0.2">
      <c r="H4950" s="19">
        <v>-8.7688263799475894E-3</v>
      </c>
    </row>
    <row r="4951" spans="8:8" ht="15" customHeight="1" x14ac:dyDescent="0.2">
      <c r="H4951" s="19">
        <v>5.4797944759482397E-3</v>
      </c>
    </row>
    <row r="4952" spans="8:8" ht="15" customHeight="1" x14ac:dyDescent="0.2">
      <c r="H4952" s="19">
        <v>-1.9518649622384102E-2</v>
      </c>
    </row>
    <row r="4953" spans="8:8" ht="15" customHeight="1" x14ac:dyDescent="0.2">
      <c r="H4953" s="19">
        <v>-7.4892933094117898E-3</v>
      </c>
    </row>
    <row r="4954" spans="8:8" ht="15" customHeight="1" x14ac:dyDescent="0.2">
      <c r="H4954" s="19">
        <v>-1.09140471452315E-2</v>
      </c>
    </row>
    <row r="4955" spans="8:8" ht="15" customHeight="1" x14ac:dyDescent="0.2">
      <c r="H4955" s="19">
        <v>-5.6026394968365896E-3</v>
      </c>
    </row>
    <row r="4956" spans="8:8" ht="15" customHeight="1" x14ac:dyDescent="0.2">
      <c r="H4956" s="19">
        <v>-4.6052816746148901E-3</v>
      </c>
    </row>
    <row r="4957" spans="8:8" ht="15" customHeight="1" x14ac:dyDescent="0.2">
      <c r="H4957" s="19">
        <v>9.0789772348580499E-3</v>
      </c>
    </row>
    <row r="4958" spans="8:8" ht="15" customHeight="1" x14ac:dyDescent="0.2">
      <c r="H4958" s="19">
        <v>7.91944550511243E-3</v>
      </c>
    </row>
    <row r="4959" spans="8:8" ht="15" customHeight="1" x14ac:dyDescent="0.2">
      <c r="H4959" s="19">
        <v>2.1188431144422998E-3</v>
      </c>
    </row>
    <row r="4960" spans="8:8" ht="15" customHeight="1" x14ac:dyDescent="0.2">
      <c r="H4960" s="19">
        <v>-1.48778780719652E-2</v>
      </c>
    </row>
    <row r="4961" spans="8:8" ht="15" customHeight="1" x14ac:dyDescent="0.2">
      <c r="H4961" s="19">
        <v>-3.4242333628850701E-3</v>
      </c>
    </row>
    <row r="4962" spans="8:8" ht="15" customHeight="1" x14ac:dyDescent="0.2">
      <c r="H4962" s="19">
        <v>-1.4135439927701301E-2</v>
      </c>
    </row>
    <row r="4963" spans="8:8" ht="15" customHeight="1" x14ac:dyDescent="0.2">
      <c r="H4963" s="19">
        <v>9.40469598454928E-3</v>
      </c>
    </row>
    <row r="4964" spans="8:8" ht="15" customHeight="1" x14ac:dyDescent="0.2">
      <c r="H4964" s="19">
        <v>3.6216212180738202E-4</v>
      </c>
    </row>
    <row r="4965" spans="8:8" ht="15" customHeight="1" x14ac:dyDescent="0.2">
      <c r="H4965" s="19">
        <v>3.4530144132351198E-2</v>
      </c>
    </row>
    <row r="4966" spans="8:8" ht="15" customHeight="1" x14ac:dyDescent="0.2">
      <c r="H4966" s="19">
        <v>4.9746685541801703E-3</v>
      </c>
    </row>
    <row r="4967" spans="8:8" ht="15" customHeight="1" x14ac:dyDescent="0.2">
      <c r="H4967" s="19">
        <v>-1.4295897660676699E-2</v>
      </c>
    </row>
    <row r="4968" spans="8:8" ht="15" customHeight="1" x14ac:dyDescent="0.2">
      <c r="H4968" s="19">
        <v>-1.3505711416310901E-2</v>
      </c>
    </row>
    <row r="4969" spans="8:8" ht="15" customHeight="1" x14ac:dyDescent="0.2">
      <c r="H4969" s="19">
        <v>-7.3267762357914898E-3</v>
      </c>
    </row>
    <row r="4970" spans="8:8" ht="15" customHeight="1" x14ac:dyDescent="0.2">
      <c r="H4970" s="19">
        <v>-1.30180706478872E-2</v>
      </c>
    </row>
    <row r="4971" spans="8:8" ht="15" customHeight="1" x14ac:dyDescent="0.2">
      <c r="H4971" s="19">
        <v>4.5839267321699396E-3</v>
      </c>
    </row>
    <row r="4972" spans="8:8" ht="15" customHeight="1" x14ac:dyDescent="0.2">
      <c r="H4972" s="19">
        <v>-1.8884694957986201E-3</v>
      </c>
    </row>
    <row r="4973" spans="8:8" ht="15" customHeight="1" x14ac:dyDescent="0.2">
      <c r="H4973" s="19">
        <v>5.42643349892993E-3</v>
      </c>
    </row>
    <row r="4974" spans="8:8" ht="15" customHeight="1" x14ac:dyDescent="0.2">
      <c r="H4974" s="19">
        <v>1.8897936715645701E-3</v>
      </c>
    </row>
    <row r="4975" spans="8:8" ht="15" customHeight="1" x14ac:dyDescent="0.2">
      <c r="H4975" s="19">
        <v>7.5338499509793903E-3</v>
      </c>
    </row>
    <row r="4976" spans="8:8" ht="15" customHeight="1" x14ac:dyDescent="0.2">
      <c r="H4976" s="19">
        <v>-2.0958911546322301E-3</v>
      </c>
    </row>
    <row r="4977" spans="8:8" ht="15" customHeight="1" x14ac:dyDescent="0.2">
      <c r="H4977" s="19">
        <v>2.4505362335850499E-3</v>
      </c>
    </row>
    <row r="4978" spans="8:8" ht="15" customHeight="1" x14ac:dyDescent="0.2">
      <c r="H4978" s="19">
        <v>4.2856004821918302E-4</v>
      </c>
    </row>
    <row r="4979" spans="8:8" ht="15" customHeight="1" x14ac:dyDescent="0.2">
      <c r="H4979" s="19">
        <v>-4.5915952970048698E-4</v>
      </c>
    </row>
    <row r="4980" spans="8:8" ht="15" customHeight="1" x14ac:dyDescent="0.2">
      <c r="H4980" s="19">
        <v>-9.8520260868273906E-3</v>
      </c>
    </row>
    <row r="4981" spans="8:8" ht="15" customHeight="1" x14ac:dyDescent="0.2">
      <c r="H4981" s="19">
        <v>-1.0325229970555801E-2</v>
      </c>
    </row>
    <row r="4982" spans="8:8" ht="15" customHeight="1" x14ac:dyDescent="0.2">
      <c r="H4982" s="19">
        <v>1.87621183361877E-2</v>
      </c>
    </row>
    <row r="4983" spans="8:8" ht="15" customHeight="1" x14ac:dyDescent="0.2">
      <c r="H4983" s="19">
        <v>-1.05892977344322E-2</v>
      </c>
    </row>
    <row r="4984" spans="8:8" ht="15" customHeight="1" x14ac:dyDescent="0.2">
      <c r="H4984" s="19">
        <v>-7.0303314699575702E-3</v>
      </c>
    </row>
    <row r="4985" spans="8:8" ht="15" customHeight="1" x14ac:dyDescent="0.2">
      <c r="H4985" s="19">
        <v>2.49764162834322E-3</v>
      </c>
    </row>
    <row r="4986" spans="8:8" ht="15" customHeight="1" x14ac:dyDescent="0.2">
      <c r="H4986" s="19">
        <v>9.2794507826076608E-3</v>
      </c>
    </row>
    <row r="4987" spans="8:8" ht="15" customHeight="1" x14ac:dyDescent="0.2">
      <c r="H4987" s="19">
        <v>5.0121542992383099E-3</v>
      </c>
    </row>
    <row r="4988" spans="8:8" ht="15" customHeight="1" x14ac:dyDescent="0.2">
      <c r="H4988" s="19">
        <v>-1.46617600258788E-2</v>
      </c>
    </row>
    <row r="4989" spans="8:8" ht="15" customHeight="1" x14ac:dyDescent="0.2">
      <c r="H4989" s="19">
        <v>-3.0758193361793101E-3</v>
      </c>
    </row>
    <row r="4990" spans="8:8" ht="15" customHeight="1" x14ac:dyDescent="0.2">
      <c r="H4990" s="19">
        <v>4.97181095950239E-3</v>
      </c>
    </row>
    <row r="4991" spans="8:8" ht="15" customHeight="1" x14ac:dyDescent="0.2">
      <c r="H4991" s="19">
        <v>1.5706259997633198E-2</v>
      </c>
    </row>
    <row r="4992" spans="8:8" ht="15" customHeight="1" x14ac:dyDescent="0.2">
      <c r="H4992" s="19">
        <v>5.5539158030694204E-3</v>
      </c>
    </row>
    <row r="4993" spans="8:8" ht="15" customHeight="1" x14ac:dyDescent="0.2">
      <c r="H4993" s="19">
        <v>-8.9150932141223802E-3</v>
      </c>
    </row>
    <row r="4994" spans="8:8" ht="15" customHeight="1" x14ac:dyDescent="0.2">
      <c r="H4994" s="19">
        <v>-1.2043753041168399E-2</v>
      </c>
    </row>
    <row r="4995" spans="8:8" ht="15" customHeight="1" x14ac:dyDescent="0.2">
      <c r="H4995" s="19">
        <v>1.22492826482329E-2</v>
      </c>
    </row>
    <row r="4996" spans="8:8" ht="15" customHeight="1" x14ac:dyDescent="0.2">
      <c r="H4996" s="19">
        <v>9.2579118902573008E-3</v>
      </c>
    </row>
    <row r="4997" spans="8:8" ht="15" customHeight="1" x14ac:dyDescent="0.2">
      <c r="H4997" s="19">
        <v>-8.94943947476768E-3</v>
      </c>
    </row>
    <row r="4998" spans="8:8" ht="15" customHeight="1" x14ac:dyDescent="0.2">
      <c r="H4998" s="19">
        <v>2.2525741024238201E-3</v>
      </c>
    </row>
    <row r="4999" spans="8:8" ht="15" customHeight="1" x14ac:dyDescent="0.2">
      <c r="H4999" s="19">
        <v>-1.8845488259000499E-2</v>
      </c>
    </row>
    <row r="5000" spans="8:8" ht="15" customHeight="1" x14ac:dyDescent="0.2">
      <c r="H5000" s="19">
        <v>-1.0646960194242701E-2</v>
      </c>
    </row>
    <row r="5001" spans="8:8" ht="15" customHeight="1" x14ac:dyDescent="0.2">
      <c r="H5001" s="19">
        <v>-1.53689721421065E-2</v>
      </c>
    </row>
    <row r="5002" spans="8:8" ht="15" customHeight="1" x14ac:dyDescent="0.2">
      <c r="H5002" s="19">
        <v>-2.3499319905991101E-3</v>
      </c>
    </row>
    <row r="5003" spans="8:8" ht="15" customHeight="1" x14ac:dyDescent="0.2">
      <c r="H5003" s="19">
        <v>1.82828234990331E-2</v>
      </c>
    </row>
    <row r="5004" spans="8:8" ht="15" customHeight="1" x14ac:dyDescent="0.2">
      <c r="H5004" s="19">
        <v>-2.9749874718090698E-3</v>
      </c>
    </row>
    <row r="5005" spans="8:8" ht="15" customHeight="1" x14ac:dyDescent="0.2">
      <c r="H5005" s="19">
        <v>7.8723379521363906E-3</v>
      </c>
    </row>
    <row r="5006" spans="8:8" ht="15" customHeight="1" x14ac:dyDescent="0.2">
      <c r="H5006" s="19">
        <v>1.7999446551979398E-2</v>
      </c>
    </row>
    <row r="5007" spans="8:8" ht="15" customHeight="1" x14ac:dyDescent="0.2">
      <c r="H5007" s="19">
        <v>-2.0874058296063602E-2</v>
      </c>
    </row>
    <row r="5008" spans="8:8" ht="15" customHeight="1" x14ac:dyDescent="0.2">
      <c r="H5008" s="19">
        <v>3.9690152712968801E-3</v>
      </c>
    </row>
    <row r="5009" spans="8:8" ht="15" customHeight="1" x14ac:dyDescent="0.2">
      <c r="H5009" s="19">
        <v>3.0950311618390602E-3</v>
      </c>
    </row>
    <row r="5010" spans="8:8" ht="15" customHeight="1" x14ac:dyDescent="0.2">
      <c r="H5010" s="19">
        <v>1.0914333425373301E-2</v>
      </c>
    </row>
    <row r="5011" spans="8:8" ht="15" customHeight="1" x14ac:dyDescent="0.2">
      <c r="H5011" s="19">
        <v>-9.8239573703465602E-3</v>
      </c>
    </row>
    <row r="5012" spans="8:8" ht="15" customHeight="1" x14ac:dyDescent="0.2">
      <c r="H5012" s="19">
        <v>6.02590242019772E-3</v>
      </c>
    </row>
    <row r="5013" spans="8:8" ht="15" customHeight="1" x14ac:dyDescent="0.2">
      <c r="H5013" s="19">
        <v>6.25649870315074E-3</v>
      </c>
    </row>
    <row r="5014" spans="8:8" ht="15" customHeight="1" x14ac:dyDescent="0.2">
      <c r="H5014" s="19">
        <v>-1.5755669326433101E-3</v>
      </c>
    </row>
    <row r="5015" spans="8:8" ht="15" customHeight="1" x14ac:dyDescent="0.2">
      <c r="H5015" s="19">
        <v>1.70195061072696E-2</v>
      </c>
    </row>
    <row r="5016" spans="8:8" ht="15" customHeight="1" x14ac:dyDescent="0.2">
      <c r="H5016" s="19">
        <v>-1.1308768550826199E-2</v>
      </c>
    </row>
    <row r="5017" spans="8:8" ht="15" customHeight="1" x14ac:dyDescent="0.2">
      <c r="H5017" s="19">
        <v>-1.5982422496652899E-3</v>
      </c>
    </row>
    <row r="5018" spans="8:8" ht="15" customHeight="1" x14ac:dyDescent="0.2">
      <c r="H5018" s="19">
        <v>2.0259847660924299E-2</v>
      </c>
    </row>
    <row r="5019" spans="8:8" ht="15" customHeight="1" x14ac:dyDescent="0.2">
      <c r="H5019" s="19">
        <v>7.9333506214078605E-4</v>
      </c>
    </row>
    <row r="5020" spans="8:8" ht="15" customHeight="1" x14ac:dyDescent="0.2">
      <c r="H5020" s="19">
        <v>3.1025871195433101E-3</v>
      </c>
    </row>
    <row r="5021" spans="8:8" ht="15" customHeight="1" x14ac:dyDescent="0.2">
      <c r="H5021" s="19">
        <v>-1.09499586616987E-2</v>
      </c>
    </row>
    <row r="5022" spans="8:8" ht="15" customHeight="1" x14ac:dyDescent="0.2">
      <c r="H5022" s="19">
        <v>2.3659961266195E-3</v>
      </c>
    </row>
    <row r="5023" spans="8:8" ht="15" customHeight="1" x14ac:dyDescent="0.2">
      <c r="H5023" s="19">
        <v>-1.38778253368369E-2</v>
      </c>
    </row>
    <row r="5024" spans="8:8" ht="15" customHeight="1" x14ac:dyDescent="0.2">
      <c r="H5024" s="19">
        <v>-3.9003530892681198E-4</v>
      </c>
    </row>
    <row r="5025" spans="8:8" ht="15" customHeight="1" x14ac:dyDescent="0.2">
      <c r="H5025" s="19">
        <v>1.0572875252980099E-2</v>
      </c>
    </row>
    <row r="5026" spans="8:8" ht="15" customHeight="1" x14ac:dyDescent="0.2">
      <c r="H5026" s="19">
        <v>7.1104426130340998E-3</v>
      </c>
    </row>
    <row r="5027" spans="8:8" ht="15" customHeight="1" x14ac:dyDescent="0.2">
      <c r="H5027" s="19">
        <v>1.8955905885969501E-2</v>
      </c>
    </row>
    <row r="5028" spans="8:8" ht="15" customHeight="1" x14ac:dyDescent="0.2">
      <c r="H5028" s="19">
        <v>6.86517153686351E-3</v>
      </c>
    </row>
    <row r="5029" spans="8:8" ht="15" customHeight="1" x14ac:dyDescent="0.2">
      <c r="H5029" s="19">
        <v>-8.5706603341877199E-3</v>
      </c>
    </row>
    <row r="5030" spans="8:8" ht="15" customHeight="1" x14ac:dyDescent="0.2">
      <c r="H5030" s="19">
        <v>7.4232068046732099E-3</v>
      </c>
    </row>
    <row r="5031" spans="8:8" ht="15" customHeight="1" x14ac:dyDescent="0.2">
      <c r="H5031" s="19">
        <v>-1.1893186814604399E-3</v>
      </c>
    </row>
    <row r="5032" spans="8:8" ht="15" customHeight="1" x14ac:dyDescent="0.2">
      <c r="H5032" s="19">
        <v>7.4152834986680799E-3</v>
      </c>
    </row>
    <row r="5033" spans="8:8" ht="15" customHeight="1" x14ac:dyDescent="0.2">
      <c r="H5033" s="19">
        <v>-1.61770609718799E-2</v>
      </c>
    </row>
    <row r="5034" spans="8:8" ht="15" customHeight="1" x14ac:dyDescent="0.2">
      <c r="H5034" s="19">
        <v>-1.54322790696814E-2</v>
      </c>
    </row>
    <row r="5035" spans="8:8" ht="15" customHeight="1" x14ac:dyDescent="0.2">
      <c r="H5035" s="19">
        <v>5.1968893884665199E-3</v>
      </c>
    </row>
    <row r="5036" spans="8:8" ht="15" customHeight="1" x14ac:dyDescent="0.2">
      <c r="H5036" s="19">
        <v>-5.7643953604600198E-3</v>
      </c>
    </row>
    <row r="5037" spans="8:8" ht="15" customHeight="1" x14ac:dyDescent="0.2">
      <c r="H5037" s="19">
        <v>9.7743375107665095E-4</v>
      </c>
    </row>
    <row r="5038" spans="8:8" ht="15" customHeight="1" x14ac:dyDescent="0.2">
      <c r="H5038" s="19">
        <v>-8.5720422651370497E-3</v>
      </c>
    </row>
    <row r="5039" spans="8:8" ht="15" customHeight="1" x14ac:dyDescent="0.2">
      <c r="H5039" s="19">
        <v>4.8520225043346002E-3</v>
      </c>
    </row>
    <row r="5040" spans="8:8" ht="15" customHeight="1" x14ac:dyDescent="0.2">
      <c r="H5040" s="19">
        <v>-1.16521700923174E-2</v>
      </c>
    </row>
    <row r="5041" spans="8:8" ht="15" customHeight="1" x14ac:dyDescent="0.2">
      <c r="H5041" s="19">
        <v>9.1468861483903693E-3</v>
      </c>
    </row>
    <row r="5042" spans="8:8" ht="15" customHeight="1" x14ac:dyDescent="0.2">
      <c r="H5042" s="19">
        <v>-1.5410864568481701E-3</v>
      </c>
    </row>
    <row r="5043" spans="8:8" ht="15" customHeight="1" x14ac:dyDescent="0.2">
      <c r="H5043" s="19">
        <v>5.2116911617138403E-3</v>
      </c>
    </row>
    <row r="5044" spans="8:8" ht="15" customHeight="1" x14ac:dyDescent="0.2">
      <c r="H5044" s="19">
        <v>9.7305994213557203E-5</v>
      </c>
    </row>
    <row r="5045" spans="8:8" ht="15" customHeight="1" x14ac:dyDescent="0.2">
      <c r="H5045" s="19">
        <v>-9.00449754457462E-4</v>
      </c>
    </row>
    <row r="5046" spans="8:8" ht="15" customHeight="1" x14ac:dyDescent="0.2">
      <c r="H5046" s="19">
        <v>1.15356898300394E-3</v>
      </c>
    </row>
    <row r="5047" spans="8:8" ht="15" customHeight="1" x14ac:dyDescent="0.2">
      <c r="H5047" s="19">
        <v>1.2049551393890899E-2</v>
      </c>
    </row>
    <row r="5048" spans="8:8" ht="15" customHeight="1" x14ac:dyDescent="0.2">
      <c r="H5048" s="19">
        <v>-3.1338946944806201E-3</v>
      </c>
    </row>
    <row r="5049" spans="8:8" ht="15" customHeight="1" x14ac:dyDescent="0.2">
      <c r="H5049" s="19">
        <v>1.14035540360842E-2</v>
      </c>
    </row>
    <row r="5050" spans="8:8" ht="15" customHeight="1" x14ac:dyDescent="0.2">
      <c r="H5050" s="19">
        <v>5.4061930248705398E-3</v>
      </c>
    </row>
    <row r="5051" spans="8:8" ht="15" customHeight="1" x14ac:dyDescent="0.2">
      <c r="H5051" s="19">
        <v>-2.0011821618709999E-3</v>
      </c>
    </row>
    <row r="5052" spans="8:8" ht="15" customHeight="1" x14ac:dyDescent="0.2">
      <c r="H5052" s="19">
        <v>5.5271361229462298E-3</v>
      </c>
    </row>
    <row r="5053" spans="8:8" ht="15" customHeight="1" x14ac:dyDescent="0.2">
      <c r="H5053" s="19">
        <v>-8.5276677028878704E-3</v>
      </c>
    </row>
    <row r="5054" spans="8:8" ht="15" customHeight="1" x14ac:dyDescent="0.2">
      <c r="H5054" s="19">
        <v>2.31041809058431E-2</v>
      </c>
    </row>
    <row r="5055" spans="8:8" ht="15" customHeight="1" x14ac:dyDescent="0.2">
      <c r="H5055" s="19">
        <v>1.1567317692000401E-3</v>
      </c>
    </row>
    <row r="5056" spans="8:8" ht="15" customHeight="1" x14ac:dyDescent="0.2">
      <c r="H5056" s="19">
        <v>-7.7132946809950103E-3</v>
      </c>
    </row>
    <row r="5057" spans="8:8" ht="15" customHeight="1" x14ac:dyDescent="0.2">
      <c r="H5057" s="19">
        <v>-1.3211675042378501E-2</v>
      </c>
    </row>
    <row r="5058" spans="8:8" ht="15" customHeight="1" x14ac:dyDescent="0.2">
      <c r="H5058" s="19">
        <v>4.8232725878107801E-4</v>
      </c>
    </row>
    <row r="5059" spans="8:8" ht="15" customHeight="1" x14ac:dyDescent="0.2">
      <c r="H5059" s="19">
        <v>3.46306232868382E-3</v>
      </c>
    </row>
    <row r="5060" spans="8:8" ht="15" customHeight="1" x14ac:dyDescent="0.2">
      <c r="H5060" s="19">
        <v>1.51291749235388E-2</v>
      </c>
    </row>
    <row r="5061" spans="8:8" ht="15" customHeight="1" x14ac:dyDescent="0.2">
      <c r="H5061" s="19">
        <v>-3.1916588662134898E-3</v>
      </c>
    </row>
    <row r="5062" spans="8:8" ht="15" customHeight="1" x14ac:dyDescent="0.2">
      <c r="H5062" s="19">
        <v>1.6844138996348498E-2</v>
      </c>
    </row>
    <row r="5063" spans="8:8" ht="15" customHeight="1" x14ac:dyDescent="0.2">
      <c r="H5063" s="19">
        <v>1.36221733194479E-2</v>
      </c>
    </row>
    <row r="5064" spans="8:8" ht="15" customHeight="1" x14ac:dyDescent="0.2">
      <c r="H5064" s="19">
        <v>3.39450241375161E-3</v>
      </c>
    </row>
    <row r="5065" spans="8:8" ht="15" customHeight="1" x14ac:dyDescent="0.2">
      <c r="H5065" s="19">
        <v>-2.2521493254764899E-4</v>
      </c>
    </row>
    <row r="5066" spans="8:8" ht="15" customHeight="1" x14ac:dyDescent="0.2">
      <c r="H5066" s="19">
        <v>-8.3352959618548106E-3</v>
      </c>
    </row>
    <row r="5067" spans="8:8" ht="15" customHeight="1" x14ac:dyDescent="0.2">
      <c r="H5067" s="19">
        <v>-5.6843041737879296E-3</v>
      </c>
    </row>
    <row r="5068" spans="8:8" ht="15" customHeight="1" x14ac:dyDescent="0.2">
      <c r="H5068" s="19">
        <v>1.0889946334444499E-2</v>
      </c>
    </row>
    <row r="5069" spans="8:8" ht="15" customHeight="1" x14ac:dyDescent="0.2">
      <c r="H5069" s="19">
        <v>7.7781081162132297E-3</v>
      </c>
    </row>
    <row r="5070" spans="8:8" ht="15" customHeight="1" x14ac:dyDescent="0.2">
      <c r="H5070" s="19">
        <v>-6.6871172177032897E-3</v>
      </c>
    </row>
    <row r="5071" spans="8:8" ht="15" customHeight="1" x14ac:dyDescent="0.2">
      <c r="H5071" s="19">
        <v>-6.4214614206543896E-3</v>
      </c>
    </row>
    <row r="5072" spans="8:8" ht="15" customHeight="1" x14ac:dyDescent="0.2">
      <c r="H5072" s="19">
        <v>8.5099075978235603E-3</v>
      </c>
    </row>
    <row r="5073" spans="8:8" ht="15" customHeight="1" x14ac:dyDescent="0.2">
      <c r="H5073" s="19">
        <v>-2.21179414735054E-2</v>
      </c>
    </row>
    <row r="5074" spans="8:8" ht="15" customHeight="1" x14ac:dyDescent="0.2">
      <c r="H5074" s="19">
        <v>1.20622770912206E-2</v>
      </c>
    </row>
    <row r="5075" spans="8:8" ht="15" customHeight="1" x14ac:dyDescent="0.2">
      <c r="H5075" s="19">
        <v>-9.9674664024728497E-3</v>
      </c>
    </row>
    <row r="5076" spans="8:8" ht="15" customHeight="1" x14ac:dyDescent="0.2">
      <c r="H5076" s="19">
        <v>-1.45086352799382E-2</v>
      </c>
    </row>
    <row r="5077" spans="8:8" ht="15" customHeight="1" x14ac:dyDescent="0.2">
      <c r="H5077" s="19">
        <v>-3.5470912286496999E-3</v>
      </c>
    </row>
    <row r="5078" spans="8:8" ht="15" customHeight="1" x14ac:dyDescent="0.2">
      <c r="H5078" s="19">
        <v>-5.9352718228584999E-3</v>
      </c>
    </row>
    <row r="5079" spans="8:8" ht="15" customHeight="1" x14ac:dyDescent="0.2">
      <c r="H5079" s="19">
        <v>3.8672005188461899E-3</v>
      </c>
    </row>
    <row r="5080" spans="8:8" ht="15" customHeight="1" x14ac:dyDescent="0.2">
      <c r="H5080" s="19">
        <v>-1.6617992811435399E-3</v>
      </c>
    </row>
    <row r="5081" spans="8:8" ht="15" customHeight="1" x14ac:dyDescent="0.2">
      <c r="H5081" s="19">
        <v>2.3521223338711498E-3</v>
      </c>
    </row>
    <row r="5082" spans="8:8" ht="15" customHeight="1" x14ac:dyDescent="0.2">
      <c r="H5082" s="19">
        <v>8.4319151275267998E-3</v>
      </c>
    </row>
    <row r="5083" spans="8:8" ht="15" customHeight="1" x14ac:dyDescent="0.2">
      <c r="H5083" s="19">
        <v>4.2405908642004202E-3</v>
      </c>
    </row>
    <row r="5084" spans="8:8" ht="15" customHeight="1" x14ac:dyDescent="0.2">
      <c r="H5084" s="19">
        <v>-9.4240059948475004E-3</v>
      </c>
    </row>
    <row r="5085" spans="8:8" ht="15" customHeight="1" x14ac:dyDescent="0.2">
      <c r="H5085" s="19">
        <v>5.6066226936862E-3</v>
      </c>
    </row>
    <row r="5086" spans="8:8" ht="15" customHeight="1" x14ac:dyDescent="0.2">
      <c r="H5086" s="19">
        <v>-4.3518091290416297E-3</v>
      </c>
    </row>
    <row r="5087" spans="8:8" ht="15" customHeight="1" x14ac:dyDescent="0.2">
      <c r="H5087" s="19">
        <v>2.3800335941210098E-2</v>
      </c>
    </row>
    <row r="5088" spans="8:8" ht="15" customHeight="1" x14ac:dyDescent="0.2">
      <c r="H5088" s="19">
        <v>-6.2638334811483199E-3</v>
      </c>
    </row>
    <row r="5089" spans="8:8" ht="15" customHeight="1" x14ac:dyDescent="0.2">
      <c r="H5089" s="19">
        <v>1.8768964719584401E-3</v>
      </c>
    </row>
    <row r="5090" spans="8:8" ht="15" customHeight="1" x14ac:dyDescent="0.2">
      <c r="H5090" s="19">
        <v>-6.5745942472971901E-3</v>
      </c>
    </row>
    <row r="5091" spans="8:8" ht="15" customHeight="1" x14ac:dyDescent="0.2">
      <c r="H5091" s="19">
        <v>-1.1430017082587901E-2</v>
      </c>
    </row>
    <row r="5092" spans="8:8" ht="15" customHeight="1" x14ac:dyDescent="0.2">
      <c r="H5092" s="19">
        <v>1.0815448625815301E-2</v>
      </c>
    </row>
    <row r="5093" spans="8:8" ht="15" customHeight="1" x14ac:dyDescent="0.2">
      <c r="H5093" s="19">
        <v>7.8572474182025693E-3</v>
      </c>
    </row>
    <row r="5094" spans="8:8" ht="15" customHeight="1" x14ac:dyDescent="0.2">
      <c r="H5094" s="19">
        <v>7.50133920374712E-3</v>
      </c>
    </row>
    <row r="5095" spans="8:8" ht="15" customHeight="1" x14ac:dyDescent="0.2">
      <c r="H5095" s="19">
        <v>-1.41483369953566E-2</v>
      </c>
    </row>
    <row r="5096" spans="8:8" ht="15" customHeight="1" x14ac:dyDescent="0.2">
      <c r="H5096" s="19">
        <v>3.8567081058972301E-3</v>
      </c>
    </row>
    <row r="5097" spans="8:8" ht="15" customHeight="1" x14ac:dyDescent="0.2">
      <c r="H5097" s="19">
        <v>1.85532994502405E-2</v>
      </c>
    </row>
    <row r="5098" spans="8:8" ht="15" customHeight="1" x14ac:dyDescent="0.2">
      <c r="H5098" s="19">
        <v>6.6881696382730203E-3</v>
      </c>
    </row>
    <row r="5099" spans="8:8" ht="15" customHeight="1" x14ac:dyDescent="0.2">
      <c r="H5099" s="19">
        <v>-5.27880237497528E-3</v>
      </c>
    </row>
    <row r="5100" spans="8:8" ht="15" customHeight="1" x14ac:dyDescent="0.2">
      <c r="H5100" s="19">
        <v>7.7737663012538002E-3</v>
      </c>
    </row>
    <row r="5101" spans="8:8" ht="15" customHeight="1" x14ac:dyDescent="0.2">
      <c r="H5101" s="19">
        <v>-2.40559028606144E-2</v>
      </c>
    </row>
    <row r="5102" spans="8:8" ht="15" customHeight="1" x14ac:dyDescent="0.2">
      <c r="H5102" s="19">
        <v>2.9582843438514402E-3</v>
      </c>
    </row>
    <row r="5103" spans="8:8" ht="15" customHeight="1" x14ac:dyDescent="0.2">
      <c r="H5103" s="19">
        <v>1.26752893786353E-2</v>
      </c>
    </row>
    <row r="5104" spans="8:8" ht="15" customHeight="1" x14ac:dyDescent="0.2">
      <c r="H5104" s="19">
        <v>-1.6624694804518201E-2</v>
      </c>
    </row>
    <row r="5105" spans="8:8" ht="15" customHeight="1" x14ac:dyDescent="0.2">
      <c r="H5105" s="19">
        <v>1.5118857403934E-2</v>
      </c>
    </row>
    <row r="5106" spans="8:8" ht="15" customHeight="1" x14ac:dyDescent="0.2">
      <c r="H5106" s="19">
        <v>-4.3739873110059703E-3</v>
      </c>
    </row>
    <row r="5107" spans="8:8" ht="15" customHeight="1" x14ac:dyDescent="0.2">
      <c r="H5107" s="19">
        <v>8.2843756688115201E-3</v>
      </c>
    </row>
    <row r="5108" spans="8:8" ht="15" customHeight="1" x14ac:dyDescent="0.2">
      <c r="H5108" s="19">
        <v>-1.47936881202183E-2</v>
      </c>
    </row>
    <row r="5109" spans="8:8" ht="15" customHeight="1" x14ac:dyDescent="0.2">
      <c r="H5109" s="19">
        <v>4.7175983132527804E-3</v>
      </c>
    </row>
    <row r="5110" spans="8:8" ht="15" customHeight="1" x14ac:dyDescent="0.2">
      <c r="H5110" s="19">
        <v>1.52910787400166E-2</v>
      </c>
    </row>
    <row r="5111" spans="8:8" ht="15" customHeight="1" x14ac:dyDescent="0.2">
      <c r="H5111" s="19">
        <v>8.1878357303818393E-3</v>
      </c>
    </row>
    <row r="5112" spans="8:8" ht="15" customHeight="1" x14ac:dyDescent="0.2">
      <c r="H5112" s="19">
        <v>-3.3766035056536801E-3</v>
      </c>
    </row>
    <row r="5113" spans="8:8" ht="15" customHeight="1" x14ac:dyDescent="0.2">
      <c r="H5113" s="19">
        <v>1.26276918106971E-2</v>
      </c>
    </row>
    <row r="5114" spans="8:8" ht="15" customHeight="1" x14ac:dyDescent="0.2">
      <c r="H5114" s="19">
        <v>-5.5494906358615698E-3</v>
      </c>
    </row>
    <row r="5115" spans="8:8" ht="15" customHeight="1" x14ac:dyDescent="0.2">
      <c r="H5115" s="19">
        <v>2.6696237073720098E-3</v>
      </c>
    </row>
    <row r="5116" spans="8:8" ht="15" customHeight="1" x14ac:dyDescent="0.2">
      <c r="H5116" s="19">
        <v>8.29397651509068E-3</v>
      </c>
    </row>
    <row r="5117" spans="8:8" ht="15" customHeight="1" x14ac:dyDescent="0.2">
      <c r="H5117" s="19">
        <v>3.3728550583340699E-3</v>
      </c>
    </row>
    <row r="5118" spans="8:8" ht="15" customHeight="1" x14ac:dyDescent="0.2">
      <c r="H5118" s="19">
        <v>1.9403223827188201E-2</v>
      </c>
    </row>
    <row r="5119" spans="8:8" ht="15" customHeight="1" x14ac:dyDescent="0.2">
      <c r="H5119" s="19">
        <v>-5.3121601870819097E-3</v>
      </c>
    </row>
    <row r="5120" spans="8:8" ht="15" customHeight="1" x14ac:dyDescent="0.2">
      <c r="H5120" s="19">
        <v>1.14481969834114E-2</v>
      </c>
    </row>
    <row r="5121" spans="8:8" ht="15" customHeight="1" x14ac:dyDescent="0.2">
      <c r="H5121" s="19">
        <v>-5.3482671572169897E-3</v>
      </c>
    </row>
    <row r="5122" spans="8:8" ht="15" customHeight="1" x14ac:dyDescent="0.2">
      <c r="H5122" s="19">
        <v>1.26255063545081E-2</v>
      </c>
    </row>
    <row r="5123" spans="8:8" ht="15" customHeight="1" x14ac:dyDescent="0.2">
      <c r="H5123" s="19">
        <v>-1.00095320963699E-2</v>
      </c>
    </row>
    <row r="5124" spans="8:8" ht="15" customHeight="1" x14ac:dyDescent="0.2">
      <c r="H5124" s="19">
        <v>-1.2932133146758599E-3</v>
      </c>
    </row>
    <row r="5125" spans="8:8" ht="15" customHeight="1" x14ac:dyDescent="0.2">
      <c r="H5125" s="19">
        <v>2.0873135332929699E-2</v>
      </c>
    </row>
    <row r="5126" spans="8:8" ht="15" customHeight="1" x14ac:dyDescent="0.2">
      <c r="H5126" s="19">
        <v>-9.9671467540345202E-3</v>
      </c>
    </row>
    <row r="5127" spans="8:8" ht="15" customHeight="1" x14ac:dyDescent="0.2">
      <c r="H5127" s="19">
        <v>8.2440974619362208E-3</v>
      </c>
    </row>
    <row r="5128" spans="8:8" ht="15" customHeight="1" x14ac:dyDescent="0.2">
      <c r="H5128" s="19">
        <v>1.12505481108906E-2</v>
      </c>
    </row>
    <row r="5129" spans="8:8" ht="15" customHeight="1" x14ac:dyDescent="0.2">
      <c r="H5129" s="19">
        <v>6.4190079237495604E-3</v>
      </c>
    </row>
    <row r="5130" spans="8:8" ht="15" customHeight="1" x14ac:dyDescent="0.2">
      <c r="H5130" s="19">
        <v>-8.1148406392652795E-3</v>
      </c>
    </row>
    <row r="5131" spans="8:8" ht="15" customHeight="1" x14ac:dyDescent="0.2">
      <c r="H5131" s="19">
        <v>-1.09362877161867E-2</v>
      </c>
    </row>
    <row r="5132" spans="8:8" ht="15" customHeight="1" x14ac:dyDescent="0.2">
      <c r="H5132" s="19">
        <v>7.5005163872132298E-3</v>
      </c>
    </row>
    <row r="5133" spans="8:8" ht="15" customHeight="1" x14ac:dyDescent="0.2">
      <c r="H5133" s="19">
        <v>-1.24815606872244E-2</v>
      </c>
    </row>
    <row r="5134" spans="8:8" ht="15" customHeight="1" x14ac:dyDescent="0.2">
      <c r="H5134" s="19">
        <v>2.9170357077194101E-3</v>
      </c>
    </row>
    <row r="5135" spans="8:8" ht="15" customHeight="1" x14ac:dyDescent="0.2">
      <c r="H5135" s="19">
        <v>1.2219878407576899E-2</v>
      </c>
    </row>
    <row r="5136" spans="8:8" ht="15" customHeight="1" x14ac:dyDescent="0.2">
      <c r="H5136" s="19">
        <v>1.60990756878674E-3</v>
      </c>
    </row>
    <row r="5137" spans="8:8" ht="15" customHeight="1" x14ac:dyDescent="0.2">
      <c r="H5137" s="19">
        <v>-4.1426255425125796E-3</v>
      </c>
    </row>
    <row r="5138" spans="8:8" ht="15" customHeight="1" x14ac:dyDescent="0.2">
      <c r="H5138" s="19">
        <v>-8.5359939119266006E-3</v>
      </c>
    </row>
    <row r="5139" spans="8:8" ht="15" customHeight="1" x14ac:dyDescent="0.2">
      <c r="H5139" s="19">
        <v>4.0329236993622997E-3</v>
      </c>
    </row>
    <row r="5140" spans="8:8" ht="15" customHeight="1" x14ac:dyDescent="0.2">
      <c r="H5140" s="19">
        <v>-3.4815269903128599E-3</v>
      </c>
    </row>
    <row r="5141" spans="8:8" ht="15" customHeight="1" x14ac:dyDescent="0.2">
      <c r="H5141" s="19">
        <v>5.19071005651036E-3</v>
      </c>
    </row>
    <row r="5142" spans="8:8" ht="15" customHeight="1" x14ac:dyDescent="0.2">
      <c r="H5142" s="19">
        <v>-7.7397483415878399E-3</v>
      </c>
    </row>
    <row r="5143" spans="8:8" ht="15" customHeight="1" x14ac:dyDescent="0.2">
      <c r="H5143" s="19">
        <v>-1.84950310618377E-2</v>
      </c>
    </row>
    <row r="5144" spans="8:8" ht="15" customHeight="1" x14ac:dyDescent="0.2">
      <c r="H5144" s="19">
        <v>1.36771446109631E-2</v>
      </c>
    </row>
    <row r="5145" spans="8:8" ht="15" customHeight="1" x14ac:dyDescent="0.2">
      <c r="H5145" s="19">
        <v>2.23226175810174E-2</v>
      </c>
    </row>
    <row r="5146" spans="8:8" ht="15" customHeight="1" x14ac:dyDescent="0.2">
      <c r="H5146" s="19">
        <v>-1.73759411439133E-2</v>
      </c>
    </row>
    <row r="5147" spans="8:8" ht="15" customHeight="1" x14ac:dyDescent="0.2">
      <c r="H5147" s="19">
        <v>4.5709540679388797E-3</v>
      </c>
    </row>
    <row r="5148" spans="8:8" ht="15" customHeight="1" x14ac:dyDescent="0.2">
      <c r="H5148" s="19">
        <v>1.1909373794956799E-2</v>
      </c>
    </row>
    <row r="5149" spans="8:8" ht="15" customHeight="1" x14ac:dyDescent="0.2">
      <c r="H5149" s="19">
        <v>-1.17849861943895E-2</v>
      </c>
    </row>
    <row r="5150" spans="8:8" ht="15" customHeight="1" x14ac:dyDescent="0.2">
      <c r="H5150" s="19">
        <v>3.7977311279617401E-3</v>
      </c>
    </row>
    <row r="5151" spans="8:8" ht="15" customHeight="1" x14ac:dyDescent="0.2">
      <c r="H5151" s="19">
        <v>-1.3876937372280299E-2</v>
      </c>
    </row>
    <row r="5152" spans="8:8" ht="15" customHeight="1" x14ac:dyDescent="0.2">
      <c r="H5152" s="19">
        <v>1.5163500790987199E-2</v>
      </c>
    </row>
    <row r="5153" spans="8:8" ht="15" customHeight="1" x14ac:dyDescent="0.2">
      <c r="H5153" s="19">
        <v>6.1806431430075099E-3</v>
      </c>
    </row>
    <row r="5154" spans="8:8" ht="15" customHeight="1" x14ac:dyDescent="0.2">
      <c r="H5154" s="19">
        <v>1.2948294121183899E-3</v>
      </c>
    </row>
    <row r="5155" spans="8:8" ht="15" customHeight="1" x14ac:dyDescent="0.2">
      <c r="H5155" s="19">
        <v>7.1775941260539796E-3</v>
      </c>
    </row>
    <row r="5156" spans="8:8" ht="15" customHeight="1" x14ac:dyDescent="0.2">
      <c r="H5156" s="19">
        <v>2.3072080981380999E-3</v>
      </c>
    </row>
    <row r="5157" spans="8:8" ht="15" customHeight="1" x14ac:dyDescent="0.2">
      <c r="H5157" s="19">
        <v>-4.7606532150148799E-4</v>
      </c>
    </row>
    <row r="5158" spans="8:8" ht="15" customHeight="1" x14ac:dyDescent="0.2">
      <c r="H5158" s="19">
        <v>2.9564063278814498E-3</v>
      </c>
    </row>
    <row r="5159" spans="8:8" ht="15" customHeight="1" x14ac:dyDescent="0.2">
      <c r="H5159" s="19">
        <v>-4.2507143280599204E-3</v>
      </c>
    </row>
    <row r="5160" spans="8:8" ht="15" customHeight="1" x14ac:dyDescent="0.2">
      <c r="H5160" s="19">
        <v>6.1045343702249002E-3</v>
      </c>
    </row>
    <row r="5161" spans="8:8" ht="15" customHeight="1" x14ac:dyDescent="0.2">
      <c r="H5161" s="19">
        <v>-1.39799466832766E-2</v>
      </c>
    </row>
    <row r="5162" spans="8:8" ht="15" customHeight="1" x14ac:dyDescent="0.2">
      <c r="H5162" s="19">
        <v>1.4192307369948901E-2</v>
      </c>
    </row>
    <row r="5163" spans="8:8" ht="15" customHeight="1" x14ac:dyDescent="0.2">
      <c r="H5163" s="19">
        <v>-1.18688363200478E-2</v>
      </c>
    </row>
    <row r="5164" spans="8:8" ht="15" customHeight="1" x14ac:dyDescent="0.2">
      <c r="H5164" s="19">
        <v>-7.5967084710789104E-4</v>
      </c>
    </row>
    <row r="5165" spans="8:8" ht="15" customHeight="1" x14ac:dyDescent="0.2">
      <c r="H5165" s="19">
        <v>6.4005910644749102E-4</v>
      </c>
    </row>
    <row r="5166" spans="8:8" ht="15" customHeight="1" x14ac:dyDescent="0.2">
      <c r="H5166" s="19">
        <v>1.3231647698693501E-3</v>
      </c>
    </row>
    <row r="5167" spans="8:8" ht="15" customHeight="1" x14ac:dyDescent="0.2">
      <c r="H5167" s="19">
        <v>-1.2201053491776401E-2</v>
      </c>
    </row>
    <row r="5168" spans="8:8" ht="15" customHeight="1" x14ac:dyDescent="0.2">
      <c r="H5168" s="19">
        <v>5.4620850908396505E-4</v>
      </c>
    </row>
    <row r="5169" spans="8:8" ht="15" customHeight="1" x14ac:dyDescent="0.2">
      <c r="H5169" s="19">
        <v>1.43366311474821E-2</v>
      </c>
    </row>
    <row r="5170" spans="8:8" ht="15" customHeight="1" x14ac:dyDescent="0.2">
      <c r="H5170" s="19">
        <v>1.50007533131883E-3</v>
      </c>
    </row>
    <row r="5171" spans="8:8" ht="15" customHeight="1" x14ac:dyDescent="0.2">
      <c r="H5171" s="19">
        <v>6.4123947204294401E-3</v>
      </c>
    </row>
    <row r="5172" spans="8:8" ht="15" customHeight="1" x14ac:dyDescent="0.2">
      <c r="H5172" s="19">
        <v>5.0185075374242598E-3</v>
      </c>
    </row>
    <row r="5173" spans="8:8" ht="15" customHeight="1" x14ac:dyDescent="0.2">
      <c r="H5173" s="19">
        <v>-3.1634332156775702E-3</v>
      </c>
    </row>
    <row r="5174" spans="8:8" ht="15" customHeight="1" x14ac:dyDescent="0.2">
      <c r="H5174" s="19">
        <v>-7.1340689434801902E-3</v>
      </c>
    </row>
    <row r="5175" spans="8:8" ht="15" customHeight="1" x14ac:dyDescent="0.2">
      <c r="H5175" s="19">
        <v>-4.5582202486987199E-4</v>
      </c>
    </row>
    <row r="5176" spans="8:8" ht="15" customHeight="1" x14ac:dyDescent="0.2">
      <c r="H5176" s="19">
        <v>1.6324528142026201E-2</v>
      </c>
    </row>
    <row r="5177" spans="8:8" ht="15" customHeight="1" x14ac:dyDescent="0.2">
      <c r="H5177" s="19">
        <v>-6.65169952156211E-3</v>
      </c>
    </row>
    <row r="5178" spans="8:8" ht="15" customHeight="1" x14ac:dyDescent="0.2">
      <c r="H5178" s="19">
        <v>1.3026392302876999E-3</v>
      </c>
    </row>
    <row r="5179" spans="8:8" ht="15" customHeight="1" x14ac:dyDescent="0.2">
      <c r="H5179" s="19">
        <v>1.0858097394127301E-2</v>
      </c>
    </row>
    <row r="5180" spans="8:8" ht="15" customHeight="1" x14ac:dyDescent="0.2">
      <c r="H5180" s="19">
        <v>6.1252929755606601E-3</v>
      </c>
    </row>
    <row r="5181" spans="8:8" ht="15" customHeight="1" x14ac:dyDescent="0.2">
      <c r="H5181" s="19">
        <v>2.5586159185596199E-2</v>
      </c>
    </row>
    <row r="5182" spans="8:8" ht="15" customHeight="1" x14ac:dyDescent="0.2">
      <c r="H5182" s="19">
        <v>-4.1015687787299302E-3</v>
      </c>
    </row>
    <row r="5183" spans="8:8" ht="15" customHeight="1" x14ac:dyDescent="0.2">
      <c r="H5183" s="19">
        <v>4.3220788234085801E-3</v>
      </c>
    </row>
    <row r="5184" spans="8:8" ht="15" customHeight="1" x14ac:dyDescent="0.2">
      <c r="H5184" s="19">
        <v>-2.06706149618755E-2</v>
      </c>
    </row>
    <row r="5185" spans="8:8" ht="15" customHeight="1" x14ac:dyDescent="0.2">
      <c r="H5185" s="19">
        <v>-1.95088923025086E-3</v>
      </c>
    </row>
    <row r="5186" spans="8:8" ht="15" customHeight="1" x14ac:dyDescent="0.2">
      <c r="H5186" s="19">
        <v>-5.3857778808061802E-3</v>
      </c>
    </row>
    <row r="5187" spans="8:8" ht="15" customHeight="1" x14ac:dyDescent="0.2">
      <c r="H5187" s="19">
        <v>1.372208398562E-2</v>
      </c>
    </row>
    <row r="5188" spans="8:8" ht="15" customHeight="1" x14ac:dyDescent="0.2">
      <c r="H5188" s="19">
        <v>5.8863288753279999E-3</v>
      </c>
    </row>
    <row r="5189" spans="8:8" ht="15" customHeight="1" x14ac:dyDescent="0.2">
      <c r="H5189" s="19">
        <v>-1.3697462432892299E-3</v>
      </c>
    </row>
    <row r="5190" spans="8:8" ht="15" customHeight="1" x14ac:dyDescent="0.2">
      <c r="H5190" s="19">
        <v>1.1167196288233599E-2</v>
      </c>
    </row>
    <row r="5191" spans="8:8" ht="15" customHeight="1" x14ac:dyDescent="0.2">
      <c r="H5191" s="19">
        <v>1.82538992981863E-3</v>
      </c>
    </row>
    <row r="5192" spans="8:8" ht="15" customHeight="1" x14ac:dyDescent="0.2">
      <c r="H5192" s="19">
        <v>2.2933217428611802E-3</v>
      </c>
    </row>
    <row r="5193" spans="8:8" ht="15" customHeight="1" x14ac:dyDescent="0.2">
      <c r="H5193" s="19">
        <v>-5.4848247052213198E-3</v>
      </c>
    </row>
    <row r="5194" spans="8:8" ht="15" customHeight="1" x14ac:dyDescent="0.2">
      <c r="H5194" s="19">
        <v>8.2240677255436094E-3</v>
      </c>
    </row>
    <row r="5195" spans="8:8" ht="15" customHeight="1" x14ac:dyDescent="0.2">
      <c r="H5195" s="19">
        <v>-1.0366958022047601E-2</v>
      </c>
    </row>
    <row r="5196" spans="8:8" ht="15" customHeight="1" x14ac:dyDescent="0.2">
      <c r="H5196" s="19">
        <v>6.7736734900123797E-3</v>
      </c>
    </row>
    <row r="5197" spans="8:8" ht="15" customHeight="1" x14ac:dyDescent="0.2">
      <c r="H5197" s="19">
        <v>-6.89591930341761E-3</v>
      </c>
    </row>
    <row r="5198" spans="8:8" ht="15" customHeight="1" x14ac:dyDescent="0.2">
      <c r="H5198" s="19">
        <v>-6.9668020233254E-3</v>
      </c>
    </row>
    <row r="5199" spans="8:8" ht="15" customHeight="1" x14ac:dyDescent="0.2">
      <c r="H5199" s="19">
        <v>1.3262670930171199E-2</v>
      </c>
    </row>
    <row r="5200" spans="8:8" ht="15" customHeight="1" x14ac:dyDescent="0.2">
      <c r="H5200" s="19">
        <v>-7.5613858490688E-3</v>
      </c>
    </row>
    <row r="5201" spans="8:8" ht="15" customHeight="1" x14ac:dyDescent="0.2">
      <c r="H5201" s="19">
        <v>1.8216505165732599E-2</v>
      </c>
    </row>
    <row r="5202" spans="8:8" ht="15" customHeight="1" x14ac:dyDescent="0.2">
      <c r="H5202" s="19">
        <v>1.1211874080944101E-2</v>
      </c>
    </row>
    <row r="5203" spans="8:8" ht="15" customHeight="1" x14ac:dyDescent="0.2">
      <c r="H5203" s="19">
        <v>8.2634081847746607E-3</v>
      </c>
    </row>
    <row r="5204" spans="8:8" ht="15" customHeight="1" x14ac:dyDescent="0.2">
      <c r="H5204" s="19">
        <v>-8.6234146832796302E-3</v>
      </c>
    </row>
    <row r="5205" spans="8:8" ht="15" customHeight="1" x14ac:dyDescent="0.2">
      <c r="H5205" s="19">
        <v>2.63374381633865E-2</v>
      </c>
    </row>
    <row r="5206" spans="8:8" ht="15" customHeight="1" x14ac:dyDescent="0.2">
      <c r="H5206" s="19">
        <v>-1.5608043302553399E-2</v>
      </c>
    </row>
    <row r="5207" spans="8:8" ht="15" customHeight="1" x14ac:dyDescent="0.2">
      <c r="H5207" s="19">
        <v>4.8209943068147102E-3</v>
      </c>
    </row>
    <row r="5208" spans="8:8" ht="15" customHeight="1" x14ac:dyDescent="0.2">
      <c r="H5208" s="19">
        <v>-1.2492427231999201E-3</v>
      </c>
    </row>
    <row r="5209" spans="8:8" ht="15" customHeight="1" x14ac:dyDescent="0.2">
      <c r="H5209" s="19">
        <v>1.0115861540902601E-2</v>
      </c>
    </row>
    <row r="5210" spans="8:8" ht="15" customHeight="1" x14ac:dyDescent="0.2">
      <c r="H5210" s="19">
        <v>-1.0121840045397899E-3</v>
      </c>
    </row>
    <row r="5211" spans="8:8" ht="15" customHeight="1" x14ac:dyDescent="0.2">
      <c r="H5211" s="19">
        <v>3.9436445131478702E-3</v>
      </c>
    </row>
    <row r="5212" spans="8:8" ht="15" customHeight="1" x14ac:dyDescent="0.2">
      <c r="H5212" s="19">
        <v>-3.8706472396705799E-3</v>
      </c>
    </row>
    <row r="5213" spans="8:8" ht="15" customHeight="1" x14ac:dyDescent="0.2">
      <c r="H5213" s="19">
        <v>-1.7794548938629699E-2</v>
      </c>
    </row>
    <row r="5214" spans="8:8" ht="15" customHeight="1" x14ac:dyDescent="0.2">
      <c r="H5214" s="19">
        <v>1.1151024021732001E-2</v>
      </c>
    </row>
    <row r="5215" spans="8:8" ht="15" customHeight="1" x14ac:dyDescent="0.2">
      <c r="H5215" s="19">
        <v>-9.9629485185320499E-3</v>
      </c>
    </row>
    <row r="5216" spans="8:8" ht="15" customHeight="1" x14ac:dyDescent="0.2">
      <c r="H5216" s="19">
        <v>1.50328923063206E-4</v>
      </c>
    </row>
    <row r="5217" spans="8:8" ht="15" customHeight="1" x14ac:dyDescent="0.2">
      <c r="H5217" s="19">
        <v>1.0756338263437999E-3</v>
      </c>
    </row>
    <row r="5218" spans="8:8" ht="15" customHeight="1" x14ac:dyDescent="0.2">
      <c r="H5218" s="19">
        <v>1.1197193268794099E-2</v>
      </c>
    </row>
    <row r="5219" spans="8:8" ht="15" customHeight="1" x14ac:dyDescent="0.2">
      <c r="H5219" s="19">
        <v>-5.3220045556820802E-3</v>
      </c>
    </row>
    <row r="5220" spans="8:8" ht="15" customHeight="1" x14ac:dyDescent="0.2">
      <c r="H5220" s="19">
        <v>-7.6027658686555703E-3</v>
      </c>
    </row>
    <row r="5221" spans="8:8" ht="15" customHeight="1" x14ac:dyDescent="0.2">
      <c r="H5221" s="19">
        <v>5.4853868841240501E-3</v>
      </c>
    </row>
    <row r="5222" spans="8:8" ht="15" customHeight="1" x14ac:dyDescent="0.2">
      <c r="H5222" s="19">
        <v>-1.5541454733566001E-3</v>
      </c>
    </row>
    <row r="5223" spans="8:8" ht="15" customHeight="1" x14ac:dyDescent="0.2">
      <c r="H5223" s="19">
        <v>2.0770087304575E-2</v>
      </c>
    </row>
    <row r="5224" spans="8:8" ht="15" customHeight="1" x14ac:dyDescent="0.2">
      <c r="H5224" s="19">
        <v>-4.2602702854162098E-3</v>
      </c>
    </row>
    <row r="5225" spans="8:8" ht="15" customHeight="1" x14ac:dyDescent="0.2">
      <c r="H5225" s="19">
        <v>-1.25508799962074E-2</v>
      </c>
    </row>
    <row r="5226" spans="8:8" ht="15" customHeight="1" x14ac:dyDescent="0.2">
      <c r="H5226" s="19">
        <v>1.2339889794096099E-2</v>
      </c>
    </row>
    <row r="5227" spans="8:8" ht="15" customHeight="1" x14ac:dyDescent="0.2">
      <c r="H5227" s="19">
        <v>-6.3030722967592496E-4</v>
      </c>
    </row>
    <row r="5228" spans="8:8" ht="15" customHeight="1" x14ac:dyDescent="0.2">
      <c r="H5228" s="19">
        <v>-2.18829703702905E-3</v>
      </c>
    </row>
    <row r="5229" spans="8:8" ht="15" customHeight="1" x14ac:dyDescent="0.2">
      <c r="H5229" s="19">
        <v>1.64271941671598E-3</v>
      </c>
    </row>
    <row r="5230" spans="8:8" ht="15" customHeight="1" x14ac:dyDescent="0.2">
      <c r="H5230" s="19">
        <v>3.0927730478558998E-3</v>
      </c>
    </row>
    <row r="5231" spans="8:8" ht="15" customHeight="1" x14ac:dyDescent="0.2">
      <c r="H5231" s="19">
        <v>6.0332311607936796E-3</v>
      </c>
    </row>
    <row r="5232" spans="8:8" ht="15" customHeight="1" x14ac:dyDescent="0.2">
      <c r="H5232" s="19">
        <v>-7.4013043013883397E-3</v>
      </c>
    </row>
    <row r="5233" spans="8:8" ht="15" customHeight="1" x14ac:dyDescent="0.2">
      <c r="H5233" s="19">
        <v>-4.7483402728106796E-3</v>
      </c>
    </row>
    <row r="5234" spans="8:8" ht="15" customHeight="1" x14ac:dyDescent="0.2">
      <c r="H5234" s="19">
        <v>-9.1190274167109505E-3</v>
      </c>
    </row>
    <row r="5235" spans="8:8" ht="15" customHeight="1" x14ac:dyDescent="0.2">
      <c r="H5235" s="19">
        <v>2.5249250062947801E-2</v>
      </c>
    </row>
    <row r="5236" spans="8:8" ht="15" customHeight="1" x14ac:dyDescent="0.2">
      <c r="H5236" s="19">
        <v>1.7216178533082001E-3</v>
      </c>
    </row>
    <row r="5237" spans="8:8" ht="15" customHeight="1" x14ac:dyDescent="0.2">
      <c r="H5237" s="19">
        <v>-4.7846636486284302E-3</v>
      </c>
    </row>
    <row r="5238" spans="8:8" ht="15" customHeight="1" x14ac:dyDescent="0.2">
      <c r="H5238" s="19">
        <v>-1.02401110580056E-2</v>
      </c>
    </row>
    <row r="5239" spans="8:8" ht="15" customHeight="1" x14ac:dyDescent="0.2">
      <c r="H5239" s="19">
        <v>-5.96706462445007E-4</v>
      </c>
    </row>
    <row r="5240" spans="8:8" ht="15" customHeight="1" x14ac:dyDescent="0.2">
      <c r="H5240" s="19">
        <v>6.0648686132709602E-3</v>
      </c>
    </row>
    <row r="5241" spans="8:8" ht="15" customHeight="1" x14ac:dyDescent="0.2">
      <c r="H5241" s="19">
        <v>8.9746434260556298E-5</v>
      </c>
    </row>
    <row r="5242" spans="8:8" ht="15" customHeight="1" x14ac:dyDescent="0.2">
      <c r="H5242" s="19">
        <v>6.3303695550169202E-3</v>
      </c>
    </row>
    <row r="5243" spans="8:8" ht="15" customHeight="1" x14ac:dyDescent="0.2">
      <c r="H5243" s="19">
        <v>-9.2198918709896702E-3</v>
      </c>
    </row>
    <row r="5244" spans="8:8" ht="15" customHeight="1" x14ac:dyDescent="0.2">
      <c r="H5244" s="19">
        <v>-7.6280266497120303E-3</v>
      </c>
    </row>
    <row r="5245" spans="8:8" ht="15" customHeight="1" x14ac:dyDescent="0.2">
      <c r="H5245" s="19">
        <v>1.3314179513728901E-3</v>
      </c>
    </row>
    <row r="5246" spans="8:8" ht="15" customHeight="1" x14ac:dyDescent="0.2">
      <c r="H5246" s="19">
        <v>8.6096931500608109E-3</v>
      </c>
    </row>
    <row r="5247" spans="8:8" ht="15" customHeight="1" x14ac:dyDescent="0.2">
      <c r="H5247" s="19">
        <v>-2.5990433387037701E-2</v>
      </c>
    </row>
    <row r="5248" spans="8:8" ht="15" customHeight="1" x14ac:dyDescent="0.2">
      <c r="H5248" s="19">
        <v>2.0226516470202701E-3</v>
      </c>
    </row>
    <row r="5249" spans="8:8" ht="15" customHeight="1" x14ac:dyDescent="0.2">
      <c r="H5249" s="19">
        <v>4.6846364780086204E-3</v>
      </c>
    </row>
    <row r="5250" spans="8:8" ht="15" customHeight="1" x14ac:dyDescent="0.2">
      <c r="H5250" s="19">
        <v>-4.07534636627465E-3</v>
      </c>
    </row>
    <row r="5251" spans="8:8" ht="15" customHeight="1" x14ac:dyDescent="0.2">
      <c r="H5251" s="19">
        <v>-1.67711441912229E-2</v>
      </c>
    </row>
    <row r="5252" spans="8:8" ht="15" customHeight="1" x14ac:dyDescent="0.2">
      <c r="H5252" s="19">
        <v>-2.2762950928566401E-2</v>
      </c>
    </row>
    <row r="5253" spans="8:8" ht="15" customHeight="1" x14ac:dyDescent="0.2">
      <c r="H5253" s="19">
        <v>-5.1123506408838303E-3</v>
      </c>
    </row>
    <row r="5254" spans="8:8" ht="15" customHeight="1" x14ac:dyDescent="0.2">
      <c r="H5254" s="19">
        <v>-1.57527679928449E-3</v>
      </c>
    </row>
    <row r="5255" spans="8:8" ht="15" customHeight="1" x14ac:dyDescent="0.2">
      <c r="H5255" s="19">
        <v>7.4306347429056703E-3</v>
      </c>
    </row>
    <row r="5256" spans="8:8" ht="15" customHeight="1" x14ac:dyDescent="0.2">
      <c r="H5256" s="19">
        <v>8.7053596768159401E-4</v>
      </c>
    </row>
    <row r="5257" spans="8:8" ht="15" customHeight="1" x14ac:dyDescent="0.2">
      <c r="H5257" s="19">
        <v>1.37003635235013E-2</v>
      </c>
    </row>
    <row r="5258" spans="8:8" ht="15" customHeight="1" x14ac:dyDescent="0.2">
      <c r="H5258" s="19">
        <v>1.09452674634302E-2</v>
      </c>
    </row>
    <row r="5259" spans="8:8" ht="15" customHeight="1" x14ac:dyDescent="0.2">
      <c r="H5259" s="19">
        <v>2.1400539613098202E-3</v>
      </c>
    </row>
    <row r="5260" spans="8:8" ht="15" customHeight="1" x14ac:dyDescent="0.2">
      <c r="H5260" s="19">
        <v>-5.9923215699329898E-3</v>
      </c>
    </row>
    <row r="5261" spans="8:8" ht="15" customHeight="1" x14ac:dyDescent="0.2">
      <c r="H5261" s="19">
        <v>-1.16121343699589E-2</v>
      </c>
    </row>
    <row r="5262" spans="8:8" ht="15" customHeight="1" x14ac:dyDescent="0.2">
      <c r="H5262" s="19">
        <v>3.18204679014096E-3</v>
      </c>
    </row>
    <row r="5263" spans="8:8" ht="15" customHeight="1" x14ac:dyDescent="0.2">
      <c r="H5263" s="19">
        <v>9.7696518123744098E-3</v>
      </c>
    </row>
    <row r="5264" spans="8:8" ht="15" customHeight="1" x14ac:dyDescent="0.2">
      <c r="H5264" s="19">
        <v>1.15232019637508E-2</v>
      </c>
    </row>
    <row r="5265" spans="8:8" ht="15" customHeight="1" x14ac:dyDescent="0.2">
      <c r="H5265" s="19">
        <v>-2.3975723263612398E-3</v>
      </c>
    </row>
    <row r="5266" spans="8:8" ht="15" customHeight="1" x14ac:dyDescent="0.2">
      <c r="H5266" s="19">
        <v>-4.4684953187985399E-3</v>
      </c>
    </row>
    <row r="5267" spans="8:8" ht="15" customHeight="1" x14ac:dyDescent="0.2">
      <c r="H5267" s="19">
        <v>-1.4191492671685801E-2</v>
      </c>
    </row>
    <row r="5268" spans="8:8" ht="15" customHeight="1" x14ac:dyDescent="0.2">
      <c r="H5268" s="19">
        <v>-5.2372570799814697E-3</v>
      </c>
    </row>
    <row r="5269" spans="8:8" ht="15" customHeight="1" x14ac:dyDescent="0.2">
      <c r="H5269" s="19">
        <v>-1.4997478162657801E-3</v>
      </c>
    </row>
    <row r="5270" spans="8:8" ht="15" customHeight="1" x14ac:dyDescent="0.2">
      <c r="H5270" s="19">
        <v>-1.3717982725661E-2</v>
      </c>
    </row>
    <row r="5271" spans="8:8" ht="15" customHeight="1" x14ac:dyDescent="0.2">
      <c r="H5271" s="19">
        <v>-2.7545298103731999E-3</v>
      </c>
    </row>
    <row r="5272" spans="8:8" ht="15" customHeight="1" x14ac:dyDescent="0.2">
      <c r="H5272" s="19">
        <v>-1.6012572855602002E-2</v>
      </c>
    </row>
    <row r="5273" spans="8:8" ht="15" customHeight="1" x14ac:dyDescent="0.2">
      <c r="H5273" s="19">
        <v>-2.1755917746659899E-3</v>
      </c>
    </row>
    <row r="5274" spans="8:8" ht="15" customHeight="1" x14ac:dyDescent="0.2">
      <c r="H5274" s="19">
        <v>-6.0927146871073796E-3</v>
      </c>
    </row>
    <row r="5275" spans="8:8" ht="15" customHeight="1" x14ac:dyDescent="0.2">
      <c r="H5275" s="19">
        <v>6.0701188207812904E-3</v>
      </c>
    </row>
    <row r="5276" spans="8:8" ht="15" customHeight="1" x14ac:dyDescent="0.2">
      <c r="H5276" s="19">
        <v>5.5355683052870103E-3</v>
      </c>
    </row>
    <row r="5277" spans="8:8" ht="15" customHeight="1" x14ac:dyDescent="0.2">
      <c r="H5277" s="19">
        <v>7.5181388592464003E-3</v>
      </c>
    </row>
    <row r="5278" spans="8:8" ht="15" customHeight="1" x14ac:dyDescent="0.2">
      <c r="H5278" s="19">
        <v>-2.0832127637500301E-2</v>
      </c>
    </row>
    <row r="5279" spans="8:8" ht="15" customHeight="1" x14ac:dyDescent="0.2">
      <c r="H5279" s="19">
        <v>-3.0490773235686301E-3</v>
      </c>
    </row>
    <row r="5280" spans="8:8" ht="15" customHeight="1" x14ac:dyDescent="0.2">
      <c r="H5280" s="19">
        <v>-9.5574110667575492E-3</v>
      </c>
    </row>
    <row r="5281" spans="8:8" ht="15" customHeight="1" x14ac:dyDescent="0.2">
      <c r="H5281" s="19">
        <v>-9.8515388257889094E-3</v>
      </c>
    </row>
    <row r="5282" spans="8:8" ht="15" customHeight="1" x14ac:dyDescent="0.2">
      <c r="H5282" s="19">
        <v>-6.76250668404555E-3</v>
      </c>
    </row>
    <row r="5283" spans="8:8" ht="15" customHeight="1" x14ac:dyDescent="0.2">
      <c r="H5283" s="19">
        <v>-1.2198283024022099E-2</v>
      </c>
    </row>
    <row r="5284" spans="8:8" ht="15" customHeight="1" x14ac:dyDescent="0.2">
      <c r="H5284" s="19">
        <v>6.9544071864472796E-3</v>
      </c>
    </row>
    <row r="5285" spans="8:8" ht="15" customHeight="1" x14ac:dyDescent="0.2">
      <c r="H5285" s="19">
        <v>-5.9810103014372E-3</v>
      </c>
    </row>
    <row r="5286" spans="8:8" ht="15" customHeight="1" x14ac:dyDescent="0.2">
      <c r="H5286" s="19">
        <v>3.9138001614357296E-3</v>
      </c>
    </row>
    <row r="5287" spans="8:8" ht="15" customHeight="1" x14ac:dyDescent="0.2">
      <c r="H5287" s="19">
        <v>1.2836477797019101E-2</v>
      </c>
    </row>
    <row r="5288" spans="8:8" ht="15" customHeight="1" x14ac:dyDescent="0.2">
      <c r="H5288" s="19">
        <v>-5.9044317963737698E-3</v>
      </c>
    </row>
    <row r="5289" spans="8:8" ht="15" customHeight="1" x14ac:dyDescent="0.2">
      <c r="H5289" s="19">
        <v>-9.7174607308628692E-3</v>
      </c>
    </row>
    <row r="5290" spans="8:8" ht="15" customHeight="1" x14ac:dyDescent="0.2">
      <c r="H5290" s="19">
        <v>5.0234346179382902E-3</v>
      </c>
    </row>
    <row r="5291" spans="8:8" ht="15" customHeight="1" x14ac:dyDescent="0.2">
      <c r="H5291" s="19">
        <v>7.9456306705216802E-3</v>
      </c>
    </row>
    <row r="5292" spans="8:8" ht="15" customHeight="1" x14ac:dyDescent="0.2">
      <c r="H5292" s="19">
        <v>1.65996135973011E-2</v>
      </c>
    </row>
    <row r="5293" spans="8:8" ht="15" customHeight="1" x14ac:dyDescent="0.2">
      <c r="H5293" s="19">
        <v>8.5115335786666701E-3</v>
      </c>
    </row>
    <row r="5294" spans="8:8" ht="15" customHeight="1" x14ac:dyDescent="0.2">
      <c r="H5294" s="19">
        <v>-7.6021980791689397E-3</v>
      </c>
    </row>
    <row r="5295" spans="8:8" ht="15" customHeight="1" x14ac:dyDescent="0.2">
      <c r="H5295" s="19">
        <v>-4.8603128724209396E-3</v>
      </c>
    </row>
    <row r="5296" spans="8:8" ht="15" customHeight="1" x14ac:dyDescent="0.2">
      <c r="H5296" s="19">
        <v>-1.0792631232750999E-2</v>
      </c>
    </row>
    <row r="5297" spans="8:8" ht="15" customHeight="1" x14ac:dyDescent="0.2">
      <c r="H5297" s="19">
        <v>-1.18364620041547E-2</v>
      </c>
    </row>
    <row r="5298" spans="8:8" ht="15" customHeight="1" x14ac:dyDescent="0.2">
      <c r="H5298" s="19">
        <v>-1.5138575445706201E-2</v>
      </c>
    </row>
    <row r="5299" spans="8:8" ht="15" customHeight="1" x14ac:dyDescent="0.2">
      <c r="H5299" s="19">
        <v>5.1523058378633198E-3</v>
      </c>
    </row>
    <row r="5300" spans="8:8" ht="15" customHeight="1" x14ac:dyDescent="0.2">
      <c r="H5300" s="19">
        <v>-1.6540592859194299E-2</v>
      </c>
    </row>
    <row r="5301" spans="8:8" ht="15" customHeight="1" x14ac:dyDescent="0.2">
      <c r="H5301" s="19">
        <v>1.4824714504470499E-2</v>
      </c>
    </row>
    <row r="5302" spans="8:8" ht="15" customHeight="1" x14ac:dyDescent="0.2">
      <c r="H5302" s="19">
        <v>-1.3953877534844301E-2</v>
      </c>
    </row>
    <row r="5303" spans="8:8" ht="15" customHeight="1" x14ac:dyDescent="0.2">
      <c r="H5303" s="19">
        <v>5.6869560922246203E-3</v>
      </c>
    </row>
    <row r="5304" spans="8:8" ht="15" customHeight="1" x14ac:dyDescent="0.2">
      <c r="H5304" s="19">
        <v>-3.2909281308209398E-3</v>
      </c>
    </row>
    <row r="5305" spans="8:8" ht="15" customHeight="1" x14ac:dyDescent="0.2">
      <c r="H5305" s="19">
        <v>-3.3474889843791802E-3</v>
      </c>
    </row>
    <row r="5306" spans="8:8" ht="15" customHeight="1" x14ac:dyDescent="0.2">
      <c r="H5306" s="19">
        <v>-1.26707431593689E-2</v>
      </c>
    </row>
    <row r="5307" spans="8:8" ht="15" customHeight="1" x14ac:dyDescent="0.2">
      <c r="H5307" s="19">
        <v>-6.0637083408329297E-3</v>
      </c>
    </row>
    <row r="5308" spans="8:8" ht="15" customHeight="1" x14ac:dyDescent="0.2">
      <c r="H5308" s="19">
        <v>1.26543086259238E-2</v>
      </c>
    </row>
    <row r="5309" spans="8:8" ht="15" customHeight="1" x14ac:dyDescent="0.2">
      <c r="H5309" s="19">
        <v>1.1270559323869001E-2</v>
      </c>
    </row>
    <row r="5310" spans="8:8" ht="15" customHeight="1" x14ac:dyDescent="0.2">
      <c r="H5310" s="19">
        <v>4.6273558705320498E-3</v>
      </c>
    </row>
    <row r="5311" spans="8:8" ht="15" customHeight="1" x14ac:dyDescent="0.2">
      <c r="H5311" s="19">
        <v>-9.3042728103625606E-3</v>
      </c>
    </row>
    <row r="5312" spans="8:8" ht="15" customHeight="1" x14ac:dyDescent="0.2">
      <c r="H5312" s="19">
        <v>6.4418650799229803E-3</v>
      </c>
    </row>
    <row r="5313" spans="8:8" ht="15" customHeight="1" x14ac:dyDescent="0.2">
      <c r="H5313" s="19">
        <v>7.5384256201881496E-3</v>
      </c>
    </row>
    <row r="5314" spans="8:8" ht="15" customHeight="1" x14ac:dyDescent="0.2">
      <c r="H5314" s="19">
        <v>1.21320830037638E-2</v>
      </c>
    </row>
    <row r="5315" spans="8:8" ht="15" customHeight="1" x14ac:dyDescent="0.2">
      <c r="H5315" s="19">
        <v>-1.61155935118731E-2</v>
      </c>
    </row>
    <row r="5316" spans="8:8" ht="15" customHeight="1" x14ac:dyDescent="0.2">
      <c r="H5316" s="19">
        <v>-1.23800560592175E-3</v>
      </c>
    </row>
    <row r="5317" spans="8:8" ht="15" customHeight="1" x14ac:dyDescent="0.2">
      <c r="H5317" s="19">
        <v>1.2351145865516999E-2</v>
      </c>
    </row>
    <row r="5318" spans="8:8" ht="15" customHeight="1" x14ac:dyDescent="0.2">
      <c r="H5318" s="19">
        <v>4.5136219067471702E-3</v>
      </c>
    </row>
    <row r="5319" spans="8:8" ht="15" customHeight="1" x14ac:dyDescent="0.2">
      <c r="H5319" s="19">
        <v>-1.48345506427338E-2</v>
      </c>
    </row>
    <row r="5320" spans="8:8" ht="15" customHeight="1" x14ac:dyDescent="0.2">
      <c r="H5320" s="19">
        <v>3.7777748557280097E-4</v>
      </c>
    </row>
    <row r="5321" spans="8:8" ht="15" customHeight="1" x14ac:dyDescent="0.2">
      <c r="H5321" s="19">
        <v>-6.9770141699706002E-3</v>
      </c>
    </row>
    <row r="5322" spans="8:8" ht="15" customHeight="1" x14ac:dyDescent="0.2">
      <c r="H5322" s="19">
        <v>-4.0515565387277096E-3</v>
      </c>
    </row>
    <row r="5323" spans="8:8" ht="15" customHeight="1" x14ac:dyDescent="0.2">
      <c r="H5323" s="19">
        <v>-9.3884021639408302E-3</v>
      </c>
    </row>
    <row r="5324" spans="8:8" ht="15" customHeight="1" x14ac:dyDescent="0.2">
      <c r="H5324" s="19">
        <v>2.6915806779231099E-3</v>
      </c>
    </row>
    <row r="5325" spans="8:8" ht="15" customHeight="1" x14ac:dyDescent="0.2">
      <c r="H5325" s="19">
        <v>-2.7585167381124799E-3</v>
      </c>
    </row>
    <row r="5326" spans="8:8" ht="15" customHeight="1" x14ac:dyDescent="0.2">
      <c r="H5326" s="19">
        <v>5.6285154534047102E-3</v>
      </c>
    </row>
    <row r="5327" spans="8:8" ht="15" customHeight="1" x14ac:dyDescent="0.2">
      <c r="H5327" s="19">
        <v>-1.0307299208390901E-3</v>
      </c>
    </row>
    <row r="5328" spans="8:8" ht="15" customHeight="1" x14ac:dyDescent="0.2">
      <c r="H5328" s="19">
        <v>1.08533355211044E-2</v>
      </c>
    </row>
    <row r="5329" spans="8:8" ht="15" customHeight="1" x14ac:dyDescent="0.2">
      <c r="H5329" s="19">
        <v>4.2612973481089998E-3</v>
      </c>
    </row>
    <row r="5330" spans="8:8" ht="15" customHeight="1" x14ac:dyDescent="0.2">
      <c r="H5330" s="19">
        <v>9.1156443631978598E-3</v>
      </c>
    </row>
    <row r="5331" spans="8:8" ht="15" customHeight="1" x14ac:dyDescent="0.2">
      <c r="H5331" s="19">
        <v>-1.0163216392391801E-2</v>
      </c>
    </row>
    <row r="5332" spans="8:8" ht="15" customHeight="1" x14ac:dyDescent="0.2">
      <c r="H5332" s="19">
        <v>-1.65029320353515E-3</v>
      </c>
    </row>
    <row r="5333" spans="8:8" ht="15" customHeight="1" x14ac:dyDescent="0.2">
      <c r="H5333" s="19">
        <v>7.3569769077453401E-3</v>
      </c>
    </row>
    <row r="5334" spans="8:8" ht="15" customHeight="1" x14ac:dyDescent="0.2">
      <c r="H5334" s="19">
        <v>2.2808013588580599E-2</v>
      </c>
    </row>
    <row r="5335" spans="8:8" ht="15" customHeight="1" x14ac:dyDescent="0.2">
      <c r="H5335" s="19">
        <v>-1.335553141158E-3</v>
      </c>
    </row>
    <row r="5336" spans="8:8" ht="15" customHeight="1" x14ac:dyDescent="0.2">
      <c r="H5336" s="19">
        <v>-3.10097447170653E-3</v>
      </c>
    </row>
    <row r="5337" spans="8:8" ht="15" customHeight="1" x14ac:dyDescent="0.2">
      <c r="H5337" s="19">
        <v>-2.2692835072370301E-3</v>
      </c>
    </row>
    <row r="5338" spans="8:8" ht="15" customHeight="1" x14ac:dyDescent="0.2">
      <c r="H5338" s="19">
        <v>8.8893404463274307E-3</v>
      </c>
    </row>
    <row r="5339" spans="8:8" ht="15" customHeight="1" x14ac:dyDescent="0.2">
      <c r="H5339" s="19">
        <v>-1.6108585987255099E-2</v>
      </c>
    </row>
    <row r="5340" spans="8:8" ht="15" customHeight="1" x14ac:dyDescent="0.2">
      <c r="H5340" s="19">
        <v>3.4674236610273499E-3</v>
      </c>
    </row>
    <row r="5341" spans="8:8" ht="15" customHeight="1" x14ac:dyDescent="0.2">
      <c r="H5341" s="19">
        <v>-4.9581004300876504E-3</v>
      </c>
    </row>
    <row r="5342" spans="8:8" ht="15" customHeight="1" x14ac:dyDescent="0.2">
      <c r="H5342" s="19">
        <v>1.95689515467296E-2</v>
      </c>
    </row>
    <row r="5343" spans="8:8" ht="15" customHeight="1" x14ac:dyDescent="0.2">
      <c r="H5343" s="19">
        <v>1.43386365097539E-3</v>
      </c>
    </row>
    <row r="5344" spans="8:8" ht="15" customHeight="1" x14ac:dyDescent="0.2">
      <c r="H5344" s="19">
        <v>-1.3664187643368001E-2</v>
      </c>
    </row>
    <row r="5345" spans="8:8" ht="15" customHeight="1" x14ac:dyDescent="0.2">
      <c r="H5345" s="19">
        <v>-5.9470944679730397E-3</v>
      </c>
    </row>
    <row r="5346" spans="8:8" ht="15" customHeight="1" x14ac:dyDescent="0.2">
      <c r="H5346" s="19">
        <v>1.0477701516077201E-2</v>
      </c>
    </row>
    <row r="5347" spans="8:8" ht="15" customHeight="1" x14ac:dyDescent="0.2">
      <c r="H5347" s="19">
        <v>3.8960932292580398E-3</v>
      </c>
    </row>
    <row r="5348" spans="8:8" ht="15" customHeight="1" x14ac:dyDescent="0.2">
      <c r="H5348" s="19">
        <v>-2.3441800270869199E-3</v>
      </c>
    </row>
    <row r="5349" spans="8:8" ht="15" customHeight="1" x14ac:dyDescent="0.2">
      <c r="H5349" s="19">
        <v>3.0348773575114701E-3</v>
      </c>
    </row>
    <row r="5350" spans="8:8" ht="15" customHeight="1" x14ac:dyDescent="0.2">
      <c r="H5350" s="19">
        <v>2.3942811845634501E-2</v>
      </c>
    </row>
    <row r="5351" spans="8:8" ht="15" customHeight="1" x14ac:dyDescent="0.2">
      <c r="H5351" s="19">
        <v>2.2222730225524099E-2</v>
      </c>
    </row>
    <row r="5352" spans="8:8" ht="15" customHeight="1" x14ac:dyDescent="0.2">
      <c r="H5352" s="19">
        <v>-1.28321831154087E-3</v>
      </c>
    </row>
    <row r="5353" spans="8:8" ht="15" customHeight="1" x14ac:dyDescent="0.2">
      <c r="H5353" s="19">
        <v>5.38900436925844E-3</v>
      </c>
    </row>
    <row r="5354" spans="8:8" ht="15" customHeight="1" x14ac:dyDescent="0.2">
      <c r="H5354" s="19">
        <v>-1.1290110607506201E-2</v>
      </c>
    </row>
    <row r="5355" spans="8:8" ht="15" customHeight="1" x14ac:dyDescent="0.2">
      <c r="H5355" s="19">
        <v>-1.16223679571637E-2</v>
      </c>
    </row>
    <row r="5356" spans="8:8" ht="15" customHeight="1" x14ac:dyDescent="0.2">
      <c r="H5356" s="19">
        <v>-6.58857772512842E-3</v>
      </c>
    </row>
    <row r="5357" spans="8:8" ht="15" customHeight="1" x14ac:dyDescent="0.2">
      <c r="H5357" s="19">
        <v>5.2527430233241298E-3</v>
      </c>
    </row>
    <row r="5358" spans="8:8" ht="15" customHeight="1" x14ac:dyDescent="0.2">
      <c r="H5358" s="19">
        <v>3.3693468419426E-4</v>
      </c>
    </row>
    <row r="5359" spans="8:8" ht="15" customHeight="1" x14ac:dyDescent="0.2">
      <c r="H5359" s="19">
        <v>-3.9020982405278998E-3</v>
      </c>
    </row>
    <row r="5360" spans="8:8" ht="15" customHeight="1" x14ac:dyDescent="0.2">
      <c r="H5360" s="19">
        <v>1.4254924202136801E-2</v>
      </c>
    </row>
    <row r="5361" spans="8:8" ht="15" customHeight="1" x14ac:dyDescent="0.2">
      <c r="H5361" s="19">
        <v>2.1247860733739602E-3</v>
      </c>
    </row>
    <row r="5362" spans="8:8" ht="15" customHeight="1" x14ac:dyDescent="0.2">
      <c r="H5362" s="19">
        <v>7.2541664216937401E-3</v>
      </c>
    </row>
    <row r="5363" spans="8:8" ht="15" customHeight="1" x14ac:dyDescent="0.2">
      <c r="H5363" s="19">
        <v>-1.6957898637477799E-2</v>
      </c>
    </row>
    <row r="5364" spans="8:8" ht="15" customHeight="1" x14ac:dyDescent="0.2">
      <c r="H5364" s="19">
        <v>4.0304706117635401E-6</v>
      </c>
    </row>
    <row r="5365" spans="8:8" ht="15" customHeight="1" x14ac:dyDescent="0.2">
      <c r="H5365" s="19">
        <v>-5.0149902416300298E-3</v>
      </c>
    </row>
    <row r="5366" spans="8:8" ht="15" customHeight="1" x14ac:dyDescent="0.2">
      <c r="H5366" s="19">
        <v>9.2413607150615799E-3</v>
      </c>
    </row>
    <row r="5367" spans="8:8" ht="15" customHeight="1" x14ac:dyDescent="0.2">
      <c r="H5367" s="19">
        <v>3.40520476996859E-3</v>
      </c>
    </row>
    <row r="5368" spans="8:8" ht="15" customHeight="1" x14ac:dyDescent="0.2">
      <c r="H5368" s="19">
        <v>1.93964356196138E-3</v>
      </c>
    </row>
    <row r="5369" spans="8:8" ht="15" customHeight="1" x14ac:dyDescent="0.2">
      <c r="H5369" s="19">
        <v>-1.28803835520133E-3</v>
      </c>
    </row>
    <row r="5370" spans="8:8" ht="15" customHeight="1" x14ac:dyDescent="0.2">
      <c r="H5370" s="19">
        <v>3.7929399098353299E-3</v>
      </c>
    </row>
    <row r="5371" spans="8:8" ht="15" customHeight="1" x14ac:dyDescent="0.2">
      <c r="H5371" s="19">
        <v>9.8830256700240503E-3</v>
      </c>
    </row>
    <row r="5372" spans="8:8" ht="15" customHeight="1" x14ac:dyDescent="0.2">
      <c r="H5372" s="19">
        <v>1.04650040648039E-2</v>
      </c>
    </row>
    <row r="5373" spans="8:8" ht="15" customHeight="1" x14ac:dyDescent="0.2">
      <c r="H5373" s="19">
        <v>-3.0339572041977701E-3</v>
      </c>
    </row>
    <row r="5374" spans="8:8" ht="15" customHeight="1" x14ac:dyDescent="0.2">
      <c r="H5374" s="19">
        <v>1.33034442430605E-2</v>
      </c>
    </row>
    <row r="5375" spans="8:8" ht="15" customHeight="1" x14ac:dyDescent="0.2">
      <c r="H5375" s="19">
        <v>-3.6749912377086499E-3</v>
      </c>
    </row>
    <row r="5376" spans="8:8" ht="15" customHeight="1" x14ac:dyDescent="0.2">
      <c r="H5376" s="19">
        <v>-1.3169343645261801E-2</v>
      </c>
    </row>
    <row r="5377" spans="8:8" ht="15" customHeight="1" x14ac:dyDescent="0.2">
      <c r="H5377" s="19">
        <v>-1.2216882954834699E-2</v>
      </c>
    </row>
    <row r="5378" spans="8:8" ht="15" customHeight="1" x14ac:dyDescent="0.2">
      <c r="H5378" s="19">
        <v>-5.1591269882947702E-4</v>
      </c>
    </row>
    <row r="5379" spans="8:8" ht="15" customHeight="1" x14ac:dyDescent="0.2">
      <c r="H5379" s="19">
        <v>-6.3832437288558301E-3</v>
      </c>
    </row>
    <row r="5380" spans="8:8" ht="15" customHeight="1" x14ac:dyDescent="0.2">
      <c r="H5380" s="19">
        <v>3.0825215118644301E-3</v>
      </c>
    </row>
    <row r="5381" spans="8:8" ht="15" customHeight="1" x14ac:dyDescent="0.2">
      <c r="H5381" s="19">
        <v>-1.2447101266066501E-2</v>
      </c>
    </row>
    <row r="5382" spans="8:8" ht="15" customHeight="1" x14ac:dyDescent="0.2">
      <c r="H5382" s="19">
        <v>5.1306027614763201E-3</v>
      </c>
    </row>
    <row r="5383" spans="8:8" ht="15" customHeight="1" x14ac:dyDescent="0.2">
      <c r="H5383" s="19">
        <v>1.14475106172144E-2</v>
      </c>
    </row>
    <row r="5384" spans="8:8" ht="15" customHeight="1" x14ac:dyDescent="0.2">
      <c r="H5384" s="19">
        <v>-1.4223725425703999E-2</v>
      </c>
    </row>
    <row r="5385" spans="8:8" ht="15" customHeight="1" x14ac:dyDescent="0.2">
      <c r="H5385" s="19">
        <v>1.3399124065646101E-3</v>
      </c>
    </row>
    <row r="5386" spans="8:8" ht="15" customHeight="1" x14ac:dyDescent="0.2">
      <c r="H5386" s="19">
        <v>-1.18547993750163E-2</v>
      </c>
    </row>
    <row r="5387" spans="8:8" ht="15" customHeight="1" x14ac:dyDescent="0.2">
      <c r="H5387" s="19">
        <v>9.3741018556113196E-4</v>
      </c>
    </row>
    <row r="5388" spans="8:8" ht="15" customHeight="1" x14ac:dyDescent="0.2">
      <c r="H5388" s="19">
        <v>-7.21366851846756E-3</v>
      </c>
    </row>
    <row r="5389" spans="8:8" ht="15" customHeight="1" x14ac:dyDescent="0.2">
      <c r="H5389" s="19">
        <v>-2.0126726439512999E-3</v>
      </c>
    </row>
    <row r="5390" spans="8:8" ht="15" customHeight="1" x14ac:dyDescent="0.2">
      <c r="H5390" s="19">
        <v>4.51204834001583E-3</v>
      </c>
    </row>
    <row r="5391" spans="8:8" ht="15" customHeight="1" x14ac:dyDescent="0.2">
      <c r="H5391" s="19">
        <v>-4.7712116668039099E-3</v>
      </c>
    </row>
    <row r="5392" spans="8:8" ht="15" customHeight="1" x14ac:dyDescent="0.2">
      <c r="H5392" s="19">
        <v>-1.069826589302E-2</v>
      </c>
    </row>
    <row r="5393" spans="8:8" ht="15" customHeight="1" x14ac:dyDescent="0.2">
      <c r="H5393" s="19">
        <v>-8.3831203791242901E-3</v>
      </c>
    </row>
    <row r="5394" spans="8:8" ht="15" customHeight="1" x14ac:dyDescent="0.2">
      <c r="H5394" s="19">
        <v>1.35003081701844E-2</v>
      </c>
    </row>
    <row r="5395" spans="8:8" ht="15" customHeight="1" x14ac:dyDescent="0.2">
      <c r="H5395" s="19">
        <v>1.08614068505453E-2</v>
      </c>
    </row>
    <row r="5396" spans="8:8" ht="15" customHeight="1" x14ac:dyDescent="0.2">
      <c r="H5396" s="19">
        <v>1.4608715807273799E-2</v>
      </c>
    </row>
    <row r="5397" spans="8:8" ht="15" customHeight="1" x14ac:dyDescent="0.2">
      <c r="H5397" s="19">
        <v>5.7171404510250202E-3</v>
      </c>
    </row>
    <row r="5398" spans="8:8" ht="15" customHeight="1" x14ac:dyDescent="0.2">
      <c r="H5398" s="19">
        <v>-4.4303493355646404E-3</v>
      </c>
    </row>
    <row r="5399" spans="8:8" ht="15" customHeight="1" x14ac:dyDescent="0.2">
      <c r="H5399" s="19">
        <v>9.8373726756427709E-4</v>
      </c>
    </row>
    <row r="5400" spans="8:8" ht="15" customHeight="1" x14ac:dyDescent="0.2">
      <c r="H5400" s="19">
        <v>7.6491994244290203E-3</v>
      </c>
    </row>
    <row r="5401" spans="8:8" ht="15" customHeight="1" x14ac:dyDescent="0.2">
      <c r="H5401" s="19">
        <v>9.7072157522149697E-4</v>
      </c>
    </row>
    <row r="5402" spans="8:8" ht="15" customHeight="1" x14ac:dyDescent="0.2">
      <c r="H5402" s="19">
        <v>-1.3586465295644099E-3</v>
      </c>
    </row>
    <row r="5403" spans="8:8" ht="15" customHeight="1" x14ac:dyDescent="0.2">
      <c r="H5403" s="19">
        <v>-5.55789984097686E-3</v>
      </c>
    </row>
    <row r="5404" spans="8:8" ht="15" customHeight="1" x14ac:dyDescent="0.2">
      <c r="H5404" s="19">
        <v>-3.4251706329384499E-3</v>
      </c>
    </row>
    <row r="5405" spans="8:8" ht="15" customHeight="1" x14ac:dyDescent="0.2">
      <c r="H5405" s="19">
        <v>1.9329569924243001E-3</v>
      </c>
    </row>
    <row r="5406" spans="8:8" ht="15" customHeight="1" x14ac:dyDescent="0.2">
      <c r="H5406" s="19">
        <v>-7.0689964532349801E-3</v>
      </c>
    </row>
    <row r="5407" spans="8:8" ht="15" customHeight="1" x14ac:dyDescent="0.2">
      <c r="H5407" s="19">
        <v>-3.6949189409403102E-2</v>
      </c>
    </row>
    <row r="5408" spans="8:8" ht="15" customHeight="1" x14ac:dyDescent="0.2">
      <c r="H5408" s="19">
        <v>5.6284994853657202E-3</v>
      </c>
    </row>
    <row r="5409" spans="8:8" ht="15" customHeight="1" x14ac:dyDescent="0.2">
      <c r="H5409" s="19">
        <v>8.6408235370167407E-3</v>
      </c>
    </row>
    <row r="5410" spans="8:8" ht="15" customHeight="1" x14ac:dyDescent="0.2">
      <c r="H5410" s="19">
        <v>6.5361408711098797E-3</v>
      </c>
    </row>
    <row r="5411" spans="8:8" ht="15" customHeight="1" x14ac:dyDescent="0.2">
      <c r="H5411" s="19">
        <v>1.2908269002933501E-2</v>
      </c>
    </row>
    <row r="5412" spans="8:8" ht="15" customHeight="1" x14ac:dyDescent="0.2">
      <c r="H5412" s="19">
        <v>-6.3325830261640997E-3</v>
      </c>
    </row>
    <row r="5413" spans="8:8" ht="15" customHeight="1" x14ac:dyDescent="0.2">
      <c r="H5413" s="19">
        <v>-1.4747698302789301E-2</v>
      </c>
    </row>
    <row r="5414" spans="8:8" ht="15" customHeight="1" x14ac:dyDescent="0.2">
      <c r="H5414" s="19">
        <v>-8.9049531328851007E-3</v>
      </c>
    </row>
    <row r="5415" spans="8:8" ht="15" customHeight="1" x14ac:dyDescent="0.2">
      <c r="H5415" s="19">
        <v>5.8511440638421E-4</v>
      </c>
    </row>
    <row r="5416" spans="8:8" ht="15" customHeight="1" x14ac:dyDescent="0.2">
      <c r="H5416" s="19">
        <v>1.7610753918401801E-3</v>
      </c>
    </row>
    <row r="5417" spans="8:8" ht="15" customHeight="1" x14ac:dyDescent="0.2">
      <c r="H5417" s="19">
        <v>8.4632001208757406E-3</v>
      </c>
    </row>
    <row r="5418" spans="8:8" ht="15" customHeight="1" x14ac:dyDescent="0.2">
      <c r="H5418" s="19">
        <v>1.68236463801123E-2</v>
      </c>
    </row>
    <row r="5419" spans="8:8" ht="15" customHeight="1" x14ac:dyDescent="0.2">
      <c r="H5419" s="19">
        <v>2.0368195273805299E-3</v>
      </c>
    </row>
    <row r="5420" spans="8:8" ht="15" customHeight="1" x14ac:dyDescent="0.2">
      <c r="H5420" s="19">
        <v>3.2727551701744501E-3</v>
      </c>
    </row>
    <row r="5421" spans="8:8" ht="15" customHeight="1" x14ac:dyDescent="0.2">
      <c r="H5421" s="19">
        <v>-3.5910131274914702E-3</v>
      </c>
    </row>
    <row r="5422" spans="8:8" ht="15" customHeight="1" x14ac:dyDescent="0.2">
      <c r="H5422" s="19">
        <v>1.9267747673595799E-2</v>
      </c>
    </row>
    <row r="5423" spans="8:8" ht="15" customHeight="1" x14ac:dyDescent="0.2">
      <c r="H5423" s="19">
        <v>1.0792852516464801E-3</v>
      </c>
    </row>
    <row r="5424" spans="8:8" ht="15" customHeight="1" x14ac:dyDescent="0.2">
      <c r="H5424" s="19">
        <v>1.1575817651031E-2</v>
      </c>
    </row>
    <row r="5425" spans="8:8" ht="15" customHeight="1" x14ac:dyDescent="0.2">
      <c r="H5425" s="19">
        <v>-1.9093718406755399E-2</v>
      </c>
    </row>
    <row r="5426" spans="8:8" ht="15" customHeight="1" x14ac:dyDescent="0.2">
      <c r="H5426" s="19">
        <v>-1.5872289423353701E-2</v>
      </c>
    </row>
    <row r="5427" spans="8:8" ht="15" customHeight="1" x14ac:dyDescent="0.2">
      <c r="H5427" s="19">
        <v>5.3441919936330698E-3</v>
      </c>
    </row>
    <row r="5428" spans="8:8" ht="15" customHeight="1" x14ac:dyDescent="0.2">
      <c r="H5428" s="19">
        <v>-1.5911056870510299E-2</v>
      </c>
    </row>
    <row r="5429" spans="8:8" ht="15" customHeight="1" x14ac:dyDescent="0.2">
      <c r="H5429" s="19">
        <v>1.32247310319288E-2</v>
      </c>
    </row>
    <row r="5430" spans="8:8" ht="15" customHeight="1" x14ac:dyDescent="0.2">
      <c r="H5430" s="19">
        <v>-7.8294921745217707E-3</v>
      </c>
    </row>
    <row r="5431" spans="8:8" ht="15" customHeight="1" x14ac:dyDescent="0.2">
      <c r="H5431" s="19">
        <v>7.6056029961123796E-3</v>
      </c>
    </row>
    <row r="5432" spans="8:8" ht="15" customHeight="1" x14ac:dyDescent="0.2">
      <c r="H5432" s="19">
        <v>3.8658911593312199E-3</v>
      </c>
    </row>
    <row r="5433" spans="8:8" ht="15" customHeight="1" x14ac:dyDescent="0.2">
      <c r="H5433" s="19">
        <v>-7.9280366387043805E-3</v>
      </c>
    </row>
    <row r="5434" spans="8:8" ht="15" customHeight="1" x14ac:dyDescent="0.2">
      <c r="H5434" s="19">
        <v>-5.0837040638161603E-3</v>
      </c>
    </row>
    <row r="5435" spans="8:8" ht="15" customHeight="1" x14ac:dyDescent="0.2">
      <c r="H5435" s="19">
        <v>-7.7913668398729805E-4</v>
      </c>
    </row>
    <row r="5436" spans="8:8" ht="15" customHeight="1" x14ac:dyDescent="0.2">
      <c r="H5436" s="19">
        <v>-1.8810196367943999E-2</v>
      </c>
    </row>
    <row r="5437" spans="8:8" ht="15" customHeight="1" x14ac:dyDescent="0.2">
      <c r="H5437" s="19">
        <v>-9.7084550845844692E-3</v>
      </c>
    </row>
    <row r="5438" spans="8:8" ht="15" customHeight="1" x14ac:dyDescent="0.2">
      <c r="H5438" s="19">
        <v>1.1373308186396199E-2</v>
      </c>
    </row>
    <row r="5439" spans="8:8" ht="15" customHeight="1" x14ac:dyDescent="0.2">
      <c r="H5439" s="19">
        <v>-1.45705887773306E-2</v>
      </c>
    </row>
    <row r="5440" spans="8:8" ht="15" customHeight="1" x14ac:dyDescent="0.2">
      <c r="H5440" s="19">
        <v>1.4049883872664501E-2</v>
      </c>
    </row>
    <row r="5441" spans="8:8" ht="15" customHeight="1" x14ac:dyDescent="0.2">
      <c r="H5441" s="19">
        <v>-9.6532553352107102E-4</v>
      </c>
    </row>
    <row r="5442" spans="8:8" ht="15" customHeight="1" x14ac:dyDescent="0.2">
      <c r="H5442" s="19">
        <v>-9.1150891512110596E-4</v>
      </c>
    </row>
    <row r="5443" spans="8:8" ht="15" customHeight="1" x14ac:dyDescent="0.2">
      <c r="H5443" s="19">
        <v>5.8059734630176597E-3</v>
      </c>
    </row>
    <row r="5444" spans="8:8" ht="15" customHeight="1" x14ac:dyDescent="0.2">
      <c r="H5444" s="19">
        <v>4.2770667657115197E-3</v>
      </c>
    </row>
    <row r="5445" spans="8:8" ht="15" customHeight="1" x14ac:dyDescent="0.2">
      <c r="H5445" s="19">
        <v>5.9610015188330803E-3</v>
      </c>
    </row>
    <row r="5446" spans="8:8" ht="15" customHeight="1" x14ac:dyDescent="0.2">
      <c r="H5446" s="19">
        <v>1.27747392017101E-2</v>
      </c>
    </row>
    <row r="5447" spans="8:8" ht="15" customHeight="1" x14ac:dyDescent="0.2">
      <c r="H5447" s="19">
        <v>-5.6975556656430597E-3</v>
      </c>
    </row>
    <row r="5448" spans="8:8" ht="15" customHeight="1" x14ac:dyDescent="0.2">
      <c r="H5448" s="19">
        <v>-2.60454258090481E-3</v>
      </c>
    </row>
    <row r="5449" spans="8:8" ht="15" customHeight="1" x14ac:dyDescent="0.2">
      <c r="H5449" s="19">
        <v>-9.9064943808939692E-3</v>
      </c>
    </row>
    <row r="5450" spans="8:8" ht="15" customHeight="1" x14ac:dyDescent="0.2">
      <c r="H5450" s="19">
        <v>6.5727603924282197E-3</v>
      </c>
    </row>
    <row r="5451" spans="8:8" ht="15" customHeight="1" x14ac:dyDescent="0.2">
      <c r="H5451" s="19">
        <v>4.9315486056670096E-3</v>
      </c>
    </row>
    <row r="5452" spans="8:8" ht="15" customHeight="1" x14ac:dyDescent="0.2">
      <c r="H5452" s="19">
        <v>6.64082593794562E-3</v>
      </c>
    </row>
    <row r="5453" spans="8:8" ht="15" customHeight="1" x14ac:dyDescent="0.2">
      <c r="H5453" s="19">
        <v>9.8945111558128001E-3</v>
      </c>
    </row>
    <row r="5454" spans="8:8" ht="15" customHeight="1" x14ac:dyDescent="0.2">
      <c r="H5454" s="19">
        <v>1.5139846084280401E-2</v>
      </c>
    </row>
    <row r="5455" spans="8:8" ht="15" customHeight="1" x14ac:dyDescent="0.2">
      <c r="H5455" s="19">
        <v>-3.0465342668961801E-3</v>
      </c>
    </row>
    <row r="5456" spans="8:8" ht="15" customHeight="1" x14ac:dyDescent="0.2">
      <c r="H5456" s="19">
        <v>4.2097082014517003E-3</v>
      </c>
    </row>
    <row r="5457" spans="8:8" ht="15" customHeight="1" x14ac:dyDescent="0.2">
      <c r="H5457" s="19">
        <v>-2.3757974862949199E-3</v>
      </c>
    </row>
    <row r="5458" spans="8:8" ht="15" customHeight="1" x14ac:dyDescent="0.2">
      <c r="H5458" s="19">
        <v>-1.4846397456692801E-2</v>
      </c>
    </row>
    <row r="5459" spans="8:8" ht="15" customHeight="1" x14ac:dyDescent="0.2">
      <c r="H5459" s="19">
        <v>7.8404969107903101E-3</v>
      </c>
    </row>
    <row r="5460" spans="8:8" ht="15" customHeight="1" x14ac:dyDescent="0.2">
      <c r="H5460" s="19">
        <v>1.73378467856403E-2</v>
      </c>
    </row>
    <row r="5461" spans="8:8" ht="15" customHeight="1" x14ac:dyDescent="0.2">
      <c r="H5461" s="19">
        <v>2.98223562903741E-3</v>
      </c>
    </row>
    <row r="5462" spans="8:8" ht="15" customHeight="1" x14ac:dyDescent="0.2">
      <c r="H5462" s="19">
        <v>1.06503728694033E-3</v>
      </c>
    </row>
    <row r="5463" spans="8:8" ht="15" customHeight="1" x14ac:dyDescent="0.2">
      <c r="H5463" s="19">
        <v>-2.90577508004856E-3</v>
      </c>
    </row>
    <row r="5464" spans="8:8" ht="15" customHeight="1" x14ac:dyDescent="0.2">
      <c r="H5464" s="19">
        <v>-8.3814800328574596E-4</v>
      </c>
    </row>
    <row r="5465" spans="8:8" ht="15" customHeight="1" x14ac:dyDescent="0.2">
      <c r="H5465" s="19">
        <v>1.80963318533999E-3</v>
      </c>
    </row>
    <row r="5466" spans="8:8" ht="15" customHeight="1" x14ac:dyDescent="0.2">
      <c r="H5466" s="19">
        <v>7.5732778613176802E-3</v>
      </c>
    </row>
    <row r="5467" spans="8:8" ht="15" customHeight="1" x14ac:dyDescent="0.2">
      <c r="H5467" s="19">
        <v>-7.9083146996133894E-3</v>
      </c>
    </row>
    <row r="5468" spans="8:8" ht="15" customHeight="1" x14ac:dyDescent="0.2">
      <c r="H5468" s="19">
        <v>-8.7827376333850793E-3</v>
      </c>
    </row>
    <row r="5469" spans="8:8" ht="15" customHeight="1" x14ac:dyDescent="0.2">
      <c r="H5469" s="19">
        <v>2.2389223751236399E-2</v>
      </c>
    </row>
    <row r="5470" spans="8:8" ht="15" customHeight="1" x14ac:dyDescent="0.2">
      <c r="H5470" s="19">
        <v>9.5578696974352104E-3</v>
      </c>
    </row>
    <row r="5471" spans="8:8" ht="15" customHeight="1" x14ac:dyDescent="0.2">
      <c r="H5471" s="19">
        <v>-1.5484610242037299E-2</v>
      </c>
    </row>
    <row r="5472" spans="8:8" ht="15" customHeight="1" x14ac:dyDescent="0.2">
      <c r="H5472" s="19">
        <v>-3.8593505171261901E-3</v>
      </c>
    </row>
    <row r="5473" spans="8:8" ht="15" customHeight="1" x14ac:dyDescent="0.2">
      <c r="H5473" s="19">
        <v>-9.4298946578632303E-3</v>
      </c>
    </row>
    <row r="5474" spans="8:8" ht="15" customHeight="1" x14ac:dyDescent="0.2">
      <c r="H5474" s="19">
        <v>-6.5590220347384902E-3</v>
      </c>
    </row>
    <row r="5475" spans="8:8" ht="15" customHeight="1" x14ac:dyDescent="0.2">
      <c r="H5475" s="19">
        <v>8.3332806658896995E-3</v>
      </c>
    </row>
    <row r="5476" spans="8:8" ht="15" customHeight="1" x14ac:dyDescent="0.2">
      <c r="H5476" s="19">
        <v>8.9331868949724304E-3</v>
      </c>
    </row>
    <row r="5477" spans="8:8" ht="15" customHeight="1" x14ac:dyDescent="0.2">
      <c r="H5477" s="19">
        <v>-4.0686868472542799E-3</v>
      </c>
    </row>
    <row r="5478" spans="8:8" ht="15" customHeight="1" x14ac:dyDescent="0.2">
      <c r="H5478" s="19">
        <v>2.2062241801588801E-3</v>
      </c>
    </row>
    <row r="5479" spans="8:8" ht="15" customHeight="1" x14ac:dyDescent="0.2">
      <c r="H5479" s="19">
        <v>-7.0195293452016997E-3</v>
      </c>
    </row>
    <row r="5480" spans="8:8" ht="15" customHeight="1" x14ac:dyDescent="0.2">
      <c r="H5480" s="19">
        <v>-1.06128148064624E-2</v>
      </c>
    </row>
    <row r="5481" spans="8:8" ht="15" customHeight="1" x14ac:dyDescent="0.2">
      <c r="H5481" s="19">
        <v>2.3405634798488199E-3</v>
      </c>
    </row>
    <row r="5482" spans="8:8" ht="15" customHeight="1" x14ac:dyDescent="0.2">
      <c r="H5482" s="19">
        <v>-3.8158919450577799E-3</v>
      </c>
    </row>
    <row r="5483" spans="8:8" ht="15" customHeight="1" x14ac:dyDescent="0.2">
      <c r="H5483" s="19">
        <v>-1.0571278126759599E-2</v>
      </c>
    </row>
    <row r="5484" spans="8:8" ht="15" customHeight="1" x14ac:dyDescent="0.2">
      <c r="H5484" s="19">
        <v>-1.03086395096762E-2</v>
      </c>
    </row>
    <row r="5485" spans="8:8" ht="15" customHeight="1" x14ac:dyDescent="0.2">
      <c r="H5485" s="19">
        <v>-1.1742429965840901E-2</v>
      </c>
    </row>
    <row r="5486" spans="8:8" ht="15" customHeight="1" x14ac:dyDescent="0.2">
      <c r="H5486" s="19">
        <v>8.8297182552574995E-3</v>
      </c>
    </row>
    <row r="5487" spans="8:8" ht="15" customHeight="1" x14ac:dyDescent="0.2">
      <c r="H5487" s="19">
        <v>-6.3284695452312202E-3</v>
      </c>
    </row>
    <row r="5488" spans="8:8" ht="15" customHeight="1" x14ac:dyDescent="0.2">
      <c r="H5488" s="19">
        <v>1.1553270061046301E-2</v>
      </c>
    </row>
    <row r="5489" spans="8:8" ht="15" customHeight="1" x14ac:dyDescent="0.2">
      <c r="H5489" s="19">
        <v>2.8764871283292102E-3</v>
      </c>
    </row>
    <row r="5490" spans="8:8" ht="15" customHeight="1" x14ac:dyDescent="0.2">
      <c r="H5490" s="19">
        <v>-1.9540495719918099E-4</v>
      </c>
    </row>
    <row r="5491" spans="8:8" ht="15" customHeight="1" x14ac:dyDescent="0.2">
      <c r="H5491" s="19">
        <v>-1.9050578233102699E-3</v>
      </c>
    </row>
    <row r="5492" spans="8:8" ht="15" customHeight="1" x14ac:dyDescent="0.2">
      <c r="H5492" s="19">
        <v>2.63694887313523E-3</v>
      </c>
    </row>
    <row r="5493" spans="8:8" ht="15" customHeight="1" x14ac:dyDescent="0.2">
      <c r="H5493" s="19">
        <v>-1.08203418547867E-2</v>
      </c>
    </row>
    <row r="5494" spans="8:8" ht="15" customHeight="1" x14ac:dyDescent="0.2">
      <c r="H5494" s="19">
        <v>7.5889315906067702E-3</v>
      </c>
    </row>
    <row r="5495" spans="8:8" ht="15" customHeight="1" x14ac:dyDescent="0.2">
      <c r="H5495" s="19">
        <v>-9.8504778093802207E-3</v>
      </c>
    </row>
    <row r="5496" spans="8:8" ht="15" customHeight="1" x14ac:dyDescent="0.2">
      <c r="H5496" s="19">
        <v>4.8805952654897098E-3</v>
      </c>
    </row>
    <row r="5497" spans="8:8" ht="15" customHeight="1" x14ac:dyDescent="0.2">
      <c r="H5497" s="19">
        <v>-1.2098817509526201E-3</v>
      </c>
    </row>
    <row r="5498" spans="8:8" ht="15" customHeight="1" x14ac:dyDescent="0.2">
      <c r="H5498" s="19">
        <v>-2.01629904191079E-2</v>
      </c>
    </row>
    <row r="5499" spans="8:8" ht="15" customHeight="1" x14ac:dyDescent="0.2">
      <c r="H5499" s="19">
        <v>-1.7907553671523701E-2</v>
      </c>
    </row>
    <row r="5500" spans="8:8" ht="15" customHeight="1" x14ac:dyDescent="0.2">
      <c r="H5500" s="19">
        <v>-2.4066629381496799E-3</v>
      </c>
    </row>
    <row r="5501" spans="8:8" ht="15" customHeight="1" x14ac:dyDescent="0.2">
      <c r="H5501" s="19">
        <v>2.0674909863580001E-2</v>
      </c>
    </row>
    <row r="5502" spans="8:8" ht="15" customHeight="1" x14ac:dyDescent="0.2">
      <c r="H5502" s="19">
        <v>1.23920047962557E-2</v>
      </c>
    </row>
    <row r="5503" spans="8:8" ht="15" customHeight="1" x14ac:dyDescent="0.2">
      <c r="H5503" s="19">
        <v>-5.8542885774609896E-3</v>
      </c>
    </row>
    <row r="5504" spans="8:8" ht="15" customHeight="1" x14ac:dyDescent="0.2">
      <c r="H5504" s="19">
        <v>1.06800453523635E-3</v>
      </c>
    </row>
    <row r="5505" spans="8:8" ht="15" customHeight="1" x14ac:dyDescent="0.2">
      <c r="H5505" s="19">
        <v>7.3849946661877098E-3</v>
      </c>
    </row>
    <row r="5506" spans="8:8" ht="15" customHeight="1" x14ac:dyDescent="0.2">
      <c r="H5506" s="19">
        <v>4.00563959105028E-3</v>
      </c>
    </row>
    <row r="5507" spans="8:8" ht="15" customHeight="1" x14ac:dyDescent="0.2">
      <c r="H5507" s="19">
        <v>6.6133289725751401E-3</v>
      </c>
    </row>
    <row r="5508" spans="8:8" ht="15" customHeight="1" x14ac:dyDescent="0.2">
      <c r="H5508" s="19">
        <v>1.5767246250801802E-2</v>
      </c>
    </row>
    <row r="5509" spans="8:8" ht="15" customHeight="1" x14ac:dyDescent="0.2">
      <c r="H5509" s="19">
        <v>1.54048887397369E-2</v>
      </c>
    </row>
    <row r="5510" spans="8:8" ht="15" customHeight="1" x14ac:dyDescent="0.2">
      <c r="H5510" s="19">
        <v>-4.8909381902909098E-3</v>
      </c>
    </row>
    <row r="5511" spans="8:8" ht="15" customHeight="1" x14ac:dyDescent="0.2">
      <c r="H5511" s="19">
        <v>-2.5534419794882601E-3</v>
      </c>
    </row>
    <row r="5512" spans="8:8" ht="15" customHeight="1" x14ac:dyDescent="0.2">
      <c r="H5512" s="19">
        <v>3.1066263482996601E-4</v>
      </c>
    </row>
    <row r="5513" spans="8:8" ht="15" customHeight="1" x14ac:dyDescent="0.2">
      <c r="H5513" s="19">
        <v>1.1018616862836599E-2</v>
      </c>
    </row>
    <row r="5514" spans="8:8" ht="15" customHeight="1" x14ac:dyDescent="0.2">
      <c r="H5514" s="19">
        <v>7.7302620469965502E-4</v>
      </c>
    </row>
    <row r="5515" spans="8:8" ht="15" customHeight="1" x14ac:dyDescent="0.2">
      <c r="H5515" s="19">
        <v>-1.27858026144505E-2</v>
      </c>
    </row>
    <row r="5516" spans="8:8" ht="15" customHeight="1" x14ac:dyDescent="0.2">
      <c r="H5516" s="19">
        <v>8.6136320489924693E-3</v>
      </c>
    </row>
    <row r="5517" spans="8:8" ht="15" customHeight="1" x14ac:dyDescent="0.2">
      <c r="H5517" s="19">
        <v>5.21602324357868E-3</v>
      </c>
    </row>
    <row r="5518" spans="8:8" ht="15" customHeight="1" x14ac:dyDescent="0.2">
      <c r="H5518" s="19">
        <v>-1.44697382803413E-2</v>
      </c>
    </row>
    <row r="5519" spans="8:8" ht="15" customHeight="1" x14ac:dyDescent="0.2">
      <c r="H5519" s="19">
        <v>-3.9261055216858699E-3</v>
      </c>
    </row>
    <row r="5520" spans="8:8" ht="15" customHeight="1" x14ac:dyDescent="0.2">
      <c r="H5520" s="19">
        <v>-1.0608197996887701E-2</v>
      </c>
    </row>
    <row r="5521" spans="8:8" ht="15" customHeight="1" x14ac:dyDescent="0.2">
      <c r="H5521" s="19">
        <v>7.0898454832984297E-4</v>
      </c>
    </row>
    <row r="5522" spans="8:8" ht="15" customHeight="1" x14ac:dyDescent="0.2">
      <c r="H5522" s="19">
        <v>4.16622017826755E-4</v>
      </c>
    </row>
    <row r="5523" spans="8:8" ht="15" customHeight="1" x14ac:dyDescent="0.2">
      <c r="H5523" s="19">
        <v>8.8211464777931403E-3</v>
      </c>
    </row>
    <row r="5524" spans="8:8" ht="15" customHeight="1" x14ac:dyDescent="0.2">
      <c r="H5524" s="19">
        <v>-5.0682225808514796E-3</v>
      </c>
    </row>
    <row r="5525" spans="8:8" ht="15" customHeight="1" x14ac:dyDescent="0.2">
      <c r="H5525" s="19">
        <v>4.3365933046491598E-3</v>
      </c>
    </row>
    <row r="5526" spans="8:8" ht="15" customHeight="1" x14ac:dyDescent="0.2">
      <c r="H5526" s="19">
        <v>-7.5446720363806404E-3</v>
      </c>
    </row>
    <row r="5527" spans="8:8" ht="15" customHeight="1" x14ac:dyDescent="0.2">
      <c r="H5527" s="19">
        <v>9.2649443690838093E-3</v>
      </c>
    </row>
    <row r="5528" spans="8:8" ht="15" customHeight="1" x14ac:dyDescent="0.2">
      <c r="H5528" s="19">
        <v>4.69631439133946E-3</v>
      </c>
    </row>
    <row r="5529" spans="8:8" ht="15" customHeight="1" x14ac:dyDescent="0.2">
      <c r="H5529" s="19">
        <v>5.38512583932512E-3</v>
      </c>
    </row>
    <row r="5530" spans="8:8" ht="15" customHeight="1" x14ac:dyDescent="0.2">
      <c r="H5530" s="19">
        <v>-2.52727112944939E-4</v>
      </c>
    </row>
    <row r="5531" spans="8:8" ht="15" customHeight="1" x14ac:dyDescent="0.2">
      <c r="H5531" s="19">
        <v>1.3656566328302699E-2</v>
      </c>
    </row>
    <row r="5532" spans="8:8" ht="15" customHeight="1" x14ac:dyDescent="0.2">
      <c r="H5532" s="19">
        <v>-1.63520548746371E-2</v>
      </c>
    </row>
    <row r="5533" spans="8:8" ht="15" customHeight="1" x14ac:dyDescent="0.2">
      <c r="H5533" s="19">
        <v>-5.5685631176887601E-4</v>
      </c>
    </row>
    <row r="5534" spans="8:8" ht="15" customHeight="1" x14ac:dyDescent="0.2">
      <c r="H5534" s="19">
        <v>2.5444815395933998E-3</v>
      </c>
    </row>
    <row r="5535" spans="8:8" ht="15" customHeight="1" x14ac:dyDescent="0.2">
      <c r="H5535" s="19">
        <v>-5.9227705288800699E-3</v>
      </c>
    </row>
    <row r="5536" spans="8:8" ht="15" customHeight="1" x14ac:dyDescent="0.2">
      <c r="H5536" s="19">
        <v>-6.6060268621657703E-3</v>
      </c>
    </row>
    <row r="5537" spans="8:8" ht="15" customHeight="1" x14ac:dyDescent="0.2">
      <c r="H5537" s="19">
        <v>1.2681923606046501E-2</v>
      </c>
    </row>
    <row r="5538" spans="8:8" ht="15" customHeight="1" x14ac:dyDescent="0.2">
      <c r="H5538" s="19">
        <v>5.0781761060800896E-4</v>
      </c>
    </row>
    <row r="5539" spans="8:8" ht="15" customHeight="1" x14ac:dyDescent="0.2">
      <c r="H5539" s="19">
        <v>1.4842774180783801E-3</v>
      </c>
    </row>
    <row r="5540" spans="8:8" ht="15" customHeight="1" x14ac:dyDescent="0.2">
      <c r="H5540" s="19">
        <v>2.3115823551373401E-3</v>
      </c>
    </row>
    <row r="5541" spans="8:8" ht="15" customHeight="1" x14ac:dyDescent="0.2">
      <c r="H5541" s="19">
        <v>1.6035041631636E-2</v>
      </c>
    </row>
    <row r="5542" spans="8:8" ht="15" customHeight="1" x14ac:dyDescent="0.2">
      <c r="H5542" s="19">
        <v>-1.41200153211472E-2</v>
      </c>
    </row>
    <row r="5543" spans="8:8" ht="15" customHeight="1" x14ac:dyDescent="0.2">
      <c r="H5543" s="19">
        <v>9.4751304676078795E-3</v>
      </c>
    </row>
    <row r="5544" spans="8:8" ht="15" customHeight="1" x14ac:dyDescent="0.2">
      <c r="H5544" s="19">
        <v>3.40437921559211E-3</v>
      </c>
    </row>
    <row r="5545" spans="8:8" ht="15" customHeight="1" x14ac:dyDescent="0.2">
      <c r="H5545" s="19">
        <v>2.240520147018E-4</v>
      </c>
    </row>
    <row r="5546" spans="8:8" ht="15" customHeight="1" x14ac:dyDescent="0.2">
      <c r="H5546" s="19">
        <v>1.1799368728027599E-2</v>
      </c>
    </row>
    <row r="5547" spans="8:8" ht="15" customHeight="1" x14ac:dyDescent="0.2">
      <c r="H5547" s="19">
        <v>1.3687860651566E-2</v>
      </c>
    </row>
    <row r="5548" spans="8:8" ht="15" customHeight="1" x14ac:dyDescent="0.2">
      <c r="H5548" s="19">
        <v>-3.0816686026019298E-3</v>
      </c>
    </row>
    <row r="5549" spans="8:8" ht="15" customHeight="1" x14ac:dyDescent="0.2">
      <c r="H5549" s="19">
        <v>-5.5654284935565904E-3</v>
      </c>
    </row>
    <row r="5550" spans="8:8" ht="15" customHeight="1" x14ac:dyDescent="0.2">
      <c r="H5550" s="19">
        <v>-7.2848488288310197E-4</v>
      </c>
    </row>
    <row r="5551" spans="8:8" ht="15" customHeight="1" x14ac:dyDescent="0.2">
      <c r="H5551" s="19">
        <v>-1.21347302230463E-2</v>
      </c>
    </row>
    <row r="5552" spans="8:8" ht="15" customHeight="1" x14ac:dyDescent="0.2">
      <c r="H5552" s="19">
        <v>1.8683016572436501E-3</v>
      </c>
    </row>
    <row r="5553" spans="8:8" ht="15" customHeight="1" x14ac:dyDescent="0.2">
      <c r="H5553" s="19">
        <v>8.2540136489503996E-3</v>
      </c>
    </row>
    <row r="5554" spans="8:8" ht="15" customHeight="1" x14ac:dyDescent="0.2">
      <c r="H5554" s="19">
        <v>2.5668764748318102E-3</v>
      </c>
    </row>
    <row r="5555" spans="8:8" ht="15" customHeight="1" x14ac:dyDescent="0.2">
      <c r="H5555" s="19">
        <v>7.3458606196464401E-3</v>
      </c>
    </row>
    <row r="5556" spans="8:8" ht="15" customHeight="1" x14ac:dyDescent="0.2">
      <c r="H5556" s="19">
        <v>-2.4586520176820299E-2</v>
      </c>
    </row>
    <row r="5557" spans="8:8" ht="15" customHeight="1" x14ac:dyDescent="0.2">
      <c r="H5557" s="19">
        <v>1.5839432877691701E-2</v>
      </c>
    </row>
    <row r="5558" spans="8:8" ht="15" customHeight="1" x14ac:dyDescent="0.2">
      <c r="H5558" s="19">
        <v>-1.16413388306718E-2</v>
      </c>
    </row>
    <row r="5559" spans="8:8" ht="15" customHeight="1" x14ac:dyDescent="0.2">
      <c r="H5559" s="19">
        <v>-4.7327155408628304E-3</v>
      </c>
    </row>
    <row r="5560" spans="8:8" ht="15" customHeight="1" x14ac:dyDescent="0.2">
      <c r="H5560" s="19">
        <v>5.2818425432108801E-3</v>
      </c>
    </row>
    <row r="5561" spans="8:8" ht="15" customHeight="1" x14ac:dyDescent="0.2">
      <c r="H5561" s="19">
        <v>2.8340559154006501E-3</v>
      </c>
    </row>
    <row r="5562" spans="8:8" ht="15" customHeight="1" x14ac:dyDescent="0.2">
      <c r="H5562" s="19">
        <v>7.3511602963875003E-3</v>
      </c>
    </row>
    <row r="5563" spans="8:8" ht="15" customHeight="1" x14ac:dyDescent="0.2">
      <c r="H5563" s="19">
        <v>-2.7841546374722101E-3</v>
      </c>
    </row>
    <row r="5564" spans="8:8" ht="15" customHeight="1" x14ac:dyDescent="0.2">
      <c r="H5564" s="19">
        <v>6.2513294996037099E-3</v>
      </c>
    </row>
    <row r="5565" spans="8:8" ht="15" customHeight="1" x14ac:dyDescent="0.2">
      <c r="H5565" s="19">
        <v>2.03785028782454E-2</v>
      </c>
    </row>
    <row r="5566" spans="8:8" ht="15" customHeight="1" x14ac:dyDescent="0.2">
      <c r="H5566" s="19">
        <v>4.2716126383197297E-3</v>
      </c>
    </row>
    <row r="5567" spans="8:8" ht="15" customHeight="1" x14ac:dyDescent="0.2">
      <c r="H5567" s="19">
        <v>-1.9572231784411499E-4</v>
      </c>
    </row>
    <row r="5568" spans="8:8" ht="15" customHeight="1" x14ac:dyDescent="0.2">
      <c r="H5568" s="19">
        <v>1.0981023565747599E-2</v>
      </c>
    </row>
    <row r="5569" spans="8:8" ht="15" customHeight="1" x14ac:dyDescent="0.2">
      <c r="H5569" s="19">
        <v>2.0869150499596999E-2</v>
      </c>
    </row>
    <row r="5570" spans="8:8" ht="15" customHeight="1" x14ac:dyDescent="0.2">
      <c r="H5570" s="19">
        <v>5.94721249413628E-3</v>
      </c>
    </row>
    <row r="5571" spans="8:8" ht="15" customHeight="1" x14ac:dyDescent="0.2">
      <c r="H5571" s="19">
        <v>6.0322073698804296E-3</v>
      </c>
    </row>
    <row r="5572" spans="8:8" ht="15" customHeight="1" x14ac:dyDescent="0.2">
      <c r="H5572" s="19">
        <v>-7.7797723481514303E-3</v>
      </c>
    </row>
    <row r="5573" spans="8:8" ht="15" customHeight="1" x14ac:dyDescent="0.2">
      <c r="H5573" s="19">
        <v>9.2594709910270197E-3</v>
      </c>
    </row>
    <row r="5574" spans="8:8" ht="15" customHeight="1" x14ac:dyDescent="0.2">
      <c r="H5574" s="19">
        <v>-8.0343795374666193E-3</v>
      </c>
    </row>
    <row r="5575" spans="8:8" ht="15" customHeight="1" x14ac:dyDescent="0.2">
      <c r="H5575" s="19">
        <v>1.4109541928219E-2</v>
      </c>
    </row>
    <row r="5576" spans="8:8" ht="15" customHeight="1" x14ac:dyDescent="0.2">
      <c r="H5576" s="19">
        <v>7.2758459140899604E-3</v>
      </c>
    </row>
    <row r="5577" spans="8:8" ht="15" customHeight="1" x14ac:dyDescent="0.2">
      <c r="H5577" s="19">
        <v>1.2920730127556099E-2</v>
      </c>
    </row>
    <row r="5578" spans="8:8" ht="15" customHeight="1" x14ac:dyDescent="0.2">
      <c r="H5578" s="19">
        <v>1.45070789990147E-2</v>
      </c>
    </row>
    <row r="5579" spans="8:8" ht="15" customHeight="1" x14ac:dyDescent="0.2">
      <c r="H5579" s="19">
        <v>5.7643508324766602E-3</v>
      </c>
    </row>
    <row r="5580" spans="8:8" ht="15" customHeight="1" x14ac:dyDescent="0.2">
      <c r="H5580" s="19">
        <v>1.3243871678098301E-2</v>
      </c>
    </row>
    <row r="5581" spans="8:8" ht="15" customHeight="1" x14ac:dyDescent="0.2">
      <c r="H5581" s="19">
        <v>-1.06322725326432E-2</v>
      </c>
    </row>
    <row r="5582" spans="8:8" ht="15" customHeight="1" x14ac:dyDescent="0.2">
      <c r="H5582" s="19">
        <v>1.49646666656102E-2</v>
      </c>
    </row>
    <row r="5583" spans="8:8" ht="15" customHeight="1" x14ac:dyDescent="0.2">
      <c r="H5583" s="19">
        <v>-7.0839529089922202E-3</v>
      </c>
    </row>
    <row r="5584" spans="8:8" ht="15" customHeight="1" x14ac:dyDescent="0.2">
      <c r="H5584" s="19">
        <v>7.2953813772206203E-3</v>
      </c>
    </row>
    <row r="5585" spans="8:8" ht="15" customHeight="1" x14ac:dyDescent="0.2">
      <c r="H5585" s="19">
        <v>1.2661992208097699E-2</v>
      </c>
    </row>
    <row r="5586" spans="8:8" ht="15" customHeight="1" x14ac:dyDescent="0.2">
      <c r="H5586" s="19">
        <v>-1.7537942732230999E-2</v>
      </c>
    </row>
    <row r="5587" spans="8:8" ht="15" customHeight="1" x14ac:dyDescent="0.2">
      <c r="H5587" s="19">
        <v>-2.4157103183871799E-4</v>
      </c>
    </row>
    <row r="5588" spans="8:8" ht="15" customHeight="1" x14ac:dyDescent="0.2">
      <c r="H5588" s="19">
        <v>7.2521792202790798E-3</v>
      </c>
    </row>
    <row r="5589" spans="8:8" ht="15" customHeight="1" x14ac:dyDescent="0.2">
      <c r="H5589" s="19">
        <v>-7.6453014563727104E-4</v>
      </c>
    </row>
    <row r="5590" spans="8:8" ht="15" customHeight="1" x14ac:dyDescent="0.2">
      <c r="H5590" s="19">
        <v>3.99334613694282E-3</v>
      </c>
    </row>
    <row r="5591" spans="8:8" ht="15" customHeight="1" x14ac:dyDescent="0.2">
      <c r="H5591" s="19">
        <v>-1.44180938535983E-2</v>
      </c>
    </row>
    <row r="5592" spans="8:8" ht="15" customHeight="1" x14ac:dyDescent="0.2">
      <c r="H5592" s="19">
        <v>3.43555298555628E-3</v>
      </c>
    </row>
    <row r="5593" spans="8:8" ht="15" customHeight="1" x14ac:dyDescent="0.2">
      <c r="H5593" s="19">
        <v>1.03525820718053E-2</v>
      </c>
    </row>
    <row r="5594" spans="8:8" ht="15" customHeight="1" x14ac:dyDescent="0.2">
      <c r="H5594" s="19">
        <v>-3.1813838108195498E-3</v>
      </c>
    </row>
    <row r="5595" spans="8:8" ht="15" customHeight="1" x14ac:dyDescent="0.2">
      <c r="H5595" s="19">
        <v>1.2676533997771E-2</v>
      </c>
    </row>
    <row r="5596" spans="8:8" ht="15" customHeight="1" x14ac:dyDescent="0.2">
      <c r="H5596" s="19">
        <v>1.35177197317966E-2</v>
      </c>
    </row>
    <row r="5597" spans="8:8" ht="15" customHeight="1" x14ac:dyDescent="0.2">
      <c r="H5597" s="19">
        <v>-3.5694603071119999E-3</v>
      </c>
    </row>
    <row r="5598" spans="8:8" ht="15" customHeight="1" x14ac:dyDescent="0.2">
      <c r="H5598" s="19">
        <v>1.40827280330416E-2</v>
      </c>
    </row>
    <row r="5599" spans="8:8" ht="15" customHeight="1" x14ac:dyDescent="0.2">
      <c r="H5599" s="19">
        <v>-4.8210966134726203E-3</v>
      </c>
    </row>
    <row r="5600" spans="8:8" ht="15" customHeight="1" x14ac:dyDescent="0.2">
      <c r="H5600" s="19">
        <v>7.8258451475949099E-3</v>
      </c>
    </row>
    <row r="5601" spans="8:8" ht="15" customHeight="1" x14ac:dyDescent="0.2">
      <c r="H5601" s="19">
        <v>1.91142569829908E-3</v>
      </c>
    </row>
    <row r="5602" spans="8:8" ht="15" customHeight="1" x14ac:dyDescent="0.2">
      <c r="H5602" s="19">
        <v>-1.4537741928950699E-2</v>
      </c>
    </row>
    <row r="5603" spans="8:8" ht="15" customHeight="1" x14ac:dyDescent="0.2">
      <c r="H5603" s="19">
        <v>-1.15815024411329E-2</v>
      </c>
    </row>
    <row r="5604" spans="8:8" ht="15" customHeight="1" x14ac:dyDescent="0.2">
      <c r="H5604" s="19">
        <v>-8.3449401355851008E-3</v>
      </c>
    </row>
    <row r="5605" spans="8:8" ht="15" customHeight="1" x14ac:dyDescent="0.2">
      <c r="H5605" s="19">
        <v>1.3947913045956901E-3</v>
      </c>
    </row>
    <row r="5606" spans="8:8" ht="15" customHeight="1" x14ac:dyDescent="0.2">
      <c r="H5606" s="19">
        <v>-4.8342617793159402E-3</v>
      </c>
    </row>
    <row r="5607" spans="8:8" ht="15" customHeight="1" x14ac:dyDescent="0.2">
      <c r="H5607" s="19">
        <v>-1.1229880432171899E-3</v>
      </c>
    </row>
    <row r="5608" spans="8:8" ht="15" customHeight="1" x14ac:dyDescent="0.2">
      <c r="H5608" s="19">
        <v>1.2662050271796199E-2</v>
      </c>
    </row>
    <row r="5609" spans="8:8" ht="15" customHeight="1" x14ac:dyDescent="0.2">
      <c r="H5609" s="19">
        <v>-7.3040600965230103E-3</v>
      </c>
    </row>
    <row r="5610" spans="8:8" ht="15" customHeight="1" x14ac:dyDescent="0.2">
      <c r="H5610" s="19">
        <v>2.08880412787119E-2</v>
      </c>
    </row>
    <row r="5611" spans="8:8" ht="15" customHeight="1" x14ac:dyDescent="0.2">
      <c r="H5611" s="19">
        <v>-4.9084506543158202E-3</v>
      </c>
    </row>
    <row r="5612" spans="8:8" ht="15" customHeight="1" x14ac:dyDescent="0.2">
      <c r="H5612" s="19">
        <v>-9.8390185684626794E-3</v>
      </c>
    </row>
    <row r="5613" spans="8:8" ht="15" customHeight="1" x14ac:dyDescent="0.2">
      <c r="H5613" s="19">
        <v>-1.7453397933489202E-2</v>
      </c>
    </row>
    <row r="5614" spans="8:8" ht="15" customHeight="1" x14ac:dyDescent="0.2">
      <c r="H5614" s="19">
        <v>7.6301942534083497E-3</v>
      </c>
    </row>
    <row r="5615" spans="8:8" ht="15" customHeight="1" x14ac:dyDescent="0.2">
      <c r="H5615" s="19">
        <v>6.99227993204324E-3</v>
      </c>
    </row>
    <row r="5616" spans="8:8" ht="15" customHeight="1" x14ac:dyDescent="0.2">
      <c r="H5616" s="19">
        <v>2.3881803752453801E-3</v>
      </c>
    </row>
    <row r="5617" spans="8:8" ht="15" customHeight="1" x14ac:dyDescent="0.2">
      <c r="H5617" s="19">
        <v>-1.25033978447819E-2</v>
      </c>
    </row>
    <row r="5618" spans="8:8" ht="15" customHeight="1" x14ac:dyDescent="0.2">
      <c r="H5618" s="19">
        <v>-1.87110607237366E-2</v>
      </c>
    </row>
    <row r="5619" spans="8:8" ht="15" customHeight="1" x14ac:dyDescent="0.2">
      <c r="H5619" s="19">
        <v>8.5512804104991395E-3</v>
      </c>
    </row>
    <row r="5620" spans="8:8" ht="15" customHeight="1" x14ac:dyDescent="0.2">
      <c r="H5620" s="19">
        <v>8.86230241498998E-4</v>
      </c>
    </row>
    <row r="5621" spans="8:8" ht="15" customHeight="1" x14ac:dyDescent="0.2">
      <c r="H5621" s="19">
        <v>3.5423863603654001E-3</v>
      </c>
    </row>
    <row r="5622" spans="8:8" ht="15" customHeight="1" x14ac:dyDescent="0.2">
      <c r="H5622" s="19">
        <v>-1.04651652970266E-2</v>
      </c>
    </row>
    <row r="5623" spans="8:8" ht="15" customHeight="1" x14ac:dyDescent="0.2">
      <c r="H5623" s="19">
        <v>3.7772458225226401E-3</v>
      </c>
    </row>
    <row r="5624" spans="8:8" ht="15" customHeight="1" x14ac:dyDescent="0.2">
      <c r="H5624" s="19">
        <v>5.1056891178251499E-3</v>
      </c>
    </row>
    <row r="5625" spans="8:8" ht="15" customHeight="1" x14ac:dyDescent="0.2">
      <c r="H5625" s="19">
        <v>-1.43770029951324E-2</v>
      </c>
    </row>
    <row r="5626" spans="8:8" ht="15" customHeight="1" x14ac:dyDescent="0.2">
      <c r="H5626" s="19">
        <v>1.5503217966699101E-2</v>
      </c>
    </row>
    <row r="5627" spans="8:8" ht="15" customHeight="1" x14ac:dyDescent="0.2">
      <c r="H5627" s="19">
        <v>-4.8468641701087303E-3</v>
      </c>
    </row>
    <row r="5628" spans="8:8" ht="15" customHeight="1" x14ac:dyDescent="0.2">
      <c r="H5628" s="19">
        <v>-4.1788338381905099E-3</v>
      </c>
    </row>
    <row r="5629" spans="8:8" ht="15" customHeight="1" x14ac:dyDescent="0.2">
      <c r="H5629" s="19">
        <v>1.68646553972585E-2</v>
      </c>
    </row>
    <row r="5630" spans="8:8" ht="15" customHeight="1" x14ac:dyDescent="0.2">
      <c r="H5630" s="19">
        <v>3.1856843923794001E-3</v>
      </c>
    </row>
    <row r="5631" spans="8:8" ht="15" customHeight="1" x14ac:dyDescent="0.2">
      <c r="H5631" s="19">
        <v>-2.25728740842985E-3</v>
      </c>
    </row>
    <row r="5632" spans="8:8" ht="15" customHeight="1" x14ac:dyDescent="0.2">
      <c r="H5632" s="19">
        <v>6.68749034843019E-3</v>
      </c>
    </row>
    <row r="5633" spans="8:8" ht="15" customHeight="1" x14ac:dyDescent="0.2">
      <c r="H5633" s="19">
        <v>-2.7956131967891199E-3</v>
      </c>
    </row>
    <row r="5634" spans="8:8" ht="15" customHeight="1" x14ac:dyDescent="0.2">
      <c r="H5634" s="19">
        <v>-3.7596468001151002E-3</v>
      </c>
    </row>
    <row r="5635" spans="8:8" ht="15" customHeight="1" x14ac:dyDescent="0.2">
      <c r="H5635" s="19">
        <v>6.2583585424706798E-3</v>
      </c>
    </row>
    <row r="5636" spans="8:8" ht="15" customHeight="1" x14ac:dyDescent="0.2">
      <c r="H5636" s="19">
        <v>1.06883510790822E-2</v>
      </c>
    </row>
    <row r="5637" spans="8:8" ht="15" customHeight="1" x14ac:dyDescent="0.2">
      <c r="H5637" s="19">
        <v>-6.18213773182834E-3</v>
      </c>
    </row>
    <row r="5638" spans="8:8" ht="15" customHeight="1" x14ac:dyDescent="0.2">
      <c r="H5638" s="19">
        <v>-6.4267548591770602E-4</v>
      </c>
    </row>
    <row r="5639" spans="8:8" ht="15" customHeight="1" x14ac:dyDescent="0.2">
      <c r="H5639" s="19">
        <v>8.0702288130708108E-3</v>
      </c>
    </row>
    <row r="5640" spans="8:8" ht="15" customHeight="1" x14ac:dyDescent="0.2">
      <c r="H5640" s="19">
        <v>-4.6006874781944198E-3</v>
      </c>
    </row>
    <row r="5641" spans="8:8" ht="15" customHeight="1" x14ac:dyDescent="0.2">
      <c r="H5641" s="19">
        <v>-1.3363091103190601E-2</v>
      </c>
    </row>
    <row r="5642" spans="8:8" ht="15" customHeight="1" x14ac:dyDescent="0.2">
      <c r="H5642" s="19">
        <v>9.6202028916955902E-4</v>
      </c>
    </row>
    <row r="5643" spans="8:8" ht="15" customHeight="1" x14ac:dyDescent="0.2">
      <c r="H5643" s="19">
        <v>-8.6285748792761206E-3</v>
      </c>
    </row>
    <row r="5644" spans="8:8" ht="15" customHeight="1" x14ac:dyDescent="0.2">
      <c r="H5644" s="19">
        <v>-4.9296510050576901E-4</v>
      </c>
    </row>
    <row r="5645" spans="8:8" ht="15" customHeight="1" x14ac:dyDescent="0.2">
      <c r="H5645" s="19">
        <v>3.5249388882316098E-3</v>
      </c>
    </row>
    <row r="5646" spans="8:8" ht="15" customHeight="1" x14ac:dyDescent="0.2">
      <c r="H5646" s="19">
        <v>8.8919397992309E-3</v>
      </c>
    </row>
    <row r="5647" spans="8:8" ht="15" customHeight="1" x14ac:dyDescent="0.2">
      <c r="H5647" s="19">
        <v>2.6036080480394499E-3</v>
      </c>
    </row>
    <row r="5648" spans="8:8" ht="15" customHeight="1" x14ac:dyDescent="0.2">
      <c r="H5648" s="19">
        <v>2.7055249116129201E-3</v>
      </c>
    </row>
    <row r="5649" spans="8:8" ht="15" customHeight="1" x14ac:dyDescent="0.2">
      <c r="H5649" s="19">
        <v>-3.2712685902628802E-3</v>
      </c>
    </row>
    <row r="5650" spans="8:8" ht="15" customHeight="1" x14ac:dyDescent="0.2">
      <c r="H5650" s="19">
        <v>-1.7181655716086101E-2</v>
      </c>
    </row>
    <row r="5651" spans="8:8" ht="15" customHeight="1" x14ac:dyDescent="0.2">
      <c r="H5651" s="19">
        <v>-4.4108146509573296E-3</v>
      </c>
    </row>
    <row r="5652" spans="8:8" ht="15" customHeight="1" x14ac:dyDescent="0.2">
      <c r="H5652" s="19">
        <v>-2.1998417702182799E-3</v>
      </c>
    </row>
    <row r="5653" spans="8:8" ht="15" customHeight="1" x14ac:dyDescent="0.2">
      <c r="H5653" s="19">
        <v>-3.9693526072116297E-3</v>
      </c>
    </row>
    <row r="5654" spans="8:8" ht="15" customHeight="1" x14ac:dyDescent="0.2">
      <c r="H5654" s="19">
        <v>5.4356853898912504E-3</v>
      </c>
    </row>
    <row r="5655" spans="8:8" ht="15" customHeight="1" x14ac:dyDescent="0.2">
      <c r="H5655" s="19">
        <v>7.9640379757211395E-3</v>
      </c>
    </row>
    <row r="5656" spans="8:8" ht="15" customHeight="1" x14ac:dyDescent="0.2">
      <c r="H5656" s="19">
        <v>-1.28740292119212E-2</v>
      </c>
    </row>
    <row r="5657" spans="8:8" ht="15" customHeight="1" x14ac:dyDescent="0.2">
      <c r="H5657" s="19">
        <v>-1.2175550554296701E-2</v>
      </c>
    </row>
    <row r="5658" spans="8:8" ht="15" customHeight="1" x14ac:dyDescent="0.2">
      <c r="H5658" s="19">
        <v>1.1613403812690199E-2</v>
      </c>
    </row>
    <row r="5659" spans="8:8" ht="15" customHeight="1" x14ac:dyDescent="0.2">
      <c r="H5659" s="19">
        <v>6.8898400742701997E-3</v>
      </c>
    </row>
    <row r="5660" spans="8:8" ht="15" customHeight="1" x14ac:dyDescent="0.2">
      <c r="H5660" s="19">
        <v>-2.7272835914504499E-3</v>
      </c>
    </row>
    <row r="5661" spans="8:8" ht="15" customHeight="1" x14ac:dyDescent="0.2">
      <c r="H5661" s="19">
        <v>5.3649142097191797E-3</v>
      </c>
    </row>
    <row r="5662" spans="8:8" ht="15" customHeight="1" x14ac:dyDescent="0.2">
      <c r="H5662" s="19">
        <v>6.9536054118863504E-3</v>
      </c>
    </row>
    <row r="5663" spans="8:8" ht="15" customHeight="1" x14ac:dyDescent="0.2">
      <c r="H5663" s="19">
        <v>-5.8758153401378896E-3</v>
      </c>
    </row>
    <row r="5664" spans="8:8" ht="15" customHeight="1" x14ac:dyDescent="0.2">
      <c r="H5664" s="19">
        <v>4.0444128977043499E-3</v>
      </c>
    </row>
    <row r="5665" spans="8:8" ht="15" customHeight="1" x14ac:dyDescent="0.2">
      <c r="H5665" s="19">
        <v>5.9790905441876796E-3</v>
      </c>
    </row>
    <row r="5666" spans="8:8" ht="15" customHeight="1" x14ac:dyDescent="0.2">
      <c r="H5666" s="19">
        <v>-1.05312215467715E-2</v>
      </c>
    </row>
    <row r="5667" spans="8:8" ht="15" customHeight="1" x14ac:dyDescent="0.2">
      <c r="H5667" s="19">
        <v>4.1989876007723897E-3</v>
      </c>
    </row>
    <row r="5668" spans="8:8" ht="15" customHeight="1" x14ac:dyDescent="0.2">
      <c r="H5668" s="19">
        <v>1.1129401210525599E-2</v>
      </c>
    </row>
    <row r="5669" spans="8:8" ht="15" customHeight="1" x14ac:dyDescent="0.2">
      <c r="H5669" s="19">
        <v>-2.3268058337528401E-3</v>
      </c>
    </row>
    <row r="5670" spans="8:8" ht="15" customHeight="1" x14ac:dyDescent="0.2">
      <c r="H5670" s="19">
        <v>3.02953941525663E-2</v>
      </c>
    </row>
    <row r="5671" spans="8:8" ht="15" customHeight="1" x14ac:dyDescent="0.2">
      <c r="H5671" s="19">
        <v>4.0807282155182298E-4</v>
      </c>
    </row>
    <row r="5672" spans="8:8" ht="15" customHeight="1" x14ac:dyDescent="0.2">
      <c r="H5672" s="19">
        <v>1.25784467472227E-2</v>
      </c>
    </row>
    <row r="5673" spans="8:8" ht="15" customHeight="1" x14ac:dyDescent="0.2">
      <c r="H5673" s="19">
        <v>5.7642173129715396E-3</v>
      </c>
    </row>
    <row r="5674" spans="8:8" ht="15" customHeight="1" x14ac:dyDescent="0.2">
      <c r="H5674" s="19">
        <v>1.148278664704E-2</v>
      </c>
    </row>
    <row r="5675" spans="8:8" ht="15" customHeight="1" x14ac:dyDescent="0.2">
      <c r="H5675" s="19">
        <v>-5.6271485763377E-3</v>
      </c>
    </row>
    <row r="5676" spans="8:8" ht="15" customHeight="1" x14ac:dyDescent="0.2">
      <c r="H5676" s="19">
        <v>1.2979091918285401E-2</v>
      </c>
    </row>
    <row r="5677" spans="8:8" ht="15" customHeight="1" x14ac:dyDescent="0.2">
      <c r="H5677" s="19">
        <v>-8.5878008181770205E-3</v>
      </c>
    </row>
    <row r="5678" spans="8:8" ht="15" customHeight="1" x14ac:dyDescent="0.2">
      <c r="H5678" s="19">
        <v>-1.3407113810327101E-2</v>
      </c>
    </row>
    <row r="5679" spans="8:8" ht="15" customHeight="1" x14ac:dyDescent="0.2">
      <c r="H5679" s="19">
        <v>3.7129768652557401E-3</v>
      </c>
    </row>
    <row r="5680" spans="8:8" ht="15" customHeight="1" x14ac:dyDescent="0.2">
      <c r="H5680" s="19">
        <v>-7.5304435280948E-3</v>
      </c>
    </row>
    <row r="5681" spans="8:8" ht="15" customHeight="1" x14ac:dyDescent="0.2">
      <c r="H5681" s="19">
        <v>-7.8630856451407504E-3</v>
      </c>
    </row>
    <row r="5682" spans="8:8" ht="15" customHeight="1" x14ac:dyDescent="0.2">
      <c r="H5682" s="19">
        <v>-6.87801666371272E-3</v>
      </c>
    </row>
    <row r="5683" spans="8:8" ht="15" customHeight="1" x14ac:dyDescent="0.2">
      <c r="H5683" s="19">
        <v>8.8826929076241401E-3</v>
      </c>
    </row>
    <row r="5684" spans="8:8" ht="15" customHeight="1" x14ac:dyDescent="0.2">
      <c r="H5684" s="19">
        <v>-1.80825557149051E-3</v>
      </c>
    </row>
    <row r="5685" spans="8:8" ht="15" customHeight="1" x14ac:dyDescent="0.2">
      <c r="H5685" s="19">
        <v>-6.9212031767227197E-3</v>
      </c>
    </row>
    <row r="5686" spans="8:8" ht="15" customHeight="1" x14ac:dyDescent="0.2">
      <c r="H5686" s="19">
        <v>2.9941651578883799E-3</v>
      </c>
    </row>
    <row r="5687" spans="8:8" ht="15" customHeight="1" x14ac:dyDescent="0.2">
      <c r="H5687" s="19">
        <v>2.73315624417849E-3</v>
      </c>
    </row>
    <row r="5688" spans="8:8" ht="15" customHeight="1" x14ac:dyDescent="0.2">
      <c r="H5688" s="19">
        <v>4.1761120890170698E-3</v>
      </c>
    </row>
    <row r="5689" spans="8:8" ht="15" customHeight="1" x14ac:dyDescent="0.2">
      <c r="H5689" s="19">
        <v>-2.17062083476313E-3</v>
      </c>
    </row>
    <row r="5690" spans="8:8" ht="15" customHeight="1" x14ac:dyDescent="0.2">
      <c r="H5690" s="19">
        <v>-4.9558340227642405E-4</v>
      </c>
    </row>
    <row r="5691" spans="8:8" ht="15" customHeight="1" x14ac:dyDescent="0.2">
      <c r="H5691" s="19">
        <v>1.6237119171241099E-2</v>
      </c>
    </row>
    <row r="5692" spans="8:8" ht="15" customHeight="1" x14ac:dyDescent="0.2">
      <c r="H5692" s="19">
        <v>-5.3305926886189304E-3</v>
      </c>
    </row>
    <row r="5693" spans="8:8" ht="15" customHeight="1" x14ac:dyDescent="0.2">
      <c r="H5693" s="19">
        <v>1.9225068348189999E-2</v>
      </c>
    </row>
    <row r="5694" spans="8:8" ht="15" customHeight="1" x14ac:dyDescent="0.2">
      <c r="H5694" s="19">
        <v>1.0195223699274E-2</v>
      </c>
    </row>
    <row r="5695" spans="8:8" ht="15" customHeight="1" x14ac:dyDescent="0.2">
      <c r="H5695" s="19">
        <v>-4.6034701309200701E-3</v>
      </c>
    </row>
    <row r="5696" spans="8:8" ht="15" customHeight="1" x14ac:dyDescent="0.2">
      <c r="H5696" s="19">
        <v>9.0368319923478206E-3</v>
      </c>
    </row>
    <row r="5697" spans="8:8" ht="15" customHeight="1" x14ac:dyDescent="0.2">
      <c r="H5697" s="19">
        <v>-1.9791780442061299E-2</v>
      </c>
    </row>
    <row r="5698" spans="8:8" ht="15" customHeight="1" x14ac:dyDescent="0.2">
      <c r="H5698" s="19">
        <v>-1.1927153920767699E-2</v>
      </c>
    </row>
    <row r="5699" spans="8:8" ht="15" customHeight="1" x14ac:dyDescent="0.2">
      <c r="H5699" s="19">
        <v>-1.4123043209742799E-4</v>
      </c>
    </row>
    <row r="5700" spans="8:8" ht="15" customHeight="1" x14ac:dyDescent="0.2">
      <c r="H5700" s="19">
        <v>6.5731939068266101E-3</v>
      </c>
    </row>
    <row r="5701" spans="8:8" ht="15" customHeight="1" x14ac:dyDescent="0.2">
      <c r="H5701" s="19">
        <v>-5.4233622954217202E-3</v>
      </c>
    </row>
    <row r="5702" spans="8:8" ht="15" customHeight="1" x14ac:dyDescent="0.2">
      <c r="H5702" s="19">
        <v>1.8255100607892001E-3</v>
      </c>
    </row>
    <row r="5703" spans="8:8" ht="15" customHeight="1" x14ac:dyDescent="0.2">
      <c r="H5703" s="19">
        <v>-1.9850913417104502E-2</v>
      </c>
    </row>
    <row r="5704" spans="8:8" ht="15" customHeight="1" x14ac:dyDescent="0.2">
      <c r="H5704" s="19">
        <v>3.3396641483052999E-3</v>
      </c>
    </row>
    <row r="5705" spans="8:8" ht="15" customHeight="1" x14ac:dyDescent="0.2">
      <c r="H5705" s="19">
        <v>1.3230423199672801E-2</v>
      </c>
    </row>
    <row r="5706" spans="8:8" ht="15" customHeight="1" x14ac:dyDescent="0.2">
      <c r="H5706" s="19">
        <v>-1.9350002468260701E-3</v>
      </c>
    </row>
    <row r="5707" spans="8:8" ht="15" customHeight="1" x14ac:dyDescent="0.2">
      <c r="H5707" s="19">
        <v>-1.35787284728095E-2</v>
      </c>
    </row>
    <row r="5708" spans="8:8" ht="15" customHeight="1" x14ac:dyDescent="0.2">
      <c r="H5708" s="19">
        <v>2.1060327983715099E-2</v>
      </c>
    </row>
    <row r="5709" spans="8:8" ht="15" customHeight="1" x14ac:dyDescent="0.2">
      <c r="H5709" s="19">
        <v>-5.47417209049694E-3</v>
      </c>
    </row>
    <row r="5710" spans="8:8" ht="15" customHeight="1" x14ac:dyDescent="0.2">
      <c r="H5710" s="19">
        <v>1.20364429727505E-2</v>
      </c>
    </row>
    <row r="5711" spans="8:8" ht="15" customHeight="1" x14ac:dyDescent="0.2">
      <c r="H5711" s="19">
        <v>-1.2458572491438599E-2</v>
      </c>
    </row>
    <row r="5712" spans="8:8" ht="15" customHeight="1" x14ac:dyDescent="0.2">
      <c r="H5712" s="19">
        <v>1.4945834067003101E-2</v>
      </c>
    </row>
    <row r="5713" spans="8:8" ht="15" customHeight="1" x14ac:dyDescent="0.2">
      <c r="H5713" s="19">
        <v>-1.3359331405331101E-2</v>
      </c>
    </row>
    <row r="5714" spans="8:8" ht="15" customHeight="1" x14ac:dyDescent="0.2">
      <c r="H5714" s="19">
        <v>1.48398031636163E-3</v>
      </c>
    </row>
    <row r="5715" spans="8:8" ht="15" customHeight="1" x14ac:dyDescent="0.2">
      <c r="H5715" s="19">
        <v>-6.2411199396623998E-3</v>
      </c>
    </row>
    <row r="5716" spans="8:8" ht="15" customHeight="1" x14ac:dyDescent="0.2">
      <c r="H5716" s="19">
        <v>-1.82353067366018E-3</v>
      </c>
    </row>
    <row r="5717" spans="8:8" ht="15" customHeight="1" x14ac:dyDescent="0.2">
      <c r="H5717" s="19">
        <v>-3.0947339103075898E-3</v>
      </c>
    </row>
    <row r="5718" spans="8:8" ht="15" customHeight="1" x14ac:dyDescent="0.2">
      <c r="H5718" s="19">
        <v>1.41611534310204E-5</v>
      </c>
    </row>
    <row r="5719" spans="8:8" ht="15" customHeight="1" x14ac:dyDescent="0.2">
      <c r="H5719" s="19">
        <v>7.2653451264525397E-3</v>
      </c>
    </row>
    <row r="5720" spans="8:8" ht="15" customHeight="1" x14ac:dyDescent="0.2">
      <c r="H5720" s="19">
        <v>-4.80316251645277E-3</v>
      </c>
    </row>
    <row r="5721" spans="8:8" ht="15" customHeight="1" x14ac:dyDescent="0.2">
      <c r="H5721" s="19">
        <v>-4.2221178116721696E-3</v>
      </c>
    </row>
    <row r="5722" spans="8:8" ht="15" customHeight="1" x14ac:dyDescent="0.2">
      <c r="H5722" s="19">
        <v>-2.03968075120779E-2</v>
      </c>
    </row>
    <row r="5723" spans="8:8" ht="15" customHeight="1" x14ac:dyDescent="0.2">
      <c r="H5723" s="19">
        <v>2.89923309748717E-3</v>
      </c>
    </row>
    <row r="5724" spans="8:8" ht="15" customHeight="1" x14ac:dyDescent="0.2">
      <c r="H5724" s="19">
        <v>9.8799043927070597E-3</v>
      </c>
    </row>
    <row r="5725" spans="8:8" ht="15" customHeight="1" x14ac:dyDescent="0.2">
      <c r="H5725" s="19">
        <v>6.4469276238898199E-3</v>
      </c>
    </row>
    <row r="5726" spans="8:8" ht="15" customHeight="1" x14ac:dyDescent="0.2">
      <c r="H5726" s="19">
        <v>-3.9157209663115197E-3</v>
      </c>
    </row>
    <row r="5727" spans="8:8" ht="15" customHeight="1" x14ac:dyDescent="0.2">
      <c r="H5727" s="19">
        <v>-4.6548153290550398E-3</v>
      </c>
    </row>
    <row r="5728" spans="8:8" ht="15" customHeight="1" x14ac:dyDescent="0.2">
      <c r="H5728" s="19">
        <v>4.9443844295043596E-3</v>
      </c>
    </row>
    <row r="5729" spans="8:8" ht="15" customHeight="1" x14ac:dyDescent="0.2">
      <c r="H5729" s="19">
        <v>-2.1288605981609501E-2</v>
      </c>
    </row>
    <row r="5730" spans="8:8" ht="15" customHeight="1" x14ac:dyDescent="0.2">
      <c r="H5730" s="19">
        <v>-2.1431744085497798E-3</v>
      </c>
    </row>
    <row r="5731" spans="8:8" ht="15" customHeight="1" x14ac:dyDescent="0.2">
      <c r="H5731" s="19">
        <v>-3.0037639573060699E-3</v>
      </c>
    </row>
    <row r="5732" spans="8:8" ht="15" customHeight="1" x14ac:dyDescent="0.2">
      <c r="H5732" s="19">
        <v>1.34741127015643E-2</v>
      </c>
    </row>
    <row r="5733" spans="8:8" ht="15" customHeight="1" x14ac:dyDescent="0.2">
      <c r="H5733" s="19">
        <v>7.1156509451339601E-3</v>
      </c>
    </row>
    <row r="5734" spans="8:8" ht="15" customHeight="1" x14ac:dyDescent="0.2">
      <c r="H5734" s="19">
        <v>4.7845077926329301E-3</v>
      </c>
    </row>
    <row r="5735" spans="8:8" ht="15" customHeight="1" x14ac:dyDescent="0.2">
      <c r="H5735" s="19">
        <v>-6.1602146000051096E-3</v>
      </c>
    </row>
    <row r="5736" spans="8:8" ht="15" customHeight="1" x14ac:dyDescent="0.2">
      <c r="H5736" s="19">
        <v>1.3276787052979201E-2</v>
      </c>
    </row>
    <row r="5737" spans="8:8" ht="15" customHeight="1" x14ac:dyDescent="0.2">
      <c r="H5737" s="19">
        <v>-5.0605838829934002E-3</v>
      </c>
    </row>
    <row r="5738" spans="8:8" ht="15" customHeight="1" x14ac:dyDescent="0.2">
      <c r="H5738" s="19">
        <v>-9.0083672066364508E-3</v>
      </c>
    </row>
    <row r="5739" spans="8:8" ht="15" customHeight="1" x14ac:dyDescent="0.2">
      <c r="H5739" s="19">
        <v>1.2081264418382901E-2</v>
      </c>
    </row>
    <row r="5740" spans="8:8" ht="15" customHeight="1" x14ac:dyDescent="0.2">
      <c r="H5740" s="19">
        <v>-6.4569318242313305E-4</v>
      </c>
    </row>
    <row r="5741" spans="8:8" ht="15" customHeight="1" x14ac:dyDescent="0.2">
      <c r="H5741" s="19">
        <v>5.9461342769953603E-3</v>
      </c>
    </row>
    <row r="5742" spans="8:8" ht="15" customHeight="1" x14ac:dyDescent="0.2">
      <c r="H5742" s="19">
        <v>-5.73400225504056E-3</v>
      </c>
    </row>
    <row r="5743" spans="8:8" ht="15" customHeight="1" x14ac:dyDescent="0.2">
      <c r="H5743" s="19">
        <v>-1.5682320843859001E-3</v>
      </c>
    </row>
    <row r="5744" spans="8:8" ht="15" customHeight="1" x14ac:dyDescent="0.2">
      <c r="H5744" s="19">
        <v>-5.8626627408078598E-3</v>
      </c>
    </row>
    <row r="5745" spans="8:8" ht="15" customHeight="1" x14ac:dyDescent="0.2">
      <c r="H5745" s="19">
        <v>-3.4847134623805201E-3</v>
      </c>
    </row>
    <row r="5746" spans="8:8" ht="15" customHeight="1" x14ac:dyDescent="0.2">
      <c r="H5746" s="19">
        <v>6.11028623824246E-3</v>
      </c>
    </row>
    <row r="5747" spans="8:8" ht="15" customHeight="1" x14ac:dyDescent="0.2">
      <c r="H5747" s="19">
        <v>6.0373355438814204E-3</v>
      </c>
    </row>
    <row r="5748" spans="8:8" ht="15" customHeight="1" x14ac:dyDescent="0.2">
      <c r="H5748" s="19">
        <v>-1.9906522664444501E-3</v>
      </c>
    </row>
    <row r="5749" spans="8:8" ht="15" customHeight="1" x14ac:dyDescent="0.2">
      <c r="H5749" s="19">
        <v>1.0353798858323601E-2</v>
      </c>
    </row>
    <row r="5750" spans="8:8" ht="15" customHeight="1" x14ac:dyDescent="0.2">
      <c r="H5750" s="19">
        <v>1.87029584215702E-3</v>
      </c>
    </row>
    <row r="5751" spans="8:8" ht="15" customHeight="1" x14ac:dyDescent="0.2">
      <c r="H5751" s="19">
        <v>-4.2489927332743996E-3</v>
      </c>
    </row>
    <row r="5752" spans="8:8" ht="15" customHeight="1" x14ac:dyDescent="0.2">
      <c r="H5752" s="19">
        <v>-2.0262757836288999E-2</v>
      </c>
    </row>
    <row r="5753" spans="8:8" ht="15" customHeight="1" x14ac:dyDescent="0.2">
      <c r="H5753" s="19">
        <v>-1.64839194185035E-3</v>
      </c>
    </row>
    <row r="5754" spans="8:8" ht="15" customHeight="1" x14ac:dyDescent="0.2">
      <c r="H5754" s="19">
        <v>-2.9717773405019102E-3</v>
      </c>
    </row>
    <row r="5755" spans="8:8" ht="15" customHeight="1" x14ac:dyDescent="0.2">
      <c r="H5755" s="19">
        <v>-9.8816861531995197E-3</v>
      </c>
    </row>
    <row r="5756" spans="8:8" ht="15" customHeight="1" x14ac:dyDescent="0.2">
      <c r="H5756" s="19">
        <v>-1.1331559914722401E-3</v>
      </c>
    </row>
    <row r="5757" spans="8:8" ht="15" customHeight="1" x14ac:dyDescent="0.2">
      <c r="H5757" s="19">
        <v>9.2939751370391208E-3</v>
      </c>
    </row>
    <row r="5758" spans="8:8" ht="15" customHeight="1" x14ac:dyDescent="0.2">
      <c r="H5758" s="19">
        <v>9.1610364587700003E-3</v>
      </c>
    </row>
    <row r="5759" spans="8:8" ht="15" customHeight="1" x14ac:dyDescent="0.2">
      <c r="H5759" s="19">
        <v>8.5570385322846602E-3</v>
      </c>
    </row>
    <row r="5760" spans="8:8" ht="15" customHeight="1" x14ac:dyDescent="0.2">
      <c r="H5760" s="19">
        <v>1.02853970638543E-2</v>
      </c>
    </row>
    <row r="5761" spans="8:8" ht="15" customHeight="1" x14ac:dyDescent="0.2">
      <c r="H5761" s="19">
        <v>-1.1526171769503799E-2</v>
      </c>
    </row>
    <row r="5762" spans="8:8" ht="15" customHeight="1" x14ac:dyDescent="0.2">
      <c r="H5762" s="19">
        <v>1.04054167066149E-3</v>
      </c>
    </row>
    <row r="5763" spans="8:8" ht="15" customHeight="1" x14ac:dyDescent="0.2">
      <c r="H5763" s="19">
        <v>-1.0263231814380099E-2</v>
      </c>
    </row>
    <row r="5764" spans="8:8" ht="15" customHeight="1" x14ac:dyDescent="0.2">
      <c r="H5764" s="19">
        <v>5.3384947299729495E-4</v>
      </c>
    </row>
    <row r="5765" spans="8:8" ht="15" customHeight="1" x14ac:dyDescent="0.2">
      <c r="H5765" s="19">
        <v>-3.9440074983855197E-3</v>
      </c>
    </row>
    <row r="5766" spans="8:8" ht="15" customHeight="1" x14ac:dyDescent="0.2">
      <c r="H5766" s="19">
        <v>-6.68409481330533E-3</v>
      </c>
    </row>
    <row r="5767" spans="8:8" ht="15" customHeight="1" x14ac:dyDescent="0.2">
      <c r="H5767" s="19">
        <v>3.72597356175799E-3</v>
      </c>
    </row>
    <row r="5768" spans="8:8" ht="15" customHeight="1" x14ac:dyDescent="0.2">
      <c r="H5768" s="19">
        <v>-1.5645782736093201E-2</v>
      </c>
    </row>
    <row r="5769" spans="8:8" ht="15" customHeight="1" x14ac:dyDescent="0.2">
      <c r="H5769" s="19">
        <v>1.5117715487166E-3</v>
      </c>
    </row>
    <row r="5770" spans="8:8" ht="15" customHeight="1" x14ac:dyDescent="0.2">
      <c r="H5770" s="19">
        <v>1.32457373566539E-2</v>
      </c>
    </row>
    <row r="5771" spans="8:8" ht="15" customHeight="1" x14ac:dyDescent="0.2">
      <c r="H5771" s="19">
        <v>1.4963718306705899E-2</v>
      </c>
    </row>
    <row r="5772" spans="8:8" ht="15" customHeight="1" x14ac:dyDescent="0.2">
      <c r="H5772" s="19">
        <v>-6.6282107996860403E-3</v>
      </c>
    </row>
    <row r="5773" spans="8:8" ht="15" customHeight="1" x14ac:dyDescent="0.2">
      <c r="H5773" s="19">
        <v>-4.7387693419441402E-4</v>
      </c>
    </row>
    <row r="5774" spans="8:8" ht="15" customHeight="1" x14ac:dyDescent="0.2">
      <c r="H5774" s="19">
        <v>-2.9927062652323898E-3</v>
      </c>
    </row>
    <row r="5775" spans="8:8" ht="15" customHeight="1" x14ac:dyDescent="0.2">
      <c r="H5775" s="19">
        <v>-1.07551470848392E-2</v>
      </c>
    </row>
    <row r="5776" spans="8:8" ht="15" customHeight="1" x14ac:dyDescent="0.2">
      <c r="H5776" s="19">
        <v>2.5362783734464401E-4</v>
      </c>
    </row>
    <row r="5777" spans="8:8" ht="15" customHeight="1" x14ac:dyDescent="0.2">
      <c r="H5777" s="19">
        <v>-5.2532393313035001E-3</v>
      </c>
    </row>
    <row r="5778" spans="8:8" ht="15" customHeight="1" x14ac:dyDescent="0.2">
      <c r="H5778" s="19">
        <v>1.03403917949855E-2</v>
      </c>
    </row>
    <row r="5779" spans="8:8" ht="15" customHeight="1" x14ac:dyDescent="0.2">
      <c r="H5779" s="19">
        <v>2.5049263638767701E-3</v>
      </c>
    </row>
    <row r="5780" spans="8:8" ht="15" customHeight="1" x14ac:dyDescent="0.2">
      <c r="H5780" s="19">
        <v>2.15637371249059E-4</v>
      </c>
    </row>
    <row r="5781" spans="8:8" ht="15" customHeight="1" x14ac:dyDescent="0.2">
      <c r="H5781" s="19">
        <v>2.77863730535536E-3</v>
      </c>
    </row>
    <row r="5782" spans="8:8" ht="15" customHeight="1" x14ac:dyDescent="0.2">
      <c r="H5782" s="19">
        <v>1.4635968734484899E-2</v>
      </c>
    </row>
    <row r="5783" spans="8:8" ht="15" customHeight="1" x14ac:dyDescent="0.2">
      <c r="H5783" s="19">
        <v>-2.97478895943588E-3</v>
      </c>
    </row>
    <row r="5784" spans="8:8" ht="15" customHeight="1" x14ac:dyDescent="0.2">
      <c r="H5784" s="19">
        <v>1.0559140729577499E-3</v>
      </c>
    </row>
    <row r="5785" spans="8:8" ht="15" customHeight="1" x14ac:dyDescent="0.2">
      <c r="H5785" s="19">
        <v>1.7000855248775301E-2</v>
      </c>
    </row>
    <row r="5786" spans="8:8" ht="15" customHeight="1" x14ac:dyDescent="0.2">
      <c r="H5786" s="19">
        <v>3.0690243747876199E-4</v>
      </c>
    </row>
    <row r="5787" spans="8:8" ht="15" customHeight="1" x14ac:dyDescent="0.2">
      <c r="H5787" s="19">
        <v>-1.0652493134668499E-2</v>
      </c>
    </row>
    <row r="5788" spans="8:8" ht="15" customHeight="1" x14ac:dyDescent="0.2">
      <c r="H5788" s="19">
        <v>1.8418205702513599E-4</v>
      </c>
    </row>
    <row r="5789" spans="8:8" ht="15" customHeight="1" x14ac:dyDescent="0.2">
      <c r="H5789" s="19">
        <v>9.7519646053897905E-3</v>
      </c>
    </row>
    <row r="5790" spans="8:8" ht="15" customHeight="1" x14ac:dyDescent="0.2">
      <c r="H5790" s="19">
        <v>6.1504128519029597E-3</v>
      </c>
    </row>
    <row r="5791" spans="8:8" ht="15" customHeight="1" x14ac:dyDescent="0.2">
      <c r="H5791" s="19">
        <v>-5.9077812447611202E-3</v>
      </c>
    </row>
    <row r="5792" spans="8:8" ht="15" customHeight="1" x14ac:dyDescent="0.2">
      <c r="H5792" s="19">
        <v>-1.5471003054975099E-3</v>
      </c>
    </row>
    <row r="5793" spans="8:8" ht="15" customHeight="1" x14ac:dyDescent="0.2">
      <c r="H5793" s="19">
        <v>-1.23525073411088E-2</v>
      </c>
    </row>
    <row r="5794" spans="8:8" ht="15" customHeight="1" x14ac:dyDescent="0.2">
      <c r="H5794" s="19">
        <v>-6.5832559081087797E-3</v>
      </c>
    </row>
    <row r="5795" spans="8:8" ht="15" customHeight="1" x14ac:dyDescent="0.2">
      <c r="H5795" s="19">
        <v>-8.3995743326399901E-4</v>
      </c>
    </row>
    <row r="5796" spans="8:8" ht="15" customHeight="1" x14ac:dyDescent="0.2">
      <c r="H5796" s="19">
        <v>-4.8874414254364003E-4</v>
      </c>
    </row>
    <row r="5797" spans="8:8" ht="15" customHeight="1" x14ac:dyDescent="0.2">
      <c r="H5797" s="19">
        <v>5.3682173828377396E-3</v>
      </c>
    </row>
    <row r="5798" spans="8:8" ht="15" customHeight="1" x14ac:dyDescent="0.2">
      <c r="H5798" s="19">
        <v>-3.60338549119199E-3</v>
      </c>
    </row>
    <row r="5799" spans="8:8" ht="15" customHeight="1" x14ac:dyDescent="0.2">
      <c r="H5799" s="19">
        <v>-5.4425328912637398E-3</v>
      </c>
    </row>
    <row r="5800" spans="8:8" ht="15" customHeight="1" x14ac:dyDescent="0.2">
      <c r="H5800" s="19">
        <v>-6.2590000812372901E-3</v>
      </c>
    </row>
    <row r="5801" spans="8:8" ht="15" customHeight="1" x14ac:dyDescent="0.2">
      <c r="H5801" s="19">
        <v>-7.61502472964603E-3</v>
      </c>
    </row>
    <row r="5802" spans="8:8" ht="15" customHeight="1" x14ac:dyDescent="0.2">
      <c r="H5802" s="19">
        <v>6.5269812119994599E-3</v>
      </c>
    </row>
    <row r="5803" spans="8:8" ht="15" customHeight="1" x14ac:dyDescent="0.2">
      <c r="H5803" s="19">
        <v>1.7495109341250099E-3</v>
      </c>
    </row>
    <row r="5804" spans="8:8" ht="15" customHeight="1" x14ac:dyDescent="0.2">
      <c r="H5804" s="19">
        <v>7.6568626485605997E-3</v>
      </c>
    </row>
    <row r="5805" spans="8:8" ht="15" customHeight="1" x14ac:dyDescent="0.2">
      <c r="H5805" s="19">
        <v>-2.2759733302783199E-2</v>
      </c>
    </row>
    <row r="5806" spans="8:8" ht="15" customHeight="1" x14ac:dyDescent="0.2">
      <c r="H5806" s="19">
        <v>-7.1939156598095104E-3</v>
      </c>
    </row>
    <row r="5807" spans="8:8" ht="15" customHeight="1" x14ac:dyDescent="0.2">
      <c r="H5807" s="19">
        <v>-9.7691769758689595E-3</v>
      </c>
    </row>
    <row r="5808" spans="8:8" ht="15" customHeight="1" x14ac:dyDescent="0.2">
      <c r="H5808" s="19">
        <v>9.0441054088580795E-3</v>
      </c>
    </row>
    <row r="5809" spans="8:8" ht="15" customHeight="1" x14ac:dyDescent="0.2">
      <c r="H5809" s="19">
        <v>1.3111219210160801E-2</v>
      </c>
    </row>
    <row r="5810" spans="8:8" ht="15" customHeight="1" x14ac:dyDescent="0.2">
      <c r="H5810" s="19">
        <v>2.3501607239652901E-3</v>
      </c>
    </row>
    <row r="5811" spans="8:8" ht="15" customHeight="1" x14ac:dyDescent="0.2">
      <c r="H5811" s="19">
        <v>1.11348592751539E-2</v>
      </c>
    </row>
    <row r="5812" spans="8:8" ht="15" customHeight="1" x14ac:dyDescent="0.2">
      <c r="H5812" s="19">
        <v>8.0508421172332707E-3</v>
      </c>
    </row>
    <row r="5813" spans="8:8" ht="15" customHeight="1" x14ac:dyDescent="0.2">
      <c r="H5813" s="19">
        <v>1.2623777790588901E-2</v>
      </c>
    </row>
    <row r="5814" spans="8:8" ht="15" customHeight="1" x14ac:dyDescent="0.2">
      <c r="H5814" s="19">
        <v>2.0502901078804799E-4</v>
      </c>
    </row>
    <row r="5815" spans="8:8" ht="15" customHeight="1" x14ac:dyDescent="0.2">
      <c r="H5815" s="19">
        <v>-1.21836659375456E-2</v>
      </c>
    </row>
    <row r="5816" spans="8:8" ht="15" customHeight="1" x14ac:dyDescent="0.2">
      <c r="H5816" s="19">
        <v>-4.5520284656634102E-3</v>
      </c>
    </row>
    <row r="5817" spans="8:8" ht="15" customHeight="1" x14ac:dyDescent="0.2">
      <c r="H5817" s="19">
        <v>-1.8979314469541101E-2</v>
      </c>
    </row>
    <row r="5818" spans="8:8" ht="15" customHeight="1" x14ac:dyDescent="0.2">
      <c r="H5818" s="19">
        <v>8.1049052994019693E-3</v>
      </c>
    </row>
    <row r="5819" spans="8:8" ht="15" customHeight="1" x14ac:dyDescent="0.2">
      <c r="H5819" s="19">
        <v>1.50271639858968E-2</v>
      </c>
    </row>
    <row r="5820" spans="8:8" ht="15" customHeight="1" x14ac:dyDescent="0.2">
      <c r="H5820" s="19">
        <v>1.35282140759059E-2</v>
      </c>
    </row>
    <row r="5821" spans="8:8" ht="15" customHeight="1" x14ac:dyDescent="0.2">
      <c r="H5821" s="19">
        <v>1.7185712805232499E-3</v>
      </c>
    </row>
    <row r="5822" spans="8:8" ht="15" customHeight="1" x14ac:dyDescent="0.2">
      <c r="H5822" s="19">
        <v>2.08428261363767E-2</v>
      </c>
    </row>
    <row r="5823" spans="8:8" ht="15" customHeight="1" x14ac:dyDescent="0.2">
      <c r="H5823" s="19">
        <v>-1.30751458084535E-2</v>
      </c>
    </row>
    <row r="5824" spans="8:8" ht="15" customHeight="1" x14ac:dyDescent="0.2">
      <c r="H5824" s="19">
        <v>-6.1724623901922198E-3</v>
      </c>
    </row>
    <row r="5825" spans="8:8" ht="15" customHeight="1" x14ac:dyDescent="0.2">
      <c r="H5825" s="19">
        <v>-5.52293799606239E-3</v>
      </c>
    </row>
    <row r="5826" spans="8:8" ht="15" customHeight="1" x14ac:dyDescent="0.2">
      <c r="H5826" s="19">
        <v>8.2010048744999404E-4</v>
      </c>
    </row>
    <row r="5827" spans="8:8" ht="15" customHeight="1" x14ac:dyDescent="0.2">
      <c r="H5827" s="19">
        <v>-7.0757677978472502E-3</v>
      </c>
    </row>
    <row r="5828" spans="8:8" ht="15" customHeight="1" x14ac:dyDescent="0.2">
      <c r="H5828" s="19">
        <v>5.9302171853407E-3</v>
      </c>
    </row>
    <row r="5829" spans="8:8" ht="15" customHeight="1" x14ac:dyDescent="0.2">
      <c r="H5829" s="19">
        <v>1.29851425236641E-2</v>
      </c>
    </row>
    <row r="5830" spans="8:8" ht="15" customHeight="1" x14ac:dyDescent="0.2">
      <c r="H5830" s="19">
        <v>1.15139220828556E-2</v>
      </c>
    </row>
    <row r="5831" spans="8:8" ht="15" customHeight="1" x14ac:dyDescent="0.2">
      <c r="H5831" s="19">
        <v>-2.5056074162789301E-3</v>
      </c>
    </row>
    <row r="5832" spans="8:8" ht="15" customHeight="1" x14ac:dyDescent="0.2">
      <c r="H5832" s="19">
        <v>-1.1576494351937999E-2</v>
      </c>
    </row>
    <row r="5833" spans="8:8" ht="15" customHeight="1" x14ac:dyDescent="0.2">
      <c r="H5833" s="19">
        <v>1.0097182153532201E-2</v>
      </c>
    </row>
    <row r="5834" spans="8:8" ht="15" customHeight="1" x14ac:dyDescent="0.2">
      <c r="H5834" s="19">
        <v>-2.2454409599525601E-2</v>
      </c>
    </row>
    <row r="5835" spans="8:8" ht="15" customHeight="1" x14ac:dyDescent="0.2">
      <c r="H5835" s="19">
        <v>-1.92929895323786E-3</v>
      </c>
    </row>
    <row r="5836" spans="8:8" ht="15" customHeight="1" x14ac:dyDescent="0.2">
      <c r="H5836" s="19">
        <v>8.9708049612668792E-3</v>
      </c>
    </row>
    <row r="5837" spans="8:8" ht="15" customHeight="1" x14ac:dyDescent="0.2">
      <c r="H5837" s="19">
        <v>-3.9738822892579004E-3</v>
      </c>
    </row>
    <row r="5838" spans="8:8" ht="15" customHeight="1" x14ac:dyDescent="0.2">
      <c r="H5838" s="19">
        <v>5.4590798407675601E-3</v>
      </c>
    </row>
    <row r="5839" spans="8:8" ht="15" customHeight="1" x14ac:dyDescent="0.2">
      <c r="H5839" s="19">
        <v>4.6308567181497602E-3</v>
      </c>
    </row>
    <row r="5840" spans="8:8" ht="15" customHeight="1" x14ac:dyDescent="0.2">
      <c r="H5840" s="19">
        <v>-1.3702197696526201E-2</v>
      </c>
    </row>
    <row r="5841" spans="8:8" ht="15" customHeight="1" x14ac:dyDescent="0.2">
      <c r="H5841" s="19">
        <v>-1.41842890947745E-2</v>
      </c>
    </row>
    <row r="5842" spans="8:8" ht="15" customHeight="1" x14ac:dyDescent="0.2">
      <c r="H5842" s="19">
        <v>-2.2023868083384599E-4</v>
      </c>
    </row>
    <row r="5843" spans="8:8" ht="15" customHeight="1" x14ac:dyDescent="0.2">
      <c r="H5843" s="19">
        <v>-9.8771863482089804E-3</v>
      </c>
    </row>
    <row r="5844" spans="8:8" ht="15" customHeight="1" x14ac:dyDescent="0.2">
      <c r="H5844" s="19">
        <v>1.39657642350482E-2</v>
      </c>
    </row>
    <row r="5845" spans="8:8" ht="15" customHeight="1" x14ac:dyDescent="0.2">
      <c r="H5845" s="19">
        <v>-4.7882240153691103E-3</v>
      </c>
    </row>
    <row r="5846" spans="8:8" ht="15" customHeight="1" x14ac:dyDescent="0.2">
      <c r="H5846" s="19">
        <v>-8.2704250092691702E-3</v>
      </c>
    </row>
    <row r="5847" spans="8:8" ht="15" customHeight="1" x14ac:dyDescent="0.2">
      <c r="H5847" s="19">
        <v>7.4399470984134498E-3</v>
      </c>
    </row>
    <row r="5848" spans="8:8" ht="15" customHeight="1" x14ac:dyDescent="0.2">
      <c r="H5848" s="19">
        <v>-8.7777623014482897E-3</v>
      </c>
    </row>
    <row r="5849" spans="8:8" ht="15" customHeight="1" x14ac:dyDescent="0.2">
      <c r="H5849" s="19">
        <v>-7.6665461436280901E-3</v>
      </c>
    </row>
    <row r="5850" spans="8:8" ht="15" customHeight="1" x14ac:dyDescent="0.2">
      <c r="H5850" s="19">
        <v>6.7945894284432203E-3</v>
      </c>
    </row>
    <row r="5851" spans="8:8" ht="15" customHeight="1" x14ac:dyDescent="0.2">
      <c r="H5851" s="19">
        <v>-5.4527363429124499E-3</v>
      </c>
    </row>
    <row r="5852" spans="8:8" ht="15" customHeight="1" x14ac:dyDescent="0.2">
      <c r="H5852" s="19">
        <v>-1.4136099102108901E-3</v>
      </c>
    </row>
    <row r="5853" spans="8:8" ht="15" customHeight="1" x14ac:dyDescent="0.2">
      <c r="H5853" s="19">
        <v>1.1313862154296301E-2</v>
      </c>
    </row>
    <row r="5854" spans="8:8" ht="15" customHeight="1" x14ac:dyDescent="0.2">
      <c r="H5854" s="19">
        <v>1.51700291119986E-4</v>
      </c>
    </row>
    <row r="5855" spans="8:8" ht="15" customHeight="1" x14ac:dyDescent="0.2">
      <c r="H5855" s="19">
        <v>1.0850962351211999E-2</v>
      </c>
    </row>
    <row r="5856" spans="8:8" ht="15" customHeight="1" x14ac:dyDescent="0.2">
      <c r="H5856" s="19">
        <v>-3.11311986975444E-3</v>
      </c>
    </row>
    <row r="5857" spans="8:8" ht="15" customHeight="1" x14ac:dyDescent="0.2">
      <c r="H5857" s="19">
        <v>-2.08833385253154E-2</v>
      </c>
    </row>
    <row r="5858" spans="8:8" ht="15" customHeight="1" x14ac:dyDescent="0.2">
      <c r="H5858" s="19">
        <v>-4.7053640541844296E-3</v>
      </c>
    </row>
    <row r="5859" spans="8:8" ht="15" customHeight="1" x14ac:dyDescent="0.2">
      <c r="H5859" s="19">
        <v>-4.1112778403214097E-3</v>
      </c>
    </row>
    <row r="5860" spans="8:8" ht="15" customHeight="1" x14ac:dyDescent="0.2">
      <c r="H5860" s="19">
        <v>-1.8188201443052599E-4</v>
      </c>
    </row>
    <row r="5861" spans="8:8" ht="15" customHeight="1" x14ac:dyDescent="0.2">
      <c r="H5861" s="19">
        <v>-5.9126725766133299E-3</v>
      </c>
    </row>
    <row r="5862" spans="8:8" ht="15" customHeight="1" x14ac:dyDescent="0.2">
      <c r="H5862" s="19">
        <v>-1.0237253348901699E-2</v>
      </c>
    </row>
    <row r="5863" spans="8:8" ht="15" customHeight="1" x14ac:dyDescent="0.2">
      <c r="H5863" s="19">
        <v>-1.8907499049703E-2</v>
      </c>
    </row>
    <row r="5864" spans="8:8" ht="15" customHeight="1" x14ac:dyDescent="0.2">
      <c r="H5864" s="19">
        <v>-4.7550608480652198E-3</v>
      </c>
    </row>
    <row r="5865" spans="8:8" ht="15" customHeight="1" x14ac:dyDescent="0.2">
      <c r="H5865" s="19">
        <v>2.3490793170288199E-3</v>
      </c>
    </row>
    <row r="5866" spans="8:8" ht="15" customHeight="1" x14ac:dyDescent="0.2">
      <c r="H5866" s="19">
        <v>-2.5854233220085898E-3</v>
      </c>
    </row>
    <row r="5867" spans="8:8" ht="15" customHeight="1" x14ac:dyDescent="0.2">
      <c r="H5867" s="19">
        <v>8.9755326961183206E-3</v>
      </c>
    </row>
    <row r="5868" spans="8:8" ht="15" customHeight="1" x14ac:dyDescent="0.2">
      <c r="H5868" s="19">
        <v>4.1708459757654002E-3</v>
      </c>
    </row>
    <row r="5869" spans="8:8" ht="15" customHeight="1" x14ac:dyDescent="0.2">
      <c r="H5869" s="19">
        <v>-1.04789943675208E-2</v>
      </c>
    </row>
    <row r="5870" spans="8:8" ht="15" customHeight="1" x14ac:dyDescent="0.2">
      <c r="H5870" s="19">
        <v>1.28367152713644E-2</v>
      </c>
    </row>
    <row r="5871" spans="8:8" ht="15" customHeight="1" x14ac:dyDescent="0.2">
      <c r="H5871" s="19">
        <v>-1.8254543388339999E-3</v>
      </c>
    </row>
    <row r="5872" spans="8:8" ht="15" customHeight="1" x14ac:dyDescent="0.2">
      <c r="H5872" s="19">
        <v>-1.2116862910691499E-3</v>
      </c>
    </row>
    <row r="5873" spans="8:8" ht="15" customHeight="1" x14ac:dyDescent="0.2">
      <c r="H5873" s="19">
        <v>-6.2221885223408199E-3</v>
      </c>
    </row>
    <row r="5874" spans="8:8" ht="15" customHeight="1" x14ac:dyDescent="0.2">
      <c r="H5874" s="19">
        <v>5.1835432679087903E-3</v>
      </c>
    </row>
    <row r="5875" spans="8:8" ht="15" customHeight="1" x14ac:dyDescent="0.2">
      <c r="H5875" s="19">
        <v>-5.4165223762461696E-3</v>
      </c>
    </row>
    <row r="5876" spans="8:8" ht="15" customHeight="1" x14ac:dyDescent="0.2">
      <c r="H5876" s="19">
        <v>1.3814659405783801E-2</v>
      </c>
    </row>
    <row r="5877" spans="8:8" ht="15" customHeight="1" x14ac:dyDescent="0.2">
      <c r="H5877" s="19">
        <v>2.78741798550655E-3</v>
      </c>
    </row>
    <row r="5878" spans="8:8" ht="15" customHeight="1" x14ac:dyDescent="0.2">
      <c r="H5878" s="19">
        <v>-9.55385044052285E-3</v>
      </c>
    </row>
    <row r="5879" spans="8:8" ht="15" customHeight="1" x14ac:dyDescent="0.2">
      <c r="H5879" s="19">
        <v>2.4064202123308398E-3</v>
      </c>
    </row>
    <row r="5880" spans="8:8" ht="15" customHeight="1" x14ac:dyDescent="0.2">
      <c r="H5880" s="19">
        <v>-3.9469886474246098E-4</v>
      </c>
    </row>
    <row r="5881" spans="8:8" ht="15" customHeight="1" x14ac:dyDescent="0.2">
      <c r="H5881" s="19">
        <v>-1.2110843415281699E-2</v>
      </c>
    </row>
    <row r="5882" spans="8:8" ht="15" customHeight="1" x14ac:dyDescent="0.2">
      <c r="H5882" s="19">
        <v>-5.49034159299089E-3</v>
      </c>
    </row>
    <row r="5883" spans="8:8" ht="15" customHeight="1" x14ac:dyDescent="0.2">
      <c r="H5883" s="19">
        <v>-6.3822577083154901E-3</v>
      </c>
    </row>
    <row r="5884" spans="8:8" ht="15" customHeight="1" x14ac:dyDescent="0.2">
      <c r="H5884" s="19">
        <v>8.3490091538574503E-3</v>
      </c>
    </row>
    <row r="5885" spans="8:8" ht="15" customHeight="1" x14ac:dyDescent="0.2">
      <c r="H5885" s="19">
        <v>-4.1097231786486896E-3</v>
      </c>
    </row>
    <row r="5886" spans="8:8" ht="15" customHeight="1" x14ac:dyDescent="0.2">
      <c r="H5886" s="19">
        <v>1.7826629563262499E-2</v>
      </c>
    </row>
    <row r="5887" spans="8:8" ht="15" customHeight="1" x14ac:dyDescent="0.2">
      <c r="H5887" s="19">
        <v>-2.8412914092572098E-3</v>
      </c>
    </row>
    <row r="5888" spans="8:8" ht="15" customHeight="1" x14ac:dyDescent="0.2">
      <c r="H5888" s="19">
        <v>1.4999405144784501E-2</v>
      </c>
    </row>
    <row r="5889" spans="8:8" ht="15" customHeight="1" x14ac:dyDescent="0.2">
      <c r="H5889" s="19">
        <v>-3.1422250503204E-3</v>
      </c>
    </row>
    <row r="5890" spans="8:8" ht="15" customHeight="1" x14ac:dyDescent="0.2">
      <c r="H5890" s="19">
        <v>1.66578530935322E-2</v>
      </c>
    </row>
    <row r="5891" spans="8:8" ht="15" customHeight="1" x14ac:dyDescent="0.2">
      <c r="H5891" s="19">
        <v>7.0877223310291497E-3</v>
      </c>
    </row>
    <row r="5892" spans="8:8" ht="15" customHeight="1" x14ac:dyDescent="0.2">
      <c r="H5892" s="19">
        <v>1.6484955891171101E-2</v>
      </c>
    </row>
    <row r="5893" spans="8:8" ht="15" customHeight="1" x14ac:dyDescent="0.2">
      <c r="H5893" s="19">
        <v>2.9923834070359201E-3</v>
      </c>
    </row>
    <row r="5894" spans="8:8" ht="15" customHeight="1" x14ac:dyDescent="0.2">
      <c r="H5894" s="19">
        <v>5.5298586104649203E-3</v>
      </c>
    </row>
    <row r="5895" spans="8:8" ht="15" customHeight="1" x14ac:dyDescent="0.2">
      <c r="H5895" s="19">
        <v>8.8983663786095894E-3</v>
      </c>
    </row>
    <row r="5896" spans="8:8" ht="15" customHeight="1" x14ac:dyDescent="0.2">
      <c r="H5896" s="19">
        <v>6.2349649233233197E-3</v>
      </c>
    </row>
    <row r="5897" spans="8:8" ht="15" customHeight="1" x14ac:dyDescent="0.2">
      <c r="H5897" s="19">
        <v>-1.6994192227207699E-2</v>
      </c>
    </row>
    <row r="5898" spans="8:8" ht="15" customHeight="1" x14ac:dyDescent="0.2">
      <c r="H5898" s="19">
        <v>-7.5659909812966003E-3</v>
      </c>
    </row>
    <row r="5899" spans="8:8" ht="15" customHeight="1" x14ac:dyDescent="0.2">
      <c r="H5899" s="19">
        <v>5.9721325970097999E-3</v>
      </c>
    </row>
    <row r="5900" spans="8:8" ht="15" customHeight="1" x14ac:dyDescent="0.2">
      <c r="H5900" s="19">
        <v>3.6668962570240199E-3</v>
      </c>
    </row>
    <row r="5901" spans="8:8" ht="15" customHeight="1" x14ac:dyDescent="0.2">
      <c r="H5901" s="19">
        <v>-1.3096994053531E-2</v>
      </c>
    </row>
    <row r="5902" spans="8:8" ht="15" customHeight="1" x14ac:dyDescent="0.2">
      <c r="H5902" s="19">
        <v>9.5630435165575504E-3</v>
      </c>
    </row>
    <row r="5903" spans="8:8" ht="15" customHeight="1" x14ac:dyDescent="0.2">
      <c r="H5903" s="19">
        <v>-1.80207367300541E-2</v>
      </c>
    </row>
    <row r="5904" spans="8:8" ht="15" customHeight="1" x14ac:dyDescent="0.2">
      <c r="H5904" s="19">
        <v>6.0802054484558404E-4</v>
      </c>
    </row>
    <row r="5905" spans="8:8" ht="15" customHeight="1" x14ac:dyDescent="0.2">
      <c r="H5905" s="19">
        <v>1.0224434414938E-2</v>
      </c>
    </row>
    <row r="5906" spans="8:8" ht="15" customHeight="1" x14ac:dyDescent="0.2">
      <c r="H5906" s="19">
        <v>-1.00036677883812E-2</v>
      </c>
    </row>
    <row r="5907" spans="8:8" ht="15" customHeight="1" x14ac:dyDescent="0.2">
      <c r="H5907" s="19">
        <v>5.8499009781684003E-3</v>
      </c>
    </row>
    <row r="5908" spans="8:8" ht="15" customHeight="1" x14ac:dyDescent="0.2">
      <c r="H5908" s="19">
        <v>1.82827555271915E-2</v>
      </c>
    </row>
    <row r="5909" spans="8:8" ht="15" customHeight="1" x14ac:dyDescent="0.2">
      <c r="H5909" s="19">
        <v>5.6319690205081296E-3</v>
      </c>
    </row>
    <row r="5910" spans="8:8" ht="15" customHeight="1" x14ac:dyDescent="0.2">
      <c r="H5910" s="19">
        <v>-6.0871102680870402E-3</v>
      </c>
    </row>
    <row r="5911" spans="8:8" ht="15" customHeight="1" x14ac:dyDescent="0.2">
      <c r="H5911" s="19">
        <v>-2.9102860401588201E-3</v>
      </c>
    </row>
    <row r="5912" spans="8:8" ht="15" customHeight="1" x14ac:dyDescent="0.2">
      <c r="H5912" s="19">
        <v>-5.015494919243E-3</v>
      </c>
    </row>
    <row r="5913" spans="8:8" ht="15" customHeight="1" x14ac:dyDescent="0.2">
      <c r="H5913" s="19">
        <v>-8.1249430371179202E-4</v>
      </c>
    </row>
    <row r="5914" spans="8:8" ht="15" customHeight="1" x14ac:dyDescent="0.2">
      <c r="H5914" s="19">
        <v>-9.0399387446805195E-3</v>
      </c>
    </row>
    <row r="5915" spans="8:8" ht="15" customHeight="1" x14ac:dyDescent="0.2">
      <c r="H5915" s="19">
        <v>-1.9905976460411002E-3</v>
      </c>
    </row>
    <row r="5916" spans="8:8" ht="15" customHeight="1" x14ac:dyDescent="0.2">
      <c r="H5916" s="19">
        <v>3.9130415377512003E-3</v>
      </c>
    </row>
    <row r="5917" spans="8:8" ht="15" customHeight="1" x14ac:dyDescent="0.2">
      <c r="H5917" s="19">
        <v>1.4778718523225599E-3</v>
      </c>
    </row>
    <row r="5918" spans="8:8" ht="15" customHeight="1" x14ac:dyDescent="0.2">
      <c r="H5918" s="19">
        <v>1.50555873905392E-2</v>
      </c>
    </row>
    <row r="5919" spans="8:8" ht="15" customHeight="1" x14ac:dyDescent="0.2">
      <c r="H5919" s="19">
        <v>-2.60427493759384E-3</v>
      </c>
    </row>
    <row r="5920" spans="8:8" ht="15" customHeight="1" x14ac:dyDescent="0.2">
      <c r="H5920" s="19">
        <v>-5.7488229600872499E-3</v>
      </c>
    </row>
    <row r="5921" spans="8:8" ht="15" customHeight="1" x14ac:dyDescent="0.2">
      <c r="H5921" s="19">
        <v>8.3863403470574201E-3</v>
      </c>
    </row>
    <row r="5922" spans="8:8" ht="15" customHeight="1" x14ac:dyDescent="0.2">
      <c r="H5922" s="19">
        <v>-1.20573464158372E-2</v>
      </c>
    </row>
    <row r="5923" spans="8:8" ht="15" customHeight="1" x14ac:dyDescent="0.2">
      <c r="H5923" s="19">
        <v>1.0142198268804401E-4</v>
      </c>
    </row>
    <row r="5924" spans="8:8" ht="15" customHeight="1" x14ac:dyDescent="0.2">
      <c r="H5924" s="19">
        <v>2.31820774071546E-3</v>
      </c>
    </row>
    <row r="5925" spans="8:8" ht="15" customHeight="1" x14ac:dyDescent="0.2">
      <c r="H5925" s="19">
        <v>-9.0213646421936494E-3</v>
      </c>
    </row>
    <row r="5926" spans="8:8" ht="15" customHeight="1" x14ac:dyDescent="0.2">
      <c r="H5926" s="19">
        <v>1.02971416308441E-2</v>
      </c>
    </row>
    <row r="5927" spans="8:8" ht="15" customHeight="1" x14ac:dyDescent="0.2">
      <c r="H5927" s="19">
        <v>-1.41508740553059E-2</v>
      </c>
    </row>
    <row r="5928" spans="8:8" ht="15" customHeight="1" x14ac:dyDescent="0.2">
      <c r="H5928" s="19">
        <v>-3.4124207348033E-3</v>
      </c>
    </row>
    <row r="5929" spans="8:8" ht="15" customHeight="1" x14ac:dyDescent="0.2">
      <c r="H5929" s="19">
        <v>6.8442331145043903E-3</v>
      </c>
    </row>
    <row r="5930" spans="8:8" ht="15" customHeight="1" x14ac:dyDescent="0.2">
      <c r="H5930" s="19">
        <v>1.0452546880920901E-2</v>
      </c>
    </row>
    <row r="5931" spans="8:8" ht="15" customHeight="1" x14ac:dyDescent="0.2">
      <c r="H5931" s="19">
        <v>-7.8198110591823407E-3</v>
      </c>
    </row>
    <row r="5932" spans="8:8" ht="15" customHeight="1" x14ac:dyDescent="0.2">
      <c r="H5932" s="19">
        <v>-7.7156220411613999E-3</v>
      </c>
    </row>
    <row r="5933" spans="8:8" ht="15" customHeight="1" x14ac:dyDescent="0.2">
      <c r="H5933" s="19">
        <v>-1.20129336273859E-2</v>
      </c>
    </row>
    <row r="5934" spans="8:8" ht="15" customHeight="1" x14ac:dyDescent="0.2">
      <c r="H5934" s="19">
        <v>3.7139693187383102E-3</v>
      </c>
    </row>
    <row r="5935" spans="8:8" ht="15" customHeight="1" x14ac:dyDescent="0.2">
      <c r="H5935" s="19">
        <v>-2.6269819823401199E-3</v>
      </c>
    </row>
    <row r="5936" spans="8:8" ht="15" customHeight="1" x14ac:dyDescent="0.2">
      <c r="H5936" s="19">
        <v>2.1453889778823201E-2</v>
      </c>
    </row>
    <row r="5937" spans="8:8" ht="15" customHeight="1" x14ac:dyDescent="0.2">
      <c r="H5937" s="19">
        <v>1.9245648055078099E-2</v>
      </c>
    </row>
    <row r="5938" spans="8:8" ht="15" customHeight="1" x14ac:dyDescent="0.2">
      <c r="H5938" s="19">
        <v>1.04240538341497E-2</v>
      </c>
    </row>
    <row r="5939" spans="8:8" ht="15" customHeight="1" x14ac:dyDescent="0.2">
      <c r="H5939" s="19">
        <v>-1.0511259286634499E-2</v>
      </c>
    </row>
    <row r="5940" spans="8:8" ht="15" customHeight="1" x14ac:dyDescent="0.2">
      <c r="H5940" s="19">
        <v>-4.13963392852147E-3</v>
      </c>
    </row>
    <row r="5941" spans="8:8" ht="15" customHeight="1" x14ac:dyDescent="0.2">
      <c r="H5941" s="19">
        <v>6.1415916318696799E-3</v>
      </c>
    </row>
    <row r="5942" spans="8:8" ht="15" customHeight="1" x14ac:dyDescent="0.2">
      <c r="H5942" s="19">
        <v>1.3204821864310001E-2</v>
      </c>
    </row>
    <row r="5943" spans="8:8" ht="15" customHeight="1" x14ac:dyDescent="0.2">
      <c r="H5943" s="19">
        <v>1.0720425844637499E-2</v>
      </c>
    </row>
    <row r="5944" spans="8:8" ht="15" customHeight="1" x14ac:dyDescent="0.2">
      <c r="H5944" s="19">
        <v>1.5827656278438702E-2</v>
      </c>
    </row>
    <row r="5945" spans="8:8" ht="15" customHeight="1" x14ac:dyDescent="0.2">
      <c r="H5945" s="19">
        <v>-1.6788534220106501E-3</v>
      </c>
    </row>
    <row r="5946" spans="8:8" ht="15" customHeight="1" x14ac:dyDescent="0.2">
      <c r="H5946" s="19">
        <v>3.8468796793369401E-3</v>
      </c>
    </row>
    <row r="5947" spans="8:8" ht="15" customHeight="1" x14ac:dyDescent="0.2">
      <c r="H5947" s="19">
        <v>1.8549611742030201E-3</v>
      </c>
    </row>
    <row r="5948" spans="8:8" ht="15" customHeight="1" x14ac:dyDescent="0.2">
      <c r="H5948" s="19">
        <v>1.3493201715343E-2</v>
      </c>
    </row>
    <row r="5949" spans="8:8" ht="15" customHeight="1" x14ac:dyDescent="0.2">
      <c r="H5949" s="19">
        <v>2.7180013746854201E-3</v>
      </c>
    </row>
    <row r="5950" spans="8:8" ht="15" customHeight="1" x14ac:dyDescent="0.2">
      <c r="H5950" s="19">
        <v>1.2581326654038201E-2</v>
      </c>
    </row>
    <row r="5951" spans="8:8" ht="15" customHeight="1" x14ac:dyDescent="0.2">
      <c r="H5951" s="19">
        <v>-4.5256807297009601E-3</v>
      </c>
    </row>
    <row r="5952" spans="8:8" ht="15" customHeight="1" x14ac:dyDescent="0.2">
      <c r="H5952" s="19">
        <v>5.7794981032232799E-3</v>
      </c>
    </row>
    <row r="5953" spans="8:8" ht="15" customHeight="1" x14ac:dyDescent="0.2">
      <c r="H5953" s="19">
        <v>-3.6464597017280501E-3</v>
      </c>
    </row>
    <row r="5954" spans="8:8" ht="15" customHeight="1" x14ac:dyDescent="0.2">
      <c r="H5954" s="19">
        <v>2.26801589453373E-2</v>
      </c>
    </row>
    <row r="5955" spans="8:8" ht="15" customHeight="1" x14ac:dyDescent="0.2">
      <c r="H5955" s="19">
        <v>6.7743283038793501E-4</v>
      </c>
    </row>
    <row r="5956" spans="8:8" ht="15" customHeight="1" x14ac:dyDescent="0.2">
      <c r="H5956" s="19">
        <v>9.3166248618157706E-3</v>
      </c>
    </row>
    <row r="5957" spans="8:8" ht="15" customHeight="1" x14ac:dyDescent="0.2">
      <c r="H5957" s="19">
        <v>-7.0029672050696198E-3</v>
      </c>
    </row>
    <row r="5958" spans="8:8" ht="15" customHeight="1" x14ac:dyDescent="0.2">
      <c r="H5958" s="19">
        <v>-8.9259021312865904E-3</v>
      </c>
    </row>
    <row r="5959" spans="8:8" ht="15" customHeight="1" x14ac:dyDescent="0.2">
      <c r="H5959" s="19">
        <v>-1.6882429089937E-2</v>
      </c>
    </row>
    <row r="5960" spans="8:8" ht="15" customHeight="1" x14ac:dyDescent="0.2">
      <c r="H5960" s="19">
        <v>-1.05073464061058E-4</v>
      </c>
    </row>
    <row r="5961" spans="8:8" ht="15" customHeight="1" x14ac:dyDescent="0.2">
      <c r="H5961" s="19">
        <v>-1.01176700032521E-2</v>
      </c>
    </row>
    <row r="5962" spans="8:8" ht="15" customHeight="1" x14ac:dyDescent="0.2">
      <c r="H5962" s="19">
        <v>1.6871051909674601E-3</v>
      </c>
    </row>
    <row r="5963" spans="8:8" ht="15" customHeight="1" x14ac:dyDescent="0.2">
      <c r="H5963" s="19">
        <v>6.2692729387224897E-3</v>
      </c>
    </row>
    <row r="5964" spans="8:8" ht="15" customHeight="1" x14ac:dyDescent="0.2">
      <c r="H5964" s="19">
        <v>-5.77663536410827E-3</v>
      </c>
    </row>
    <row r="5965" spans="8:8" ht="15" customHeight="1" x14ac:dyDescent="0.2">
      <c r="H5965" s="19">
        <v>-5.3442704217457901E-3</v>
      </c>
    </row>
    <row r="5966" spans="8:8" ht="15" customHeight="1" x14ac:dyDescent="0.2">
      <c r="H5966" s="19">
        <v>-2.2040765735326299E-3</v>
      </c>
    </row>
    <row r="5967" spans="8:8" ht="15" customHeight="1" x14ac:dyDescent="0.2">
      <c r="H5967" s="19">
        <v>9.93833256383167E-3</v>
      </c>
    </row>
    <row r="5968" spans="8:8" ht="15" customHeight="1" x14ac:dyDescent="0.2">
      <c r="H5968" s="19">
        <v>1.3459744523363899E-3</v>
      </c>
    </row>
    <row r="5969" spans="8:8" ht="15" customHeight="1" x14ac:dyDescent="0.2">
      <c r="H5969" s="19">
        <v>9.3016401330050704E-3</v>
      </c>
    </row>
    <row r="5970" spans="8:8" ht="15" customHeight="1" x14ac:dyDescent="0.2">
      <c r="H5970" s="19">
        <v>-2.4966620643102999E-3</v>
      </c>
    </row>
    <row r="5971" spans="8:8" ht="15" customHeight="1" x14ac:dyDescent="0.2">
      <c r="H5971" s="19">
        <v>-5.26268351036092E-3</v>
      </c>
    </row>
    <row r="5972" spans="8:8" ht="15" customHeight="1" x14ac:dyDescent="0.2">
      <c r="H5972" s="19">
        <v>4.2939393470501699E-3</v>
      </c>
    </row>
    <row r="5973" spans="8:8" ht="15" customHeight="1" x14ac:dyDescent="0.2">
      <c r="H5973" s="19">
        <v>1.0168617569318399E-2</v>
      </c>
    </row>
    <row r="5974" spans="8:8" ht="15" customHeight="1" x14ac:dyDescent="0.2">
      <c r="H5974" s="19">
        <v>9.0773173178932305E-3</v>
      </c>
    </row>
    <row r="5975" spans="8:8" ht="15" customHeight="1" x14ac:dyDescent="0.2">
      <c r="H5975" s="19">
        <v>-7.6139903800698698E-3</v>
      </c>
    </row>
    <row r="5976" spans="8:8" ht="15" customHeight="1" x14ac:dyDescent="0.2">
      <c r="H5976" s="19">
        <v>4.62681644744546E-4</v>
      </c>
    </row>
    <row r="5977" spans="8:8" ht="15" customHeight="1" x14ac:dyDescent="0.2">
      <c r="H5977" s="19">
        <v>3.1522308752616299E-3</v>
      </c>
    </row>
    <row r="5978" spans="8:8" ht="15" customHeight="1" x14ac:dyDescent="0.2">
      <c r="H5978" s="19">
        <v>-1.08729790388589E-2</v>
      </c>
    </row>
    <row r="5979" spans="8:8" ht="15" customHeight="1" x14ac:dyDescent="0.2">
      <c r="H5979" s="19">
        <v>-9.6361805179975696E-3</v>
      </c>
    </row>
    <row r="5980" spans="8:8" ht="15" customHeight="1" x14ac:dyDescent="0.2">
      <c r="H5980" s="19">
        <v>3.5335030945645401E-3</v>
      </c>
    </row>
    <row r="5981" spans="8:8" ht="15" customHeight="1" x14ac:dyDescent="0.2">
      <c r="H5981" s="19">
        <v>3.8057284817623899E-3</v>
      </c>
    </row>
    <row r="5982" spans="8:8" ht="15" customHeight="1" x14ac:dyDescent="0.2">
      <c r="H5982" s="19">
        <v>-1.2330971507619E-2</v>
      </c>
    </row>
    <row r="5983" spans="8:8" ht="15" customHeight="1" x14ac:dyDescent="0.2">
      <c r="H5983" s="19">
        <v>1.88773517787827E-3</v>
      </c>
    </row>
    <row r="5984" spans="8:8" ht="15" customHeight="1" x14ac:dyDescent="0.2">
      <c r="H5984" s="19">
        <v>-6.9227118047694297E-3</v>
      </c>
    </row>
    <row r="5985" spans="8:8" ht="15" customHeight="1" x14ac:dyDescent="0.2">
      <c r="H5985" s="19">
        <v>-2.8576585719979702E-3</v>
      </c>
    </row>
    <row r="5986" spans="8:8" ht="15" customHeight="1" x14ac:dyDescent="0.2">
      <c r="H5986" s="19">
        <v>1.6075741410111099E-2</v>
      </c>
    </row>
    <row r="5987" spans="8:8" ht="15" customHeight="1" x14ac:dyDescent="0.2">
      <c r="H5987" s="19">
        <v>1.05986787025612E-2</v>
      </c>
    </row>
    <row r="5988" spans="8:8" ht="15" customHeight="1" x14ac:dyDescent="0.2">
      <c r="H5988" s="19">
        <v>-1.7810580457025899E-2</v>
      </c>
    </row>
    <row r="5989" spans="8:8" ht="15" customHeight="1" x14ac:dyDescent="0.2">
      <c r="H5989" s="19">
        <v>-5.3107696958263704E-3</v>
      </c>
    </row>
    <row r="5990" spans="8:8" ht="15" customHeight="1" x14ac:dyDescent="0.2">
      <c r="H5990" s="19">
        <v>7.4384141298616899E-4</v>
      </c>
    </row>
    <row r="5991" spans="8:8" ht="15" customHeight="1" x14ac:dyDescent="0.2">
      <c r="H5991" s="19">
        <v>-3.3473277906640002E-3</v>
      </c>
    </row>
    <row r="5992" spans="8:8" ht="15" customHeight="1" x14ac:dyDescent="0.2">
      <c r="H5992" s="19">
        <v>-1.09552375903607E-3</v>
      </c>
    </row>
    <row r="5993" spans="8:8" ht="15" customHeight="1" x14ac:dyDescent="0.2">
      <c r="H5993" s="19">
        <v>4.9160482621720299E-3</v>
      </c>
    </row>
    <row r="5994" spans="8:8" ht="15" customHeight="1" x14ac:dyDescent="0.2">
      <c r="H5994" s="19">
        <v>8.1106348448101301E-3</v>
      </c>
    </row>
    <row r="5995" spans="8:8" ht="15" customHeight="1" x14ac:dyDescent="0.2">
      <c r="H5995" s="19">
        <v>-6.21636275449462E-3</v>
      </c>
    </row>
    <row r="5996" spans="8:8" ht="15" customHeight="1" x14ac:dyDescent="0.2">
      <c r="H5996" s="19">
        <v>-4.5418924447147299E-3</v>
      </c>
    </row>
    <row r="5997" spans="8:8" ht="15" customHeight="1" x14ac:dyDescent="0.2">
      <c r="H5997" s="19">
        <v>-3.15079260260744E-3</v>
      </c>
    </row>
    <row r="5998" spans="8:8" ht="15" customHeight="1" x14ac:dyDescent="0.2">
      <c r="H5998" s="19">
        <v>1.46462083537453E-2</v>
      </c>
    </row>
    <row r="5999" spans="8:8" ht="15" customHeight="1" x14ac:dyDescent="0.2">
      <c r="H5999" s="19">
        <v>-8.3743940052493793E-3</v>
      </c>
    </row>
    <row r="6000" spans="8:8" ht="15" customHeight="1" x14ac:dyDescent="0.2">
      <c r="H6000" s="19">
        <v>-1.07293014567408E-2</v>
      </c>
    </row>
    <row r="6001" spans="8:8" ht="15" customHeight="1" x14ac:dyDescent="0.2">
      <c r="H6001" s="19">
        <v>-6.2439150479420202E-3</v>
      </c>
    </row>
    <row r="6002" spans="8:8" ht="15" customHeight="1" x14ac:dyDescent="0.2">
      <c r="H6002" s="19">
        <v>7.7075120191109096E-3</v>
      </c>
    </row>
    <row r="6003" spans="8:8" ht="15" customHeight="1" x14ac:dyDescent="0.2">
      <c r="H6003" s="19">
        <v>9.8194087753316703E-3</v>
      </c>
    </row>
    <row r="6004" spans="8:8" ht="15" customHeight="1" x14ac:dyDescent="0.2">
      <c r="H6004" s="19">
        <v>-7.5630866733813803E-3</v>
      </c>
    </row>
    <row r="6005" spans="8:8" ht="15" customHeight="1" x14ac:dyDescent="0.2">
      <c r="H6005" s="19">
        <v>2.5330013161933699E-4</v>
      </c>
    </row>
    <row r="6006" spans="8:8" ht="15" customHeight="1" x14ac:dyDescent="0.2">
      <c r="H6006" s="19">
        <v>2.9624770487128799E-3</v>
      </c>
    </row>
    <row r="6007" spans="8:8" ht="15" customHeight="1" x14ac:dyDescent="0.2">
      <c r="H6007" s="19">
        <v>-5.2722266408796702E-3</v>
      </c>
    </row>
    <row r="6008" spans="8:8" ht="15" customHeight="1" x14ac:dyDescent="0.2">
      <c r="H6008" s="19">
        <v>4.8839851869497096E-3</v>
      </c>
    </row>
    <row r="6009" spans="8:8" ht="15" customHeight="1" x14ac:dyDescent="0.2">
      <c r="H6009" s="19">
        <v>-9.4869758284550406E-3</v>
      </c>
    </row>
    <row r="6010" spans="8:8" ht="15" customHeight="1" x14ac:dyDescent="0.2">
      <c r="H6010" s="19">
        <v>2.87143219507694E-3</v>
      </c>
    </row>
    <row r="6011" spans="8:8" ht="15" customHeight="1" x14ac:dyDescent="0.2">
      <c r="H6011" s="19">
        <v>1.0487667079757301E-2</v>
      </c>
    </row>
    <row r="6012" spans="8:8" ht="15" customHeight="1" x14ac:dyDescent="0.2">
      <c r="H6012" s="19">
        <v>-9.8260502830902503E-3</v>
      </c>
    </row>
    <row r="6013" spans="8:8" ht="15" customHeight="1" x14ac:dyDescent="0.2">
      <c r="H6013" s="19">
        <v>-3.8580318138925701E-3</v>
      </c>
    </row>
    <row r="6014" spans="8:8" ht="15" customHeight="1" x14ac:dyDescent="0.2">
      <c r="H6014" s="19">
        <v>7.5758794987353497E-3</v>
      </c>
    </row>
    <row r="6015" spans="8:8" ht="15" customHeight="1" x14ac:dyDescent="0.2">
      <c r="H6015" s="19">
        <v>-1.4887482845383801E-3</v>
      </c>
    </row>
    <row r="6016" spans="8:8" ht="15" customHeight="1" x14ac:dyDescent="0.2">
      <c r="H6016" s="19">
        <v>8.1190961835537903E-4</v>
      </c>
    </row>
    <row r="6017" spans="8:8" ht="15" customHeight="1" x14ac:dyDescent="0.2">
      <c r="H6017" s="19">
        <v>-2.14198925312994E-2</v>
      </c>
    </row>
    <row r="6018" spans="8:8" ht="15" customHeight="1" x14ac:dyDescent="0.2">
      <c r="H6018" s="19">
        <v>-4.88193686526663E-3</v>
      </c>
    </row>
    <row r="6019" spans="8:8" ht="15" customHeight="1" x14ac:dyDescent="0.2">
      <c r="H6019" s="19">
        <v>5.0226503279211E-3</v>
      </c>
    </row>
    <row r="6020" spans="8:8" ht="15" customHeight="1" x14ac:dyDescent="0.2">
      <c r="H6020" s="19">
        <v>1.7799549857707601E-2</v>
      </c>
    </row>
    <row r="6021" spans="8:8" ht="15" customHeight="1" x14ac:dyDescent="0.2">
      <c r="H6021" s="19">
        <v>2.88608110272446E-3</v>
      </c>
    </row>
    <row r="6022" spans="8:8" ht="15" customHeight="1" x14ac:dyDescent="0.2">
      <c r="H6022" s="19">
        <v>1.0405503310120801E-2</v>
      </c>
    </row>
    <row r="6023" spans="8:8" ht="15" customHeight="1" x14ac:dyDescent="0.2">
      <c r="H6023" s="19">
        <v>-5.9779234928419396E-3</v>
      </c>
    </row>
    <row r="6024" spans="8:8" ht="15" customHeight="1" x14ac:dyDescent="0.2">
      <c r="H6024" s="19">
        <v>-7.4767508886216501E-3</v>
      </c>
    </row>
    <row r="6025" spans="8:8" ht="15" customHeight="1" x14ac:dyDescent="0.2">
      <c r="H6025" s="19">
        <v>1.41725162538249E-2</v>
      </c>
    </row>
    <row r="6026" spans="8:8" ht="15" customHeight="1" x14ac:dyDescent="0.2">
      <c r="H6026" s="19">
        <v>-7.2747447419933796E-3</v>
      </c>
    </row>
    <row r="6027" spans="8:8" ht="15" customHeight="1" x14ac:dyDescent="0.2">
      <c r="H6027" s="19">
        <v>7.2434610963965302E-3</v>
      </c>
    </row>
    <row r="6028" spans="8:8" ht="15" customHeight="1" x14ac:dyDescent="0.2">
      <c r="H6028" s="19">
        <v>-2.0861975687306998E-3</v>
      </c>
    </row>
    <row r="6029" spans="8:8" ht="15" customHeight="1" x14ac:dyDescent="0.2">
      <c r="H6029" s="19">
        <v>1.36263533578505E-3</v>
      </c>
    </row>
    <row r="6030" spans="8:8" ht="15" customHeight="1" x14ac:dyDescent="0.2">
      <c r="H6030" s="19">
        <v>-2.8479816464152502E-3</v>
      </c>
    </row>
    <row r="6031" spans="8:8" ht="15" customHeight="1" x14ac:dyDescent="0.2">
      <c r="H6031" s="19">
        <v>5.1198397192347902E-4</v>
      </c>
    </row>
    <row r="6032" spans="8:8" ht="15" customHeight="1" x14ac:dyDescent="0.2">
      <c r="H6032" s="19">
        <v>6.4999343181726702E-3</v>
      </c>
    </row>
    <row r="6033" spans="8:8" ht="15" customHeight="1" x14ac:dyDescent="0.2">
      <c r="H6033" s="19">
        <v>-1.15478990750938E-2</v>
      </c>
    </row>
    <row r="6034" spans="8:8" ht="15" customHeight="1" x14ac:dyDescent="0.2">
      <c r="H6034" s="19">
        <v>-1.53590751161408E-2</v>
      </c>
    </row>
    <row r="6035" spans="8:8" ht="15" customHeight="1" x14ac:dyDescent="0.2">
      <c r="H6035" s="19">
        <v>5.0545423991025997E-4</v>
      </c>
    </row>
    <row r="6036" spans="8:8" ht="15" customHeight="1" x14ac:dyDescent="0.2">
      <c r="H6036" s="19">
        <v>-7.6493696912292098E-3</v>
      </c>
    </row>
    <row r="6037" spans="8:8" ht="15" customHeight="1" x14ac:dyDescent="0.2">
      <c r="H6037" s="19">
        <v>-1.3272702458049801E-3</v>
      </c>
    </row>
    <row r="6038" spans="8:8" ht="15" customHeight="1" x14ac:dyDescent="0.2">
      <c r="H6038" s="19">
        <v>-5.8142102594574002E-3</v>
      </c>
    </row>
    <row r="6039" spans="8:8" ht="15" customHeight="1" x14ac:dyDescent="0.2">
      <c r="H6039" s="19">
        <v>-4.9736101674684998E-3</v>
      </c>
    </row>
    <row r="6040" spans="8:8" ht="15" customHeight="1" x14ac:dyDescent="0.2">
      <c r="H6040" s="19">
        <v>-1.13575626457782E-2</v>
      </c>
    </row>
    <row r="6041" spans="8:8" ht="15" customHeight="1" x14ac:dyDescent="0.2">
      <c r="H6041" s="19">
        <v>-6.5877947668638798E-3</v>
      </c>
    </row>
    <row r="6042" spans="8:8" ht="15" customHeight="1" x14ac:dyDescent="0.2">
      <c r="H6042" s="19">
        <v>1.6960455908398199E-5</v>
      </c>
    </row>
    <row r="6043" spans="8:8" ht="15" customHeight="1" x14ac:dyDescent="0.2">
      <c r="H6043" s="19">
        <v>1.07309269572972E-2</v>
      </c>
    </row>
    <row r="6044" spans="8:8" ht="15" customHeight="1" x14ac:dyDescent="0.2">
      <c r="H6044" s="19">
        <v>-2.3891617557888498E-3</v>
      </c>
    </row>
    <row r="6045" spans="8:8" ht="15" customHeight="1" x14ac:dyDescent="0.2">
      <c r="H6045" s="19">
        <v>1.04792659808376E-2</v>
      </c>
    </row>
    <row r="6046" spans="8:8" ht="15" customHeight="1" x14ac:dyDescent="0.2">
      <c r="H6046" s="19">
        <v>-2.0106104282637299E-2</v>
      </c>
    </row>
    <row r="6047" spans="8:8" ht="15" customHeight="1" x14ac:dyDescent="0.2">
      <c r="H6047" s="19">
        <v>-9.0050474415538195E-4</v>
      </c>
    </row>
    <row r="6048" spans="8:8" ht="15" customHeight="1" x14ac:dyDescent="0.2">
      <c r="H6048" s="19">
        <v>-9.2647434089457705E-4</v>
      </c>
    </row>
    <row r="6049" spans="8:8" ht="15" customHeight="1" x14ac:dyDescent="0.2">
      <c r="H6049" s="19">
        <v>3.3785834233905302E-3</v>
      </c>
    </row>
    <row r="6050" spans="8:8" ht="15" customHeight="1" x14ac:dyDescent="0.2">
      <c r="H6050" s="19">
        <v>1.00433570114786E-2</v>
      </c>
    </row>
    <row r="6051" spans="8:8" ht="15" customHeight="1" x14ac:dyDescent="0.2">
      <c r="H6051" s="19">
        <v>2.24831673087962E-3</v>
      </c>
    </row>
    <row r="6052" spans="8:8" ht="15" customHeight="1" x14ac:dyDescent="0.2">
      <c r="H6052" s="19">
        <v>1.2671535835547599E-2</v>
      </c>
    </row>
    <row r="6053" spans="8:8" ht="15" customHeight="1" x14ac:dyDescent="0.2">
      <c r="H6053" s="19">
        <v>5.8035697748577402E-3</v>
      </c>
    </row>
    <row r="6054" spans="8:8" ht="15" customHeight="1" x14ac:dyDescent="0.2">
      <c r="H6054" s="19">
        <v>3.79755787255588E-3</v>
      </c>
    </row>
    <row r="6055" spans="8:8" ht="15" customHeight="1" x14ac:dyDescent="0.2">
      <c r="H6055" s="19">
        <v>-2.02224121334097E-3</v>
      </c>
    </row>
    <row r="6056" spans="8:8" ht="15" customHeight="1" x14ac:dyDescent="0.2">
      <c r="H6056" s="19">
        <v>-1.68696851996975E-3</v>
      </c>
    </row>
    <row r="6057" spans="8:8" ht="15" customHeight="1" x14ac:dyDescent="0.2">
      <c r="H6057" s="19">
        <v>2.0999140481996002E-2</v>
      </c>
    </row>
    <row r="6058" spans="8:8" ht="15" customHeight="1" x14ac:dyDescent="0.2">
      <c r="H6058" s="19">
        <v>-2.0443219648143499E-3</v>
      </c>
    </row>
    <row r="6059" spans="8:8" ht="15" customHeight="1" x14ac:dyDescent="0.2">
      <c r="H6059" s="19">
        <v>3.6716133900088002E-3</v>
      </c>
    </row>
    <row r="6060" spans="8:8" ht="15" customHeight="1" x14ac:dyDescent="0.2">
      <c r="H6060" s="19">
        <v>9.0201478357462004E-4</v>
      </c>
    </row>
    <row r="6061" spans="8:8" ht="15" customHeight="1" x14ac:dyDescent="0.2">
      <c r="H6061" s="19">
        <v>3.77471014476912E-3</v>
      </c>
    </row>
    <row r="6062" spans="8:8" ht="15" customHeight="1" x14ac:dyDescent="0.2">
      <c r="H6062" s="19">
        <v>9.3081962686592298E-3</v>
      </c>
    </row>
    <row r="6063" spans="8:8" ht="15" customHeight="1" x14ac:dyDescent="0.2">
      <c r="H6063" s="19">
        <v>1.0861312648830401E-2</v>
      </c>
    </row>
    <row r="6064" spans="8:8" ht="15" customHeight="1" x14ac:dyDescent="0.2">
      <c r="H6064" s="19">
        <v>-1.1370470433897601E-2</v>
      </c>
    </row>
    <row r="6065" spans="8:8" ht="15" customHeight="1" x14ac:dyDescent="0.2">
      <c r="H6065" s="19">
        <v>6.0710942868563702E-3</v>
      </c>
    </row>
    <row r="6066" spans="8:8" ht="15" customHeight="1" x14ac:dyDescent="0.2">
      <c r="H6066" s="19">
        <v>-3.65093293167384E-3</v>
      </c>
    </row>
    <row r="6067" spans="8:8" ht="15" customHeight="1" x14ac:dyDescent="0.2">
      <c r="H6067" s="19">
        <v>5.4131654664390499E-3</v>
      </c>
    </row>
    <row r="6068" spans="8:8" ht="15" customHeight="1" x14ac:dyDescent="0.2">
      <c r="H6068" s="19">
        <v>-1.87232398608485E-3</v>
      </c>
    </row>
    <row r="6069" spans="8:8" ht="15" customHeight="1" x14ac:dyDescent="0.2">
      <c r="H6069" s="19">
        <v>-4.8983632159317302E-3</v>
      </c>
    </row>
    <row r="6070" spans="8:8" ht="15" customHeight="1" x14ac:dyDescent="0.2">
      <c r="H6070" s="19">
        <v>-2.0571088430002001E-2</v>
      </c>
    </row>
    <row r="6071" spans="8:8" ht="15" customHeight="1" x14ac:dyDescent="0.2">
      <c r="H6071" s="19">
        <v>9.6624529088538604E-3</v>
      </c>
    </row>
    <row r="6072" spans="8:8" ht="15" customHeight="1" x14ac:dyDescent="0.2">
      <c r="H6072" s="19">
        <v>3.7303217346109801E-3</v>
      </c>
    </row>
    <row r="6073" spans="8:8" ht="15" customHeight="1" x14ac:dyDescent="0.2">
      <c r="H6073" s="19">
        <v>1.3842629394344899E-2</v>
      </c>
    </row>
    <row r="6074" spans="8:8" ht="15" customHeight="1" x14ac:dyDescent="0.2">
      <c r="H6074" s="19">
        <v>-1.30453730494352E-3</v>
      </c>
    </row>
    <row r="6075" spans="8:8" ht="15" customHeight="1" x14ac:dyDescent="0.2">
      <c r="H6075" s="19">
        <v>-1.6329852259858199E-3</v>
      </c>
    </row>
    <row r="6076" spans="8:8" ht="15" customHeight="1" x14ac:dyDescent="0.2">
      <c r="H6076" s="19">
        <v>-4.5608246817586502E-3</v>
      </c>
    </row>
    <row r="6077" spans="8:8" ht="15" customHeight="1" x14ac:dyDescent="0.2">
      <c r="H6077" s="19">
        <v>7.8125584762711101E-3</v>
      </c>
    </row>
    <row r="6078" spans="8:8" ht="15" customHeight="1" x14ac:dyDescent="0.2">
      <c r="H6078" s="19">
        <v>-4.0792231371786997E-3</v>
      </c>
    </row>
    <row r="6079" spans="8:8" ht="15" customHeight="1" x14ac:dyDescent="0.2">
      <c r="H6079" s="19">
        <v>5.0166192623421002E-3</v>
      </c>
    </row>
    <row r="6080" spans="8:8" ht="15" customHeight="1" x14ac:dyDescent="0.2">
      <c r="H6080" s="19">
        <v>-1.0634567355676E-2</v>
      </c>
    </row>
    <row r="6081" spans="8:8" ht="15" customHeight="1" x14ac:dyDescent="0.2">
      <c r="H6081" s="19">
        <v>5.6037916387541497E-3</v>
      </c>
    </row>
    <row r="6082" spans="8:8" ht="15" customHeight="1" x14ac:dyDescent="0.2">
      <c r="H6082" s="19">
        <v>7.8736160754480297E-3</v>
      </c>
    </row>
    <row r="6083" spans="8:8" ht="15" customHeight="1" x14ac:dyDescent="0.2">
      <c r="H6083" s="19">
        <v>8.9334299512864497E-5</v>
      </c>
    </row>
    <row r="6084" spans="8:8" ht="15" customHeight="1" x14ac:dyDescent="0.2">
      <c r="H6084" s="19">
        <v>-4.1852649475469603E-3</v>
      </c>
    </row>
    <row r="6085" spans="8:8" ht="15" customHeight="1" x14ac:dyDescent="0.2">
      <c r="H6085" s="19">
        <v>-1.1564060219715099E-3</v>
      </c>
    </row>
    <row r="6086" spans="8:8" ht="15" customHeight="1" x14ac:dyDescent="0.2">
      <c r="H6086" s="19">
        <v>-3.55448913084578E-3</v>
      </c>
    </row>
    <row r="6087" spans="8:8" ht="15" customHeight="1" x14ac:dyDescent="0.2">
      <c r="H6087" s="19">
        <v>5.0196645060751601E-3</v>
      </c>
    </row>
    <row r="6088" spans="8:8" ht="15" customHeight="1" x14ac:dyDescent="0.2">
      <c r="H6088" s="19">
        <v>2.6294765331238601E-3</v>
      </c>
    </row>
    <row r="6089" spans="8:8" ht="15" customHeight="1" x14ac:dyDescent="0.2">
      <c r="H6089" s="19">
        <v>1.07048275958182E-2</v>
      </c>
    </row>
    <row r="6090" spans="8:8" ht="15" customHeight="1" x14ac:dyDescent="0.2">
      <c r="H6090" s="19">
        <v>1.38442606558224E-2</v>
      </c>
    </row>
    <row r="6091" spans="8:8" ht="15" customHeight="1" x14ac:dyDescent="0.2">
      <c r="H6091" s="19">
        <v>8.0197663292192606E-3</v>
      </c>
    </row>
    <row r="6092" spans="8:8" ht="15" customHeight="1" x14ac:dyDescent="0.2">
      <c r="H6092" s="19">
        <v>1.1452627029637801E-2</v>
      </c>
    </row>
    <row r="6093" spans="8:8" ht="15" customHeight="1" x14ac:dyDescent="0.2">
      <c r="H6093" s="19">
        <v>-1.05758408831502E-2</v>
      </c>
    </row>
    <row r="6094" spans="8:8" ht="15" customHeight="1" x14ac:dyDescent="0.2">
      <c r="H6094" s="19">
        <v>1.5863638871292898E-2</v>
      </c>
    </row>
    <row r="6095" spans="8:8" ht="15" customHeight="1" x14ac:dyDescent="0.2">
      <c r="H6095" s="19">
        <v>-2.4727641713534298E-3</v>
      </c>
    </row>
    <row r="6096" spans="8:8" ht="15" customHeight="1" x14ac:dyDescent="0.2">
      <c r="H6096" s="19">
        <v>3.65044287671324E-3</v>
      </c>
    </row>
    <row r="6097" spans="8:8" ht="15" customHeight="1" x14ac:dyDescent="0.2">
      <c r="H6097" s="19">
        <v>-1.28477363032692E-2</v>
      </c>
    </row>
    <row r="6098" spans="8:8" ht="15" customHeight="1" x14ac:dyDescent="0.2">
      <c r="H6098" s="19">
        <v>-6.7643797998162601E-3</v>
      </c>
    </row>
    <row r="6099" spans="8:8" ht="15" customHeight="1" x14ac:dyDescent="0.2">
      <c r="H6099" s="19">
        <v>-7.8413622740402898E-3</v>
      </c>
    </row>
    <row r="6100" spans="8:8" ht="15" customHeight="1" x14ac:dyDescent="0.2">
      <c r="H6100" s="19">
        <v>-4.5668774508359697E-3</v>
      </c>
    </row>
    <row r="6101" spans="8:8" ht="15" customHeight="1" x14ac:dyDescent="0.2">
      <c r="H6101" s="19">
        <v>-1.2540257420476E-2</v>
      </c>
    </row>
    <row r="6102" spans="8:8" ht="15" customHeight="1" x14ac:dyDescent="0.2">
      <c r="H6102" s="19">
        <v>3.68563105059669E-3</v>
      </c>
    </row>
    <row r="6103" spans="8:8" ht="15" customHeight="1" x14ac:dyDescent="0.2">
      <c r="H6103" s="19">
        <v>-1.46742815130507E-2</v>
      </c>
    </row>
    <row r="6104" spans="8:8" ht="15" customHeight="1" x14ac:dyDescent="0.2">
      <c r="H6104" s="19">
        <v>-2.7257012377327399E-4</v>
      </c>
    </row>
    <row r="6105" spans="8:8" ht="15" customHeight="1" x14ac:dyDescent="0.2">
      <c r="H6105" s="19">
        <v>1.2063716841349E-2</v>
      </c>
    </row>
    <row r="6106" spans="8:8" ht="15" customHeight="1" x14ac:dyDescent="0.2">
      <c r="H6106" s="19">
        <v>1.25622149579775E-2</v>
      </c>
    </row>
    <row r="6107" spans="8:8" ht="15" customHeight="1" x14ac:dyDescent="0.2">
      <c r="H6107" s="19">
        <v>-1.0733305162815201E-2</v>
      </c>
    </row>
    <row r="6108" spans="8:8" ht="15" customHeight="1" x14ac:dyDescent="0.2">
      <c r="H6108" s="19">
        <v>2.55863085774857E-2</v>
      </c>
    </row>
    <row r="6109" spans="8:8" ht="15" customHeight="1" x14ac:dyDescent="0.2">
      <c r="H6109" s="19">
        <v>1.9537718491993501E-2</v>
      </c>
    </row>
    <row r="6110" spans="8:8" ht="15" customHeight="1" x14ac:dyDescent="0.2">
      <c r="H6110" s="19">
        <v>-9.7720839412079197E-3</v>
      </c>
    </row>
    <row r="6111" spans="8:8" ht="15" customHeight="1" x14ac:dyDescent="0.2">
      <c r="H6111" s="19">
        <v>3.4721054852384298E-3</v>
      </c>
    </row>
    <row r="6112" spans="8:8" ht="15" customHeight="1" x14ac:dyDescent="0.2">
      <c r="H6112" s="19">
        <v>9.8188797261791107E-3</v>
      </c>
    </row>
    <row r="6113" spans="8:8" ht="15" customHeight="1" x14ac:dyDescent="0.2">
      <c r="H6113" s="19">
        <v>6.4131208197815703E-3</v>
      </c>
    </row>
    <row r="6114" spans="8:8" ht="15" customHeight="1" x14ac:dyDescent="0.2">
      <c r="H6114" s="19">
        <v>-1.38242451403312E-2</v>
      </c>
    </row>
    <row r="6115" spans="8:8" ht="15" customHeight="1" x14ac:dyDescent="0.2">
      <c r="H6115" s="19">
        <v>-4.1618937710950401E-3</v>
      </c>
    </row>
    <row r="6116" spans="8:8" ht="15" customHeight="1" x14ac:dyDescent="0.2">
      <c r="H6116" s="19">
        <v>6.8253772630315302E-3</v>
      </c>
    </row>
    <row r="6117" spans="8:8" ht="15" customHeight="1" x14ac:dyDescent="0.2">
      <c r="H6117" s="19">
        <v>-7.2046396021360898E-3</v>
      </c>
    </row>
    <row r="6118" spans="8:8" ht="15" customHeight="1" x14ac:dyDescent="0.2">
      <c r="H6118" s="19">
        <v>5.2489325188319596E-4</v>
      </c>
    </row>
    <row r="6119" spans="8:8" ht="15" customHeight="1" x14ac:dyDescent="0.2">
      <c r="H6119" s="19">
        <v>-6.27094761084476E-3</v>
      </c>
    </row>
    <row r="6120" spans="8:8" ht="15" customHeight="1" x14ac:dyDescent="0.2">
      <c r="H6120" s="19">
        <v>-5.3863259159561902E-3</v>
      </c>
    </row>
    <row r="6121" spans="8:8" ht="15" customHeight="1" x14ac:dyDescent="0.2">
      <c r="H6121" s="19">
        <v>-6.7567217732578903E-3</v>
      </c>
    </row>
    <row r="6122" spans="8:8" ht="15" customHeight="1" x14ac:dyDescent="0.2">
      <c r="H6122" s="19">
        <v>-2.7110257622794901E-3</v>
      </c>
    </row>
    <row r="6123" spans="8:8" ht="15" customHeight="1" x14ac:dyDescent="0.2">
      <c r="H6123" s="19">
        <v>-6.91745371744781E-3</v>
      </c>
    </row>
    <row r="6124" spans="8:8" ht="15" customHeight="1" x14ac:dyDescent="0.2">
      <c r="H6124" s="19">
        <v>-6.2374391951019303E-3</v>
      </c>
    </row>
    <row r="6125" spans="8:8" ht="15" customHeight="1" x14ac:dyDescent="0.2">
      <c r="H6125" s="19">
        <v>2.2937000197986002E-2</v>
      </c>
    </row>
    <row r="6126" spans="8:8" ht="15" customHeight="1" x14ac:dyDescent="0.2">
      <c r="H6126" s="19">
        <v>-6.2207447227860101E-3</v>
      </c>
    </row>
    <row r="6127" spans="8:8" ht="15" customHeight="1" x14ac:dyDescent="0.2">
      <c r="H6127" s="19">
        <v>-1.2633613184615999E-3</v>
      </c>
    </row>
    <row r="6128" spans="8:8" ht="15" customHeight="1" x14ac:dyDescent="0.2">
      <c r="H6128" s="19">
        <v>-2.6596644594521199E-2</v>
      </c>
    </row>
    <row r="6129" spans="8:8" ht="15" customHeight="1" x14ac:dyDescent="0.2">
      <c r="H6129" s="19">
        <v>-4.9815524702373503E-4</v>
      </c>
    </row>
    <row r="6130" spans="8:8" ht="15" customHeight="1" x14ac:dyDescent="0.2">
      <c r="H6130" s="19">
        <v>9.3299490611346402E-4</v>
      </c>
    </row>
    <row r="6131" spans="8:8" ht="15" customHeight="1" x14ac:dyDescent="0.2">
      <c r="H6131" s="19">
        <v>-1.58285725559307E-2</v>
      </c>
    </row>
    <row r="6132" spans="8:8" ht="15" customHeight="1" x14ac:dyDescent="0.2">
      <c r="H6132" s="19">
        <v>1.6126791627658101E-2</v>
      </c>
    </row>
    <row r="6133" spans="8:8" ht="15" customHeight="1" x14ac:dyDescent="0.2">
      <c r="H6133" s="19">
        <v>1.2183506150281499E-2</v>
      </c>
    </row>
    <row r="6134" spans="8:8" ht="15" customHeight="1" x14ac:dyDescent="0.2">
      <c r="H6134" s="19">
        <v>-2.1060687590163398E-3</v>
      </c>
    </row>
    <row r="6135" spans="8:8" ht="15" customHeight="1" x14ac:dyDescent="0.2">
      <c r="H6135" s="19">
        <v>9.71821622216585E-4</v>
      </c>
    </row>
    <row r="6136" spans="8:8" ht="15" customHeight="1" x14ac:dyDescent="0.2">
      <c r="H6136" s="19">
        <v>1.89163359311893E-3</v>
      </c>
    </row>
    <row r="6137" spans="8:8" ht="15" customHeight="1" x14ac:dyDescent="0.2">
      <c r="H6137" s="19">
        <v>-5.8215214258315702E-3</v>
      </c>
    </row>
    <row r="6138" spans="8:8" ht="15" customHeight="1" x14ac:dyDescent="0.2">
      <c r="H6138" s="19">
        <v>3.2304853314935201E-3</v>
      </c>
    </row>
    <row r="6139" spans="8:8" ht="15" customHeight="1" x14ac:dyDescent="0.2">
      <c r="H6139" s="19">
        <v>5.3654672042406804E-3</v>
      </c>
    </row>
    <row r="6140" spans="8:8" ht="15" customHeight="1" x14ac:dyDescent="0.2">
      <c r="H6140" s="19">
        <v>-8.5647974058141608E-3</v>
      </c>
    </row>
    <row r="6141" spans="8:8" ht="15" customHeight="1" x14ac:dyDescent="0.2">
      <c r="H6141" s="19">
        <v>-1.0594264195314799E-3</v>
      </c>
    </row>
    <row r="6142" spans="8:8" ht="15" customHeight="1" x14ac:dyDescent="0.2">
      <c r="H6142" s="19">
        <v>-4.3622879680978999E-3</v>
      </c>
    </row>
    <row r="6143" spans="8:8" ht="15" customHeight="1" x14ac:dyDescent="0.2">
      <c r="H6143" s="19">
        <v>-1.06394845772739E-3</v>
      </c>
    </row>
    <row r="6144" spans="8:8" ht="15" customHeight="1" x14ac:dyDescent="0.2">
      <c r="H6144" s="19">
        <v>1.6373584638853099E-2</v>
      </c>
    </row>
    <row r="6145" spans="8:8" ht="15" customHeight="1" x14ac:dyDescent="0.2">
      <c r="H6145" s="19">
        <v>8.1641270741303004E-4</v>
      </c>
    </row>
    <row r="6146" spans="8:8" ht="15" customHeight="1" x14ac:dyDescent="0.2">
      <c r="H6146" s="19">
        <v>-4.8242970843362602E-3</v>
      </c>
    </row>
    <row r="6147" spans="8:8" ht="15" customHeight="1" x14ac:dyDescent="0.2">
      <c r="H6147" s="19">
        <v>-8.2161712010937801E-3</v>
      </c>
    </row>
    <row r="6148" spans="8:8" ht="15" customHeight="1" x14ac:dyDescent="0.2">
      <c r="H6148" s="19">
        <v>7.7608715026056003E-5</v>
      </c>
    </row>
    <row r="6149" spans="8:8" ht="15" customHeight="1" x14ac:dyDescent="0.2">
      <c r="H6149" s="19">
        <v>8.6842770503634502E-3</v>
      </c>
    </row>
    <row r="6150" spans="8:8" ht="15" customHeight="1" x14ac:dyDescent="0.2">
      <c r="H6150" s="19">
        <v>1.75815494880898E-2</v>
      </c>
    </row>
    <row r="6151" spans="8:8" ht="15" customHeight="1" x14ac:dyDescent="0.2">
      <c r="H6151" s="19">
        <v>-1.4971432857373001E-2</v>
      </c>
    </row>
    <row r="6152" spans="8:8" ht="15" customHeight="1" x14ac:dyDescent="0.2">
      <c r="H6152" s="19">
        <v>2.2099682218007098E-3</v>
      </c>
    </row>
    <row r="6153" spans="8:8" ht="15" customHeight="1" x14ac:dyDescent="0.2">
      <c r="H6153" s="19">
        <v>6.3092270631662803E-4</v>
      </c>
    </row>
    <row r="6154" spans="8:8" ht="15" customHeight="1" x14ac:dyDescent="0.2">
      <c r="H6154" s="19">
        <v>6.7598393548611796E-3</v>
      </c>
    </row>
    <row r="6155" spans="8:8" ht="15" customHeight="1" x14ac:dyDescent="0.2">
      <c r="H6155" s="19">
        <v>-9.6206604748414592E-3</v>
      </c>
    </row>
    <row r="6156" spans="8:8" ht="15" customHeight="1" x14ac:dyDescent="0.2">
      <c r="H6156" s="19">
        <v>2.6581334325066E-3</v>
      </c>
    </row>
    <row r="6157" spans="8:8" ht="15" customHeight="1" x14ac:dyDescent="0.2">
      <c r="H6157" s="19">
        <v>8.5329461167460603E-3</v>
      </c>
    </row>
    <row r="6158" spans="8:8" ht="15" customHeight="1" x14ac:dyDescent="0.2">
      <c r="H6158" s="19">
        <v>-1.26661903571953E-2</v>
      </c>
    </row>
    <row r="6159" spans="8:8" ht="15" customHeight="1" x14ac:dyDescent="0.2">
      <c r="H6159" s="19">
        <v>-2.8046589994636601E-3</v>
      </c>
    </row>
    <row r="6160" spans="8:8" ht="15" customHeight="1" x14ac:dyDescent="0.2">
      <c r="H6160" s="19">
        <v>-1.0941893934182699E-2</v>
      </c>
    </row>
    <row r="6161" spans="8:8" ht="15" customHeight="1" x14ac:dyDescent="0.2">
      <c r="H6161" s="19">
        <v>4.1958609918637101E-3</v>
      </c>
    </row>
    <row r="6162" spans="8:8" ht="15" customHeight="1" x14ac:dyDescent="0.2">
      <c r="H6162" s="19">
        <v>6.75291018891551E-3</v>
      </c>
    </row>
    <row r="6163" spans="8:8" ht="15" customHeight="1" x14ac:dyDescent="0.2">
      <c r="H6163" s="19">
        <v>1.8710094320943699E-2</v>
      </c>
    </row>
    <row r="6164" spans="8:8" ht="15" customHeight="1" x14ac:dyDescent="0.2">
      <c r="H6164" s="19">
        <v>6.4518811736466002E-3</v>
      </c>
    </row>
    <row r="6165" spans="8:8" ht="15" customHeight="1" x14ac:dyDescent="0.2">
      <c r="H6165" s="19">
        <v>8.0960476875243607E-3</v>
      </c>
    </row>
    <row r="6166" spans="8:8" ht="15" customHeight="1" x14ac:dyDescent="0.2">
      <c r="H6166" s="19">
        <v>-3.1282610065136597E-4</v>
      </c>
    </row>
    <row r="6167" spans="8:8" ht="15" customHeight="1" x14ac:dyDescent="0.2">
      <c r="H6167" s="19">
        <v>4.83393403803769E-3</v>
      </c>
    </row>
    <row r="6168" spans="8:8" ht="15" customHeight="1" x14ac:dyDescent="0.2">
      <c r="H6168" s="19">
        <v>-1.47976910275773E-3</v>
      </c>
    </row>
    <row r="6169" spans="8:8" ht="15" customHeight="1" x14ac:dyDescent="0.2">
      <c r="H6169" s="19">
        <v>-7.6795723827937496E-4</v>
      </c>
    </row>
    <row r="6170" spans="8:8" ht="15" customHeight="1" x14ac:dyDescent="0.2">
      <c r="H6170" s="19">
        <v>9.3432868289449102E-3</v>
      </c>
    </row>
    <row r="6171" spans="8:8" ht="15" customHeight="1" x14ac:dyDescent="0.2">
      <c r="H6171" s="19">
        <v>6.3889348797572104E-3</v>
      </c>
    </row>
    <row r="6172" spans="8:8" ht="15" customHeight="1" x14ac:dyDescent="0.2">
      <c r="H6172" s="19">
        <v>6.0298920534648899E-3</v>
      </c>
    </row>
    <row r="6173" spans="8:8" ht="15" customHeight="1" x14ac:dyDescent="0.2">
      <c r="H6173" s="19">
        <v>-1.29580854620516E-2</v>
      </c>
    </row>
    <row r="6174" spans="8:8" ht="15" customHeight="1" x14ac:dyDescent="0.2">
      <c r="H6174" s="19">
        <v>2.7668905245946802E-2</v>
      </c>
    </row>
    <row r="6175" spans="8:8" ht="15" customHeight="1" x14ac:dyDescent="0.2">
      <c r="H6175" s="19">
        <v>1.8420790094131102E-2</v>
      </c>
    </row>
    <row r="6176" spans="8:8" ht="15" customHeight="1" x14ac:dyDescent="0.2">
      <c r="H6176" s="19">
        <v>-8.2385782279842199E-3</v>
      </c>
    </row>
    <row r="6177" spans="8:8" ht="15" customHeight="1" x14ac:dyDescent="0.2">
      <c r="H6177" s="19">
        <v>-2.7454799583734499E-3</v>
      </c>
    </row>
    <row r="6178" spans="8:8" ht="15" customHeight="1" x14ac:dyDescent="0.2">
      <c r="H6178" s="19">
        <v>-1.7935610959375699E-3</v>
      </c>
    </row>
    <row r="6179" spans="8:8" ht="15" customHeight="1" x14ac:dyDescent="0.2">
      <c r="H6179" s="19">
        <v>-9.0996060601118804E-3</v>
      </c>
    </row>
    <row r="6180" spans="8:8" ht="15" customHeight="1" x14ac:dyDescent="0.2">
      <c r="H6180" s="19">
        <v>-1.1774303905263701E-2</v>
      </c>
    </row>
    <row r="6181" spans="8:8" ht="15" customHeight="1" x14ac:dyDescent="0.2">
      <c r="H6181" s="19">
        <v>1.1582307024777701E-2</v>
      </c>
    </row>
    <row r="6182" spans="8:8" ht="15" customHeight="1" x14ac:dyDescent="0.2">
      <c r="H6182" s="19">
        <v>1.4842861783684101E-2</v>
      </c>
    </row>
    <row r="6183" spans="8:8" ht="15" customHeight="1" x14ac:dyDescent="0.2">
      <c r="H6183" s="19">
        <v>3.1997935459078001E-3</v>
      </c>
    </row>
    <row r="6184" spans="8:8" ht="15" customHeight="1" x14ac:dyDescent="0.2">
      <c r="H6184" s="19">
        <v>-3.8321082290193398E-3</v>
      </c>
    </row>
    <row r="6185" spans="8:8" ht="15" customHeight="1" x14ac:dyDescent="0.2">
      <c r="H6185" s="19">
        <v>8.2998635358929995E-3</v>
      </c>
    </row>
    <row r="6186" spans="8:8" ht="15" customHeight="1" x14ac:dyDescent="0.2">
      <c r="H6186" s="19">
        <v>1.20287219381308E-2</v>
      </c>
    </row>
    <row r="6187" spans="8:8" ht="15" customHeight="1" x14ac:dyDescent="0.2">
      <c r="H6187" s="19">
        <v>5.87721630017161E-3</v>
      </c>
    </row>
    <row r="6188" spans="8:8" ht="15" customHeight="1" x14ac:dyDescent="0.2">
      <c r="H6188" s="19">
        <v>-3.8692079016569699E-4</v>
      </c>
    </row>
    <row r="6189" spans="8:8" ht="15" customHeight="1" x14ac:dyDescent="0.2">
      <c r="H6189" s="19">
        <v>4.9497881411528898E-3</v>
      </c>
    </row>
    <row r="6190" spans="8:8" ht="15" customHeight="1" x14ac:dyDescent="0.2">
      <c r="H6190" s="19">
        <v>-1.2893613515877001E-3</v>
      </c>
    </row>
    <row r="6191" spans="8:8" ht="15" customHeight="1" x14ac:dyDescent="0.2">
      <c r="H6191" s="19">
        <v>-6.2038175135070497E-3</v>
      </c>
    </row>
    <row r="6192" spans="8:8" ht="15" customHeight="1" x14ac:dyDescent="0.2">
      <c r="H6192" s="19">
        <v>6.8537341178473996E-3</v>
      </c>
    </row>
    <row r="6193" spans="8:8" ht="15" customHeight="1" x14ac:dyDescent="0.2">
      <c r="H6193" s="19">
        <v>-7.2106132386456799E-3</v>
      </c>
    </row>
    <row r="6194" spans="8:8" ht="15" customHeight="1" x14ac:dyDescent="0.2">
      <c r="H6194" s="19">
        <v>3.7023874968358599E-3</v>
      </c>
    </row>
    <row r="6195" spans="8:8" ht="15" customHeight="1" x14ac:dyDescent="0.2">
      <c r="H6195" s="19">
        <v>1.2630732461613901E-3</v>
      </c>
    </row>
    <row r="6196" spans="8:8" ht="15" customHeight="1" x14ac:dyDescent="0.2">
      <c r="H6196" s="19">
        <v>-4.3807581948864102E-3</v>
      </c>
    </row>
    <row r="6197" spans="8:8" ht="15" customHeight="1" x14ac:dyDescent="0.2">
      <c r="H6197" s="19">
        <v>-1.14195375298797E-3</v>
      </c>
    </row>
    <row r="6198" spans="8:8" ht="15" customHeight="1" x14ac:dyDescent="0.2">
      <c r="H6198" s="19">
        <v>1.12899845228182E-4</v>
      </c>
    </row>
    <row r="6199" spans="8:8" ht="15" customHeight="1" x14ac:dyDescent="0.2">
      <c r="H6199" s="19">
        <v>-2.88473579092014E-3</v>
      </c>
    </row>
    <row r="6200" spans="8:8" ht="15" customHeight="1" x14ac:dyDescent="0.2">
      <c r="H6200" s="19">
        <v>9.2790217095734297E-3</v>
      </c>
    </row>
    <row r="6201" spans="8:8" ht="15" customHeight="1" x14ac:dyDescent="0.2">
      <c r="H6201" s="19">
        <v>-6.5251233204003496E-4</v>
      </c>
    </row>
    <row r="6202" spans="8:8" ht="15" customHeight="1" x14ac:dyDescent="0.2">
      <c r="H6202" s="19">
        <v>8.0672990455642201E-4</v>
      </c>
    </row>
    <row r="6203" spans="8:8" ht="15" customHeight="1" x14ac:dyDescent="0.2">
      <c r="H6203" s="19">
        <v>1.8971831492605298E-2</v>
      </c>
    </row>
    <row r="6204" spans="8:8" ht="15" customHeight="1" x14ac:dyDescent="0.2">
      <c r="H6204" s="19">
        <v>-1.21553257551144E-2</v>
      </c>
    </row>
    <row r="6205" spans="8:8" ht="15" customHeight="1" x14ac:dyDescent="0.2">
      <c r="H6205" s="19">
        <v>1.5670635415055E-2</v>
      </c>
    </row>
    <row r="6206" spans="8:8" ht="15" customHeight="1" x14ac:dyDescent="0.2">
      <c r="H6206" s="19">
        <v>5.0803585014215598E-3</v>
      </c>
    </row>
    <row r="6207" spans="8:8" ht="15" customHeight="1" x14ac:dyDescent="0.2">
      <c r="H6207" s="19">
        <v>2.36860137088858E-2</v>
      </c>
    </row>
    <row r="6208" spans="8:8" ht="15" customHeight="1" x14ac:dyDescent="0.2">
      <c r="H6208" s="19">
        <v>-1.0697080408181099E-2</v>
      </c>
    </row>
    <row r="6209" spans="8:8" ht="15" customHeight="1" x14ac:dyDescent="0.2">
      <c r="H6209" s="19">
        <v>-7.5341056061818401E-3</v>
      </c>
    </row>
    <row r="6210" spans="8:8" ht="15" customHeight="1" x14ac:dyDescent="0.2">
      <c r="H6210" s="19">
        <v>5.2014905676511201E-3</v>
      </c>
    </row>
    <row r="6211" spans="8:8" ht="15" customHeight="1" x14ac:dyDescent="0.2">
      <c r="H6211" s="19">
        <v>3.4222957191111002E-3</v>
      </c>
    </row>
    <row r="6212" spans="8:8" ht="15" customHeight="1" x14ac:dyDescent="0.2">
      <c r="H6212" s="19">
        <v>-1.9410129013440001E-3</v>
      </c>
    </row>
    <row r="6213" spans="8:8" ht="15" customHeight="1" x14ac:dyDescent="0.2">
      <c r="H6213" s="19">
        <v>1.83552693209744E-2</v>
      </c>
    </row>
    <row r="6214" spans="8:8" ht="15" customHeight="1" x14ac:dyDescent="0.2">
      <c r="H6214" s="19">
        <v>-1.16990807709829E-2</v>
      </c>
    </row>
    <row r="6215" spans="8:8" ht="15" customHeight="1" x14ac:dyDescent="0.2">
      <c r="H6215" s="19">
        <v>8.3445379468557405E-3</v>
      </c>
    </row>
    <row r="6216" spans="8:8" ht="15" customHeight="1" x14ac:dyDescent="0.2">
      <c r="H6216" s="19">
        <v>-5.1533333045610296E-3</v>
      </c>
    </row>
    <row r="6217" spans="8:8" ht="15" customHeight="1" x14ac:dyDescent="0.2">
      <c r="H6217" s="19">
        <v>1.13880988128878E-2</v>
      </c>
    </row>
    <row r="6218" spans="8:8" ht="15" customHeight="1" x14ac:dyDescent="0.2">
      <c r="H6218" s="19">
        <v>-1.70694060155798E-3</v>
      </c>
    </row>
    <row r="6219" spans="8:8" ht="15" customHeight="1" x14ac:dyDescent="0.2">
      <c r="H6219" s="19">
        <v>2.6032833915104001E-5</v>
      </c>
    </row>
    <row r="6220" spans="8:8" ht="15" customHeight="1" x14ac:dyDescent="0.2">
      <c r="H6220" s="19">
        <v>1.67988846472918E-2</v>
      </c>
    </row>
    <row r="6221" spans="8:8" ht="15" customHeight="1" x14ac:dyDescent="0.2">
      <c r="H6221" s="19">
        <v>9.8558951336377692E-3</v>
      </c>
    </row>
    <row r="6222" spans="8:8" ht="15" customHeight="1" x14ac:dyDescent="0.2">
      <c r="H6222" s="19">
        <v>-1.8907300718778101E-2</v>
      </c>
    </row>
    <row r="6223" spans="8:8" ht="15" customHeight="1" x14ac:dyDescent="0.2">
      <c r="H6223" s="19">
        <v>4.4530217360305201E-3</v>
      </c>
    </row>
    <row r="6224" spans="8:8" ht="15" customHeight="1" x14ac:dyDescent="0.2">
      <c r="H6224" s="19">
        <v>-1.8231390205935401E-2</v>
      </c>
    </row>
    <row r="6225" spans="8:8" ht="15" customHeight="1" x14ac:dyDescent="0.2">
      <c r="H6225" s="19">
        <v>4.5211544273284204E-3</v>
      </c>
    </row>
    <row r="6226" spans="8:8" ht="15" customHeight="1" x14ac:dyDescent="0.2">
      <c r="H6226" s="19">
        <v>-2.81352505572191E-3</v>
      </c>
    </row>
    <row r="6227" spans="8:8" ht="15" customHeight="1" x14ac:dyDescent="0.2">
      <c r="H6227" s="19">
        <v>-9.1830991201440699E-4</v>
      </c>
    </row>
    <row r="6228" spans="8:8" ht="15" customHeight="1" x14ac:dyDescent="0.2">
      <c r="H6228" s="19">
        <v>3.9070226046035404E-3</v>
      </c>
    </row>
    <row r="6229" spans="8:8" ht="15" customHeight="1" x14ac:dyDescent="0.2">
      <c r="H6229" s="19">
        <v>-3.0751412333481299E-3</v>
      </c>
    </row>
    <row r="6230" spans="8:8" ht="15" customHeight="1" x14ac:dyDescent="0.2">
      <c r="H6230" s="19">
        <v>1.4936703664272799E-3</v>
      </c>
    </row>
    <row r="6231" spans="8:8" ht="15" customHeight="1" x14ac:dyDescent="0.2">
      <c r="H6231" s="19">
        <v>5.1432630656361798E-4</v>
      </c>
    </row>
    <row r="6232" spans="8:8" ht="15" customHeight="1" x14ac:dyDescent="0.2">
      <c r="H6232" s="19">
        <v>6.8190600117361199E-3</v>
      </c>
    </row>
    <row r="6233" spans="8:8" ht="15" customHeight="1" x14ac:dyDescent="0.2">
      <c r="H6233" s="19">
        <v>1.13860258707585E-3</v>
      </c>
    </row>
    <row r="6234" spans="8:8" ht="15" customHeight="1" x14ac:dyDescent="0.2">
      <c r="H6234" s="19">
        <v>2.5224315978668402E-4</v>
      </c>
    </row>
    <row r="6235" spans="8:8" ht="15" customHeight="1" x14ac:dyDescent="0.2">
      <c r="H6235" s="19">
        <v>-1.30593639271601E-2</v>
      </c>
    </row>
    <row r="6236" spans="8:8" ht="15" customHeight="1" x14ac:dyDescent="0.2">
      <c r="H6236" s="19">
        <v>-1.21505953513404E-2</v>
      </c>
    </row>
    <row r="6237" spans="8:8" ht="15" customHeight="1" x14ac:dyDescent="0.2">
      <c r="H6237" s="19">
        <v>-1.1357057182083999E-2</v>
      </c>
    </row>
    <row r="6238" spans="8:8" ht="15" customHeight="1" x14ac:dyDescent="0.2">
      <c r="H6238" s="19">
        <v>-2.5106619970514201E-3</v>
      </c>
    </row>
    <row r="6239" spans="8:8" ht="15" customHeight="1" x14ac:dyDescent="0.2">
      <c r="H6239" s="19">
        <v>-1.6618585201662199E-2</v>
      </c>
    </row>
    <row r="6240" spans="8:8" ht="15" customHeight="1" x14ac:dyDescent="0.2">
      <c r="H6240" s="19">
        <v>-6.7476205183543596E-3</v>
      </c>
    </row>
    <row r="6241" spans="8:8" ht="15" customHeight="1" x14ac:dyDescent="0.2">
      <c r="H6241" s="19">
        <v>2.1186867350492199E-2</v>
      </c>
    </row>
    <row r="6242" spans="8:8" ht="15" customHeight="1" x14ac:dyDescent="0.2">
      <c r="H6242" s="19">
        <v>3.0559787869752198E-3</v>
      </c>
    </row>
    <row r="6243" spans="8:8" ht="15" customHeight="1" x14ac:dyDescent="0.2">
      <c r="H6243" s="19">
        <v>1.58488855117545E-2</v>
      </c>
    </row>
    <row r="6244" spans="8:8" ht="15" customHeight="1" x14ac:dyDescent="0.2">
      <c r="H6244" s="19">
        <v>1.0406927339973299E-3</v>
      </c>
    </row>
    <row r="6245" spans="8:8" ht="15" customHeight="1" x14ac:dyDescent="0.2">
      <c r="H6245" s="19">
        <v>-1.23172552208889E-2</v>
      </c>
    </row>
    <row r="6246" spans="8:8" ht="15" customHeight="1" x14ac:dyDescent="0.2">
      <c r="H6246" s="19">
        <v>8.2172244130093407E-3</v>
      </c>
    </row>
    <row r="6247" spans="8:8" ht="15" customHeight="1" x14ac:dyDescent="0.2">
      <c r="H6247" s="19">
        <v>-6.2247213640555504E-3</v>
      </c>
    </row>
    <row r="6248" spans="8:8" ht="15" customHeight="1" x14ac:dyDescent="0.2">
      <c r="H6248" s="19">
        <v>-1.6400836398970799E-2</v>
      </c>
    </row>
    <row r="6249" spans="8:8" ht="15" customHeight="1" x14ac:dyDescent="0.2">
      <c r="H6249" s="19">
        <v>3.0604210256200701E-3</v>
      </c>
    </row>
    <row r="6250" spans="8:8" ht="15" customHeight="1" x14ac:dyDescent="0.2">
      <c r="H6250" s="19">
        <v>3.8432661262094601E-3</v>
      </c>
    </row>
    <row r="6251" spans="8:8" ht="15" customHeight="1" x14ac:dyDescent="0.2">
      <c r="H6251" s="19">
        <v>3.4962414991567101E-4</v>
      </c>
    </row>
    <row r="6252" spans="8:8" ht="15" customHeight="1" x14ac:dyDescent="0.2">
      <c r="H6252" s="19">
        <v>-7.3259844008401404E-4</v>
      </c>
    </row>
    <row r="6253" spans="8:8" ht="15" customHeight="1" x14ac:dyDescent="0.2">
      <c r="H6253" s="19">
        <v>-4.4664968239153998E-3</v>
      </c>
    </row>
    <row r="6254" spans="8:8" ht="15" customHeight="1" x14ac:dyDescent="0.2">
      <c r="H6254" s="19">
        <v>8.7819218261916809E-3</v>
      </c>
    </row>
    <row r="6255" spans="8:8" ht="15" customHeight="1" x14ac:dyDescent="0.2">
      <c r="H6255" s="19">
        <v>-4.3198284065283799E-3</v>
      </c>
    </row>
    <row r="6256" spans="8:8" ht="15" customHeight="1" x14ac:dyDescent="0.2">
      <c r="H6256" s="19">
        <v>8.9359442600752906E-3</v>
      </c>
    </row>
    <row r="6257" spans="8:8" ht="15" customHeight="1" x14ac:dyDescent="0.2">
      <c r="H6257" s="19">
        <v>2.3353946075538499E-3</v>
      </c>
    </row>
    <row r="6258" spans="8:8" ht="15" customHeight="1" x14ac:dyDescent="0.2">
      <c r="H6258" s="19">
        <v>1.69960931804612E-3</v>
      </c>
    </row>
    <row r="6259" spans="8:8" ht="15" customHeight="1" x14ac:dyDescent="0.2">
      <c r="H6259" s="19">
        <v>3.1825228728613801E-3</v>
      </c>
    </row>
    <row r="6260" spans="8:8" ht="15" customHeight="1" x14ac:dyDescent="0.2">
      <c r="H6260" s="19">
        <v>-5.3562488931873696E-3</v>
      </c>
    </row>
    <row r="6261" spans="8:8" ht="15" customHeight="1" x14ac:dyDescent="0.2">
      <c r="H6261" s="19">
        <v>1.7141020415749299E-2</v>
      </c>
    </row>
    <row r="6262" spans="8:8" ht="15" customHeight="1" x14ac:dyDescent="0.2">
      <c r="H6262" s="19">
        <v>-2.5580046853200299E-3</v>
      </c>
    </row>
    <row r="6263" spans="8:8" ht="15" customHeight="1" x14ac:dyDescent="0.2">
      <c r="H6263" s="19">
        <v>1.1496538609318201E-2</v>
      </c>
    </row>
    <row r="6264" spans="8:8" ht="15" customHeight="1" x14ac:dyDescent="0.2">
      <c r="H6264" s="19">
        <v>-3.9050259292903E-3</v>
      </c>
    </row>
    <row r="6265" spans="8:8" ht="15" customHeight="1" x14ac:dyDescent="0.2">
      <c r="H6265" s="19">
        <v>-4.6199502968795499E-4</v>
      </c>
    </row>
    <row r="6266" spans="8:8" ht="15" customHeight="1" x14ac:dyDescent="0.2">
      <c r="H6266" s="19">
        <v>1.1946880676408899E-2</v>
      </c>
    </row>
    <row r="6267" spans="8:8" ht="15" customHeight="1" x14ac:dyDescent="0.2">
      <c r="H6267" s="19">
        <v>-7.49462491189531E-4</v>
      </c>
    </row>
    <row r="6268" spans="8:8" ht="15" customHeight="1" x14ac:dyDescent="0.2">
      <c r="H6268" s="19">
        <v>1.12803451939352E-2</v>
      </c>
    </row>
    <row r="6269" spans="8:8" ht="15" customHeight="1" x14ac:dyDescent="0.2">
      <c r="H6269" s="19">
        <v>2.76595402739757E-3</v>
      </c>
    </row>
    <row r="6270" spans="8:8" ht="15" customHeight="1" x14ac:dyDescent="0.2">
      <c r="H6270" s="19">
        <v>-2.1473323711382599E-3</v>
      </c>
    </row>
    <row r="6271" spans="8:8" ht="15" customHeight="1" x14ac:dyDescent="0.2">
      <c r="H6271" s="19">
        <v>2.69495383709263E-3</v>
      </c>
    </row>
    <row r="6272" spans="8:8" ht="15" customHeight="1" x14ac:dyDescent="0.2">
      <c r="H6272" s="19">
        <v>5.6903258733899797E-3</v>
      </c>
    </row>
    <row r="6273" spans="8:8" ht="15" customHeight="1" x14ac:dyDescent="0.2">
      <c r="H6273" s="19">
        <v>-7.9665700406726105E-4</v>
      </c>
    </row>
    <row r="6274" spans="8:8" ht="15" customHeight="1" x14ac:dyDescent="0.2">
      <c r="H6274" s="19">
        <v>7.7671655170678802E-3</v>
      </c>
    </row>
    <row r="6275" spans="8:8" ht="15" customHeight="1" x14ac:dyDescent="0.2">
      <c r="H6275" s="19">
        <v>-4.4990128512431699E-3</v>
      </c>
    </row>
    <row r="6276" spans="8:8" ht="15" customHeight="1" x14ac:dyDescent="0.2">
      <c r="H6276" s="19">
        <v>-5.5295755667435498E-3</v>
      </c>
    </row>
    <row r="6277" spans="8:8" ht="15" customHeight="1" x14ac:dyDescent="0.2">
      <c r="H6277" s="19">
        <v>-1.11831184973992E-3</v>
      </c>
    </row>
    <row r="6278" spans="8:8" ht="15" customHeight="1" x14ac:dyDescent="0.2">
      <c r="H6278" s="19">
        <v>2.9388668841713501E-2</v>
      </c>
    </row>
    <row r="6279" spans="8:8" ht="15" customHeight="1" x14ac:dyDescent="0.2">
      <c r="H6279" s="19">
        <v>-2.4230291343729001E-2</v>
      </c>
    </row>
    <row r="6280" spans="8:8" ht="15" customHeight="1" x14ac:dyDescent="0.2">
      <c r="H6280" s="19">
        <v>-3.72739883480384E-3</v>
      </c>
    </row>
    <row r="6281" spans="8:8" ht="15" customHeight="1" x14ac:dyDescent="0.2">
      <c r="H6281" s="19">
        <v>4.0052193896370899E-3</v>
      </c>
    </row>
    <row r="6282" spans="8:8" ht="15" customHeight="1" x14ac:dyDescent="0.2">
      <c r="H6282" s="19">
        <v>1.1894427631913999E-2</v>
      </c>
    </row>
    <row r="6283" spans="8:8" ht="15" customHeight="1" x14ac:dyDescent="0.2">
      <c r="H6283" s="19">
        <v>-9.23544516174085E-3</v>
      </c>
    </row>
    <row r="6284" spans="8:8" ht="15" customHeight="1" x14ac:dyDescent="0.2">
      <c r="H6284" s="19">
        <v>2.6189226767244201E-3</v>
      </c>
    </row>
    <row r="6285" spans="8:8" ht="15" customHeight="1" x14ac:dyDescent="0.2">
      <c r="H6285" s="19">
        <v>6.4127683793063998E-3</v>
      </c>
    </row>
    <row r="6286" spans="8:8" ht="15" customHeight="1" x14ac:dyDescent="0.2">
      <c r="H6286" s="19">
        <v>-1.39287311826912E-2</v>
      </c>
    </row>
    <row r="6287" spans="8:8" ht="15" customHeight="1" x14ac:dyDescent="0.2">
      <c r="H6287" s="19">
        <v>4.2518536099289198E-3</v>
      </c>
    </row>
    <row r="6288" spans="8:8" ht="15" customHeight="1" x14ac:dyDescent="0.2">
      <c r="H6288" s="19">
        <v>8.8171865790336399E-3</v>
      </c>
    </row>
    <row r="6289" spans="8:8" ht="15" customHeight="1" x14ac:dyDescent="0.2">
      <c r="H6289" s="19">
        <v>-1.17772180087929E-3</v>
      </c>
    </row>
    <row r="6290" spans="8:8" ht="15" customHeight="1" x14ac:dyDescent="0.2">
      <c r="H6290" s="19">
        <v>-5.4473320625808E-3</v>
      </c>
    </row>
    <row r="6291" spans="8:8" ht="15" customHeight="1" x14ac:dyDescent="0.2">
      <c r="H6291" s="19">
        <v>1.8945206071696599E-2</v>
      </c>
    </row>
    <row r="6292" spans="8:8" ht="15" customHeight="1" x14ac:dyDescent="0.2">
      <c r="H6292" s="19">
        <v>2.86296747000639E-2</v>
      </c>
    </row>
    <row r="6293" spans="8:8" ht="15" customHeight="1" x14ac:dyDescent="0.2">
      <c r="H6293" s="19">
        <v>3.7270630809174798E-3</v>
      </c>
    </row>
    <row r="6294" spans="8:8" ht="15" customHeight="1" x14ac:dyDescent="0.2">
      <c r="H6294" s="19">
        <v>1.3286112880823799E-3</v>
      </c>
    </row>
    <row r="6295" spans="8:8" ht="15" customHeight="1" x14ac:dyDescent="0.2">
      <c r="H6295" s="19">
        <v>2.8264479177241798E-3</v>
      </c>
    </row>
    <row r="6296" spans="8:8" ht="15" customHeight="1" x14ac:dyDescent="0.2">
      <c r="H6296" s="19">
        <v>3.9425206174686403E-5</v>
      </c>
    </row>
    <row r="6297" spans="8:8" ht="15" customHeight="1" x14ac:dyDescent="0.2">
      <c r="H6297" s="19">
        <v>-1.13034260732467E-3</v>
      </c>
    </row>
    <row r="6298" spans="8:8" ht="15" customHeight="1" x14ac:dyDescent="0.2">
      <c r="H6298" s="19">
        <v>-5.1425378918677897E-4</v>
      </c>
    </row>
    <row r="6299" spans="8:8" ht="15" customHeight="1" x14ac:dyDescent="0.2">
      <c r="H6299" s="19">
        <v>-5.5159424246920196E-3</v>
      </c>
    </row>
    <row r="6300" spans="8:8" ht="15" customHeight="1" x14ac:dyDescent="0.2">
      <c r="H6300" s="19">
        <v>7.3632517024706397E-4</v>
      </c>
    </row>
    <row r="6301" spans="8:8" ht="15" customHeight="1" x14ac:dyDescent="0.2">
      <c r="H6301" s="19">
        <v>5.5729500296770396E-3</v>
      </c>
    </row>
    <row r="6302" spans="8:8" ht="15" customHeight="1" x14ac:dyDescent="0.2">
      <c r="H6302" s="19">
        <v>5.71874336571451E-3</v>
      </c>
    </row>
    <row r="6303" spans="8:8" ht="15" customHeight="1" x14ac:dyDescent="0.2">
      <c r="H6303" s="19">
        <v>-2.4331717638660902E-3</v>
      </c>
    </row>
    <row r="6304" spans="8:8" ht="15" customHeight="1" x14ac:dyDescent="0.2">
      <c r="H6304" s="19">
        <v>5.0326743544364203E-3</v>
      </c>
    </row>
    <row r="6305" spans="8:8" ht="15" customHeight="1" x14ac:dyDescent="0.2">
      <c r="H6305" s="19">
        <v>5.3010230291181603E-3</v>
      </c>
    </row>
    <row r="6306" spans="8:8" ht="15" customHeight="1" x14ac:dyDescent="0.2">
      <c r="H6306" s="19">
        <v>-1.4432288198389701E-3</v>
      </c>
    </row>
    <row r="6307" spans="8:8" ht="15" customHeight="1" x14ac:dyDescent="0.2">
      <c r="H6307" s="19">
        <v>1.5771554304808699E-2</v>
      </c>
    </row>
    <row r="6308" spans="8:8" ht="15" customHeight="1" x14ac:dyDescent="0.2">
      <c r="H6308" s="19">
        <v>8.6533662920964607E-3</v>
      </c>
    </row>
    <row r="6309" spans="8:8" ht="15" customHeight="1" x14ac:dyDescent="0.2">
      <c r="H6309" s="19">
        <v>9.0455789662099804E-3</v>
      </c>
    </row>
    <row r="6310" spans="8:8" ht="15" customHeight="1" x14ac:dyDescent="0.2">
      <c r="H6310" s="19">
        <v>6.5450580684706999E-3</v>
      </c>
    </row>
    <row r="6311" spans="8:8" ht="15" customHeight="1" x14ac:dyDescent="0.2">
      <c r="H6311" s="19">
        <v>-5.81471151745971E-4</v>
      </c>
    </row>
    <row r="6312" spans="8:8" ht="15" customHeight="1" x14ac:dyDescent="0.2">
      <c r="H6312" s="19">
        <v>-5.1521539277111098E-3</v>
      </c>
    </row>
    <row r="6313" spans="8:8" ht="15" customHeight="1" x14ac:dyDescent="0.2">
      <c r="H6313" s="19">
        <v>2.6379243136855101E-3</v>
      </c>
    </row>
    <row r="6314" spans="8:8" ht="15" customHeight="1" x14ac:dyDescent="0.2">
      <c r="H6314" s="19">
        <v>8.2132017053661906E-3</v>
      </c>
    </row>
    <row r="6315" spans="8:8" ht="15" customHeight="1" x14ac:dyDescent="0.2">
      <c r="H6315" s="19">
        <v>3.7840424699389298E-3</v>
      </c>
    </row>
    <row r="6316" spans="8:8" ht="15" customHeight="1" x14ac:dyDescent="0.2">
      <c r="H6316" s="19">
        <v>2.0652991897284902E-2</v>
      </c>
    </row>
    <row r="6317" spans="8:8" ht="15" customHeight="1" x14ac:dyDescent="0.2">
      <c r="H6317" s="19">
        <v>9.1313032827095002E-3</v>
      </c>
    </row>
    <row r="6318" spans="8:8" ht="15" customHeight="1" x14ac:dyDescent="0.2">
      <c r="H6318" s="19">
        <v>-5.2671193156973196E-3</v>
      </c>
    </row>
    <row r="6319" spans="8:8" ht="15" customHeight="1" x14ac:dyDescent="0.2">
      <c r="H6319" s="19">
        <v>-3.8354996261894302E-3</v>
      </c>
    </row>
    <row r="6320" spans="8:8" ht="15" customHeight="1" x14ac:dyDescent="0.2">
      <c r="H6320" s="19">
        <v>-1.7411144721919899E-2</v>
      </c>
    </row>
    <row r="6321" spans="8:8" ht="15" customHeight="1" x14ac:dyDescent="0.2">
      <c r="H6321" s="19">
        <v>7.8672322811735897E-3</v>
      </c>
    </row>
    <row r="6322" spans="8:8" ht="15" customHeight="1" x14ac:dyDescent="0.2">
      <c r="H6322" s="19">
        <v>4.6512292952042497E-3</v>
      </c>
    </row>
    <row r="6323" spans="8:8" ht="15" customHeight="1" x14ac:dyDescent="0.2">
      <c r="H6323" s="19">
        <v>8.4075820233490608E-3</v>
      </c>
    </row>
    <row r="6324" spans="8:8" ht="15" customHeight="1" x14ac:dyDescent="0.2">
      <c r="H6324" s="19">
        <v>-3.6077500081574702E-3</v>
      </c>
    </row>
    <row r="6325" spans="8:8" ht="15" customHeight="1" x14ac:dyDescent="0.2">
      <c r="H6325" s="19">
        <v>5.0400877785391996E-3</v>
      </c>
    </row>
    <row r="6326" spans="8:8" ht="15" customHeight="1" x14ac:dyDescent="0.2">
      <c r="H6326" s="19">
        <v>-4.5334849242303198E-3</v>
      </c>
    </row>
    <row r="6327" spans="8:8" ht="15" customHeight="1" x14ac:dyDescent="0.2">
      <c r="H6327" s="19">
        <v>5.63627393412476E-3</v>
      </c>
    </row>
    <row r="6328" spans="8:8" ht="15" customHeight="1" x14ac:dyDescent="0.2">
      <c r="H6328" s="19">
        <v>1.40722650398318E-2</v>
      </c>
    </row>
    <row r="6329" spans="8:8" ht="15" customHeight="1" x14ac:dyDescent="0.2">
      <c r="H6329" s="19">
        <v>6.4864531707671397E-3</v>
      </c>
    </row>
    <row r="6330" spans="8:8" ht="15" customHeight="1" x14ac:dyDescent="0.2">
      <c r="H6330" s="19">
        <v>1.72900402802354E-4</v>
      </c>
    </row>
    <row r="6331" spans="8:8" ht="15" customHeight="1" x14ac:dyDescent="0.2">
      <c r="H6331" s="19">
        <v>4.4781285322314998E-3</v>
      </c>
    </row>
    <row r="6332" spans="8:8" ht="15" customHeight="1" x14ac:dyDescent="0.2">
      <c r="H6332" s="19">
        <v>4.8989751842159696E-3</v>
      </c>
    </row>
    <row r="6333" spans="8:8" ht="15" customHeight="1" x14ac:dyDescent="0.2">
      <c r="H6333" s="19">
        <v>2.4941699575766999E-3</v>
      </c>
    </row>
    <row r="6334" spans="8:8" ht="15" customHeight="1" x14ac:dyDescent="0.2">
      <c r="H6334" s="19">
        <v>1.83075698429188E-2</v>
      </c>
    </row>
    <row r="6335" spans="8:8" ht="15" customHeight="1" x14ac:dyDescent="0.2">
      <c r="H6335" s="19">
        <v>2.9427999308372798E-4</v>
      </c>
    </row>
    <row r="6336" spans="8:8" ht="15" customHeight="1" x14ac:dyDescent="0.2">
      <c r="H6336" s="19">
        <v>-2.4242075181558401E-3</v>
      </c>
    </row>
    <row r="6337" spans="8:8" ht="15" customHeight="1" x14ac:dyDescent="0.2">
      <c r="H6337" s="19">
        <v>3.8190725465283301E-3</v>
      </c>
    </row>
    <row r="6338" spans="8:8" ht="15" customHeight="1" x14ac:dyDescent="0.2">
      <c r="H6338" s="19">
        <v>-1.8648515508468699E-2</v>
      </c>
    </row>
    <row r="6339" spans="8:8" ht="15" customHeight="1" x14ac:dyDescent="0.2">
      <c r="H6339" s="19">
        <v>1.45197558913387E-2</v>
      </c>
    </row>
    <row r="6340" spans="8:8" ht="15" customHeight="1" x14ac:dyDescent="0.2">
      <c r="H6340" s="19">
        <v>8.6408523385922194E-3</v>
      </c>
    </row>
    <row r="6341" spans="8:8" ht="15" customHeight="1" x14ac:dyDescent="0.2">
      <c r="H6341" s="19">
        <v>2.2006766594863302E-2</v>
      </c>
    </row>
    <row r="6342" spans="8:8" ht="15" customHeight="1" x14ac:dyDescent="0.2">
      <c r="H6342" s="19">
        <v>-9.6270372962168893E-3</v>
      </c>
    </row>
    <row r="6343" spans="8:8" ht="15" customHeight="1" x14ac:dyDescent="0.2">
      <c r="H6343" s="19">
        <v>1.00108558628084E-2</v>
      </c>
    </row>
    <row r="6344" spans="8:8" ht="15" customHeight="1" x14ac:dyDescent="0.2">
      <c r="H6344" s="19">
        <v>9.2992129986413895E-3</v>
      </c>
    </row>
    <row r="6345" spans="8:8" ht="15" customHeight="1" x14ac:dyDescent="0.2">
      <c r="H6345" s="19">
        <v>4.54224702674705E-3</v>
      </c>
    </row>
    <row r="6346" spans="8:8" ht="15" customHeight="1" x14ac:dyDescent="0.2">
      <c r="H6346" s="19">
        <v>-1.0852636833823801E-2</v>
      </c>
    </row>
    <row r="6347" spans="8:8" ht="15" customHeight="1" x14ac:dyDescent="0.2">
      <c r="H6347" s="19">
        <v>2.8622020853461601E-3</v>
      </c>
    </row>
    <row r="6348" spans="8:8" ht="15" customHeight="1" x14ac:dyDescent="0.2">
      <c r="H6348" s="19">
        <v>-3.4800281962654401E-3</v>
      </c>
    </row>
    <row r="6349" spans="8:8" ht="15" customHeight="1" x14ac:dyDescent="0.2">
      <c r="H6349" s="19">
        <v>1.24439716011459E-2</v>
      </c>
    </row>
    <row r="6350" spans="8:8" ht="15" customHeight="1" x14ac:dyDescent="0.2">
      <c r="H6350" s="19">
        <v>-1.9160465331016799E-2</v>
      </c>
    </row>
    <row r="6351" spans="8:8" ht="15" customHeight="1" x14ac:dyDescent="0.2">
      <c r="H6351" s="19">
        <v>-2.0211384884356001E-3</v>
      </c>
    </row>
    <row r="6352" spans="8:8" ht="15" customHeight="1" x14ac:dyDescent="0.2">
      <c r="H6352" s="19">
        <v>-7.9541109297722006E-3</v>
      </c>
    </row>
    <row r="6353" spans="8:8" ht="15" customHeight="1" x14ac:dyDescent="0.2">
      <c r="H6353" s="19">
        <v>7.76385719750606E-3</v>
      </c>
    </row>
    <row r="6354" spans="8:8" ht="15" customHeight="1" x14ac:dyDescent="0.2">
      <c r="H6354" s="19">
        <v>-7.9666899318581504E-3</v>
      </c>
    </row>
    <row r="6355" spans="8:8" ht="15" customHeight="1" x14ac:dyDescent="0.2">
      <c r="H6355" s="19">
        <v>1.06443972105423E-2</v>
      </c>
    </row>
    <row r="6356" spans="8:8" ht="15" customHeight="1" x14ac:dyDescent="0.2">
      <c r="H6356" s="19">
        <v>-8.6415625796152692E-3</v>
      </c>
    </row>
    <row r="6357" spans="8:8" ht="15" customHeight="1" x14ac:dyDescent="0.2">
      <c r="H6357" s="19">
        <v>5.6228212353725401E-3</v>
      </c>
    </row>
    <row r="6358" spans="8:8" ht="15" customHeight="1" x14ac:dyDescent="0.2">
      <c r="H6358" s="19">
        <v>1.8716199852560799E-2</v>
      </c>
    </row>
    <row r="6359" spans="8:8" ht="15" customHeight="1" x14ac:dyDescent="0.2">
      <c r="H6359" s="19">
        <v>4.18156221369387E-4</v>
      </c>
    </row>
    <row r="6360" spans="8:8" ht="15" customHeight="1" x14ac:dyDescent="0.2">
      <c r="H6360" s="19">
        <v>-3.2658185282815298E-3</v>
      </c>
    </row>
    <row r="6361" spans="8:8" ht="15" customHeight="1" x14ac:dyDescent="0.2">
      <c r="H6361" s="19">
        <v>-2.7306356949497301E-3</v>
      </c>
    </row>
    <row r="6362" spans="8:8" ht="15" customHeight="1" x14ac:dyDescent="0.2">
      <c r="H6362" s="19">
        <v>-9.0640965134271001E-3</v>
      </c>
    </row>
    <row r="6363" spans="8:8" ht="15" customHeight="1" x14ac:dyDescent="0.2">
      <c r="H6363" s="19">
        <v>-5.3677835868112004E-3</v>
      </c>
    </row>
    <row r="6364" spans="8:8" ht="15" customHeight="1" x14ac:dyDescent="0.2">
      <c r="H6364" s="19">
        <v>1.6078588233059101E-2</v>
      </c>
    </row>
    <row r="6365" spans="8:8" ht="15" customHeight="1" x14ac:dyDescent="0.2">
      <c r="H6365" s="19">
        <v>1.9007154988241199E-2</v>
      </c>
    </row>
    <row r="6366" spans="8:8" ht="15" customHeight="1" x14ac:dyDescent="0.2">
      <c r="H6366" s="19">
        <v>7.4859511872820304E-3</v>
      </c>
    </row>
    <row r="6367" spans="8:8" ht="15" customHeight="1" x14ac:dyDescent="0.2">
      <c r="H6367" s="19">
        <v>-1.3963165676986499E-2</v>
      </c>
    </row>
    <row r="6368" spans="8:8" ht="15" customHeight="1" x14ac:dyDescent="0.2">
      <c r="H6368" s="19">
        <v>-1.90506170541649E-3</v>
      </c>
    </row>
    <row r="6369" spans="8:8" ht="15" customHeight="1" x14ac:dyDescent="0.2">
      <c r="H6369" s="19">
        <v>9.1405840501795795E-3</v>
      </c>
    </row>
    <row r="6370" spans="8:8" ht="15" customHeight="1" x14ac:dyDescent="0.2">
      <c r="H6370" s="19">
        <v>-1.42823811728319E-2</v>
      </c>
    </row>
    <row r="6371" spans="8:8" ht="15" customHeight="1" x14ac:dyDescent="0.2">
      <c r="H6371" s="19">
        <v>-7.1444589094323404E-3</v>
      </c>
    </row>
    <row r="6372" spans="8:8" ht="15" customHeight="1" x14ac:dyDescent="0.2">
      <c r="H6372" s="19">
        <v>4.5735846116724398E-4</v>
      </c>
    </row>
    <row r="6373" spans="8:8" ht="15" customHeight="1" x14ac:dyDescent="0.2">
      <c r="H6373" s="19">
        <v>-4.4565808582261897E-3</v>
      </c>
    </row>
    <row r="6374" spans="8:8" ht="15" customHeight="1" x14ac:dyDescent="0.2">
      <c r="H6374" s="19">
        <v>-2.0778451342135799E-2</v>
      </c>
    </row>
    <row r="6375" spans="8:8" ht="15" customHeight="1" x14ac:dyDescent="0.2">
      <c r="H6375" s="19">
        <v>5.2770458095008702E-3</v>
      </c>
    </row>
    <row r="6376" spans="8:8" ht="15" customHeight="1" x14ac:dyDescent="0.2">
      <c r="H6376" s="19">
        <v>-1.53307090713354E-3</v>
      </c>
    </row>
    <row r="6377" spans="8:8" ht="15" customHeight="1" x14ac:dyDescent="0.2">
      <c r="H6377" s="19">
        <v>-5.0467006336770296E-3</v>
      </c>
    </row>
    <row r="6378" spans="8:8" ht="15" customHeight="1" x14ac:dyDescent="0.2">
      <c r="H6378" s="19">
        <v>4.8458015351188696E-3</v>
      </c>
    </row>
    <row r="6379" spans="8:8" ht="15" customHeight="1" x14ac:dyDescent="0.2">
      <c r="H6379" s="19">
        <v>6.8354872622205798E-3</v>
      </c>
    </row>
    <row r="6380" spans="8:8" ht="15" customHeight="1" x14ac:dyDescent="0.2">
      <c r="H6380" s="19">
        <v>-1.16066050812332E-2</v>
      </c>
    </row>
    <row r="6381" spans="8:8" ht="15" customHeight="1" x14ac:dyDescent="0.2">
      <c r="H6381" s="19">
        <v>-7.8924019354731003E-3</v>
      </c>
    </row>
    <row r="6382" spans="8:8" ht="15" customHeight="1" x14ac:dyDescent="0.2">
      <c r="H6382" s="19">
        <v>1.7548916789680701E-2</v>
      </c>
    </row>
    <row r="6383" spans="8:8" ht="15" customHeight="1" x14ac:dyDescent="0.2">
      <c r="H6383" s="19">
        <v>6.2262357385501602E-4</v>
      </c>
    </row>
    <row r="6384" spans="8:8" ht="15" customHeight="1" x14ac:dyDescent="0.2">
      <c r="H6384" s="19">
        <v>6.9064772336573099E-3</v>
      </c>
    </row>
    <row r="6385" spans="8:8" ht="15" customHeight="1" x14ac:dyDescent="0.2">
      <c r="H6385" s="19">
        <v>-7.99144025723552E-3</v>
      </c>
    </row>
    <row r="6386" spans="8:8" ht="15" customHeight="1" x14ac:dyDescent="0.2">
      <c r="H6386" s="19">
        <v>1.44784042122586E-2</v>
      </c>
    </row>
    <row r="6387" spans="8:8" ht="15" customHeight="1" x14ac:dyDescent="0.2">
      <c r="H6387" s="19">
        <v>1.2931601190984601E-2</v>
      </c>
    </row>
    <row r="6388" spans="8:8" ht="15" customHeight="1" x14ac:dyDescent="0.2">
      <c r="H6388" s="19">
        <v>3.9460503423936798E-3</v>
      </c>
    </row>
    <row r="6389" spans="8:8" ht="15" customHeight="1" x14ac:dyDescent="0.2">
      <c r="H6389" s="19">
        <v>5.16749735366763E-3</v>
      </c>
    </row>
    <row r="6390" spans="8:8" ht="15" customHeight="1" x14ac:dyDescent="0.2">
      <c r="H6390" s="19">
        <v>4.6028501603766299E-3</v>
      </c>
    </row>
    <row r="6391" spans="8:8" ht="15" customHeight="1" x14ac:dyDescent="0.2">
      <c r="H6391" s="19">
        <v>-3.5809573557013199E-4</v>
      </c>
    </row>
    <row r="6392" spans="8:8" ht="15" customHeight="1" x14ac:dyDescent="0.2">
      <c r="H6392" s="19">
        <v>6.7774790769494601E-3</v>
      </c>
    </row>
    <row r="6393" spans="8:8" ht="15" customHeight="1" x14ac:dyDescent="0.2">
      <c r="H6393" s="19">
        <v>-1.58506687588684E-2</v>
      </c>
    </row>
    <row r="6394" spans="8:8" ht="15" customHeight="1" x14ac:dyDescent="0.2">
      <c r="H6394" s="19">
        <v>4.7331233356260397E-3</v>
      </c>
    </row>
    <row r="6395" spans="8:8" ht="15" customHeight="1" x14ac:dyDescent="0.2">
      <c r="H6395" s="19">
        <v>9.3879645555795897E-4</v>
      </c>
    </row>
    <row r="6396" spans="8:8" ht="15" customHeight="1" x14ac:dyDescent="0.2">
      <c r="H6396" s="19">
        <v>2.1314425543643499E-4</v>
      </c>
    </row>
    <row r="6397" spans="8:8" ht="15" customHeight="1" x14ac:dyDescent="0.2">
      <c r="H6397" s="19">
        <v>2.29988773417223E-3</v>
      </c>
    </row>
    <row r="6398" spans="8:8" ht="15" customHeight="1" x14ac:dyDescent="0.2">
      <c r="H6398" s="19">
        <v>3.00801410543654E-3</v>
      </c>
    </row>
    <row r="6399" spans="8:8" ht="15" customHeight="1" x14ac:dyDescent="0.2">
      <c r="H6399" s="19">
        <v>-1.36300864468026E-2</v>
      </c>
    </row>
    <row r="6400" spans="8:8" ht="15" customHeight="1" x14ac:dyDescent="0.2">
      <c r="H6400" s="19">
        <v>-1.00644630635747E-2</v>
      </c>
    </row>
    <row r="6401" spans="8:8" ht="15" customHeight="1" x14ac:dyDescent="0.2">
      <c r="H6401" s="19">
        <v>2.2346495066152699E-2</v>
      </c>
    </row>
    <row r="6402" spans="8:8" ht="15" customHeight="1" x14ac:dyDescent="0.2">
      <c r="H6402" s="19">
        <v>-8.8172170724242702E-3</v>
      </c>
    </row>
    <row r="6403" spans="8:8" ht="15" customHeight="1" x14ac:dyDescent="0.2">
      <c r="H6403" s="19">
        <v>2.7807333096145801E-3</v>
      </c>
    </row>
    <row r="6404" spans="8:8" ht="15" customHeight="1" x14ac:dyDescent="0.2">
      <c r="H6404" s="19">
        <v>1.04069853544235E-2</v>
      </c>
    </row>
    <row r="6405" spans="8:8" ht="15" customHeight="1" x14ac:dyDescent="0.2">
      <c r="H6405" s="19">
        <v>-4.2189394294337504E-3</v>
      </c>
    </row>
    <row r="6406" spans="8:8" ht="15" customHeight="1" x14ac:dyDescent="0.2">
      <c r="H6406" s="19">
        <v>1.80590491963012E-3</v>
      </c>
    </row>
    <row r="6407" spans="8:8" ht="15" customHeight="1" x14ac:dyDescent="0.2">
      <c r="H6407" s="19">
        <v>-9.5381236749534897E-3</v>
      </c>
    </row>
    <row r="6408" spans="8:8" ht="15" customHeight="1" x14ac:dyDescent="0.2">
      <c r="H6408" s="19">
        <v>1.3343915686063801E-2</v>
      </c>
    </row>
    <row r="6409" spans="8:8" ht="15" customHeight="1" x14ac:dyDescent="0.2">
      <c r="H6409" s="19">
        <v>2.70741385473683E-3</v>
      </c>
    </row>
    <row r="6410" spans="8:8" ht="15" customHeight="1" x14ac:dyDescent="0.2">
      <c r="H6410" s="19">
        <v>8.0352280185111095E-3</v>
      </c>
    </row>
    <row r="6411" spans="8:8" ht="15" customHeight="1" x14ac:dyDescent="0.2">
      <c r="H6411" s="19">
        <v>6.6530974996320503E-3</v>
      </c>
    </row>
    <row r="6412" spans="8:8" ht="15" customHeight="1" x14ac:dyDescent="0.2">
      <c r="H6412" s="19">
        <v>-1.1423325624311199E-3</v>
      </c>
    </row>
    <row r="6413" spans="8:8" ht="15" customHeight="1" x14ac:dyDescent="0.2">
      <c r="H6413" s="19">
        <v>-4.61525830601907E-3</v>
      </c>
    </row>
    <row r="6414" spans="8:8" ht="15" customHeight="1" x14ac:dyDescent="0.2">
      <c r="H6414" s="19">
        <v>-1.0058881912941599E-3</v>
      </c>
    </row>
    <row r="6415" spans="8:8" ht="15" customHeight="1" x14ac:dyDescent="0.2">
      <c r="H6415" s="19">
        <v>-3.4039758693072597E-5</v>
      </c>
    </row>
    <row r="6416" spans="8:8" ht="15" customHeight="1" x14ac:dyDescent="0.2">
      <c r="H6416" s="19">
        <v>-2.2799853681095602E-3</v>
      </c>
    </row>
    <row r="6417" spans="8:8" ht="15" customHeight="1" x14ac:dyDescent="0.2">
      <c r="H6417" s="19">
        <v>2.1787285355994398E-3</v>
      </c>
    </row>
    <row r="6418" spans="8:8" ht="15" customHeight="1" x14ac:dyDescent="0.2">
      <c r="H6418" s="19">
        <v>1.8148980225102199E-2</v>
      </c>
    </row>
    <row r="6419" spans="8:8" ht="15" customHeight="1" x14ac:dyDescent="0.2">
      <c r="H6419" s="19">
        <v>7.8737945508877208E-3</v>
      </c>
    </row>
    <row r="6420" spans="8:8" ht="15" customHeight="1" x14ac:dyDescent="0.2">
      <c r="H6420" s="19">
        <v>-9.8968782697283902E-3</v>
      </c>
    </row>
    <row r="6421" spans="8:8" ht="15" customHeight="1" x14ac:dyDescent="0.2">
      <c r="H6421" s="19">
        <v>9.3583714263853097E-3</v>
      </c>
    </row>
    <row r="6422" spans="8:8" ht="15" customHeight="1" x14ac:dyDescent="0.2">
      <c r="H6422" s="19">
        <v>-2.5001646526909499E-3</v>
      </c>
    </row>
    <row r="6423" spans="8:8" ht="15" customHeight="1" x14ac:dyDescent="0.2">
      <c r="H6423" s="19">
        <v>1.9766016728011001E-3</v>
      </c>
    </row>
    <row r="6424" spans="8:8" ht="15" customHeight="1" x14ac:dyDescent="0.2">
      <c r="H6424" s="19">
        <v>-1.08072816694755E-3</v>
      </c>
    </row>
    <row r="6425" spans="8:8" ht="15" customHeight="1" x14ac:dyDescent="0.2">
      <c r="H6425" s="19">
        <v>6.6386010941511704E-3</v>
      </c>
    </row>
    <row r="6426" spans="8:8" ht="15" customHeight="1" x14ac:dyDescent="0.2">
      <c r="H6426" s="19">
        <v>8.39799539036842E-3</v>
      </c>
    </row>
    <row r="6427" spans="8:8" ht="15" customHeight="1" x14ac:dyDescent="0.2">
      <c r="H6427" s="19">
        <v>-8.4222812973266097E-3</v>
      </c>
    </row>
    <row r="6428" spans="8:8" ht="15" customHeight="1" x14ac:dyDescent="0.2">
      <c r="H6428" s="19">
        <v>1.7836366762212699E-2</v>
      </c>
    </row>
    <row r="6429" spans="8:8" ht="15" customHeight="1" x14ac:dyDescent="0.2">
      <c r="H6429" s="19">
        <v>-2.37790871017595E-4</v>
      </c>
    </row>
    <row r="6430" spans="8:8" ht="15" customHeight="1" x14ac:dyDescent="0.2">
      <c r="H6430" s="19">
        <v>2.65667687703531E-3</v>
      </c>
    </row>
    <row r="6431" spans="8:8" ht="15" customHeight="1" x14ac:dyDescent="0.2">
      <c r="H6431" s="19">
        <v>-1.74173207093711E-2</v>
      </c>
    </row>
    <row r="6432" spans="8:8" ht="15" customHeight="1" x14ac:dyDescent="0.2">
      <c r="H6432" s="19">
        <v>-1.4721832040997199E-3</v>
      </c>
    </row>
    <row r="6433" spans="8:8" ht="15" customHeight="1" x14ac:dyDescent="0.2">
      <c r="H6433" s="19">
        <v>8.6969948800494808E-3</v>
      </c>
    </row>
    <row r="6434" spans="8:8" ht="15" customHeight="1" x14ac:dyDescent="0.2">
      <c r="H6434" s="19">
        <v>3.4510924588004501E-3</v>
      </c>
    </row>
    <row r="6435" spans="8:8" ht="15" customHeight="1" x14ac:dyDescent="0.2">
      <c r="H6435" s="19">
        <v>2.72910073509944E-3</v>
      </c>
    </row>
    <row r="6436" spans="8:8" ht="15" customHeight="1" x14ac:dyDescent="0.2">
      <c r="H6436" s="19">
        <v>5.0831538223454903E-3</v>
      </c>
    </row>
    <row r="6437" spans="8:8" ht="15" customHeight="1" x14ac:dyDescent="0.2">
      <c r="H6437" s="19">
        <v>-8.4206325158995097E-3</v>
      </c>
    </row>
    <row r="6438" spans="8:8" ht="15" customHeight="1" x14ac:dyDescent="0.2">
      <c r="H6438" s="19">
        <v>7.8187059177013008E-3</v>
      </c>
    </row>
    <row r="6439" spans="8:8" ht="15" customHeight="1" x14ac:dyDescent="0.2">
      <c r="H6439" s="19">
        <v>-6.5246062240527404E-3</v>
      </c>
    </row>
    <row r="6440" spans="8:8" ht="15" customHeight="1" x14ac:dyDescent="0.2">
      <c r="H6440" s="19">
        <v>4.7507859195174704E-3</v>
      </c>
    </row>
    <row r="6441" spans="8:8" ht="15" customHeight="1" x14ac:dyDescent="0.2">
      <c r="H6441" s="19">
        <v>1.6679560618339199E-2</v>
      </c>
    </row>
    <row r="6442" spans="8:8" ht="15" customHeight="1" x14ac:dyDescent="0.2">
      <c r="H6442" s="19">
        <v>-9.2654375839983604E-4</v>
      </c>
    </row>
    <row r="6443" spans="8:8" ht="15" customHeight="1" x14ac:dyDescent="0.2">
      <c r="H6443" s="19">
        <v>-7.0082069026872196E-3</v>
      </c>
    </row>
    <row r="6444" spans="8:8" ht="15" customHeight="1" x14ac:dyDescent="0.2">
      <c r="H6444" s="19">
        <v>-1.73742569946282E-2</v>
      </c>
    </row>
    <row r="6445" spans="8:8" ht="15" customHeight="1" x14ac:dyDescent="0.2">
      <c r="H6445" s="19">
        <v>1.1049703814389701E-2</v>
      </c>
    </row>
    <row r="6446" spans="8:8" ht="15" customHeight="1" x14ac:dyDescent="0.2">
      <c r="H6446" s="19">
        <v>1.05584253567304E-2</v>
      </c>
    </row>
    <row r="6447" spans="8:8" ht="15" customHeight="1" x14ac:dyDescent="0.2">
      <c r="H6447" s="19">
        <v>3.4924191679986702E-3</v>
      </c>
    </row>
    <row r="6448" spans="8:8" ht="15" customHeight="1" x14ac:dyDescent="0.2">
      <c r="H6448" s="19">
        <v>7.76278874545924E-3</v>
      </c>
    </row>
    <row r="6449" spans="8:8" ht="15" customHeight="1" x14ac:dyDescent="0.2">
      <c r="H6449" s="19">
        <v>-9.9133881097490904E-3</v>
      </c>
    </row>
    <row r="6450" spans="8:8" ht="15" customHeight="1" x14ac:dyDescent="0.2">
      <c r="H6450" s="19">
        <v>3.0327135180004002E-3</v>
      </c>
    </row>
    <row r="6451" spans="8:8" ht="15" customHeight="1" x14ac:dyDescent="0.2">
      <c r="H6451" s="19">
        <v>-9.6057321719892792E-3</v>
      </c>
    </row>
    <row r="6452" spans="8:8" ht="15" customHeight="1" x14ac:dyDescent="0.2">
      <c r="H6452" s="19">
        <v>-1.8939059862347601E-3</v>
      </c>
    </row>
    <row r="6453" spans="8:8" ht="15" customHeight="1" x14ac:dyDescent="0.2">
      <c r="H6453" s="19">
        <v>7.29749888971428E-3</v>
      </c>
    </row>
    <row r="6454" spans="8:8" ht="15" customHeight="1" x14ac:dyDescent="0.2">
      <c r="H6454" s="19">
        <v>1.8753047874219501E-3</v>
      </c>
    </row>
    <row r="6455" spans="8:8" ht="15" customHeight="1" x14ac:dyDescent="0.2">
      <c r="H6455" s="19">
        <v>-4.6317684751917103E-3</v>
      </c>
    </row>
    <row r="6456" spans="8:8" ht="15" customHeight="1" x14ac:dyDescent="0.2">
      <c r="H6456" s="19">
        <v>1.8771984301651601E-3</v>
      </c>
    </row>
    <row r="6457" spans="8:8" ht="15" customHeight="1" x14ac:dyDescent="0.2">
      <c r="H6457" s="19">
        <v>5.3018205340667603E-4</v>
      </c>
    </row>
    <row r="6458" spans="8:8" ht="15" customHeight="1" x14ac:dyDescent="0.2">
      <c r="H6458" s="19">
        <v>4.4573286795342804E-3</v>
      </c>
    </row>
    <row r="6459" spans="8:8" ht="15" customHeight="1" x14ac:dyDescent="0.2">
      <c r="H6459" s="19">
        <v>1.28038095725271E-2</v>
      </c>
    </row>
    <row r="6460" spans="8:8" ht="15" customHeight="1" x14ac:dyDescent="0.2">
      <c r="H6460" s="19">
        <v>-3.7350931363655602E-4</v>
      </c>
    </row>
    <row r="6461" spans="8:8" ht="15" customHeight="1" x14ac:dyDescent="0.2">
      <c r="H6461" s="19">
        <v>1.81587729923939E-2</v>
      </c>
    </row>
    <row r="6462" spans="8:8" ht="15" customHeight="1" x14ac:dyDescent="0.2">
      <c r="H6462" s="19">
        <v>2.0954571729391702E-2</v>
      </c>
    </row>
    <row r="6463" spans="8:8" ht="15" customHeight="1" x14ac:dyDescent="0.2">
      <c r="H6463" s="19">
        <v>-5.1986957693778502E-3</v>
      </c>
    </row>
    <row r="6464" spans="8:8" ht="15" customHeight="1" x14ac:dyDescent="0.2">
      <c r="H6464" s="19">
        <v>-5.65493655304008E-3</v>
      </c>
    </row>
    <row r="6465" spans="8:8" ht="15" customHeight="1" x14ac:dyDescent="0.2">
      <c r="H6465" s="19">
        <v>4.9769973587747698E-3</v>
      </c>
    </row>
    <row r="6466" spans="8:8" ht="15" customHeight="1" x14ac:dyDescent="0.2">
      <c r="H6466" s="19">
        <v>-6.7073485037544105E-4</v>
      </c>
    </row>
    <row r="6467" spans="8:8" ht="15" customHeight="1" x14ac:dyDescent="0.2">
      <c r="H6467" s="19">
        <v>-1.1500961924167699E-2</v>
      </c>
    </row>
    <row r="6468" spans="8:8" ht="15" customHeight="1" x14ac:dyDescent="0.2">
      <c r="H6468" s="19">
        <v>-1.5203441078131799E-3</v>
      </c>
    </row>
    <row r="6469" spans="8:8" ht="15" customHeight="1" x14ac:dyDescent="0.2">
      <c r="H6469" s="19">
        <v>-5.8364642193138097E-3</v>
      </c>
    </row>
    <row r="6470" spans="8:8" ht="15" customHeight="1" x14ac:dyDescent="0.2">
      <c r="H6470" s="19">
        <v>2.1533829035612901E-4</v>
      </c>
    </row>
    <row r="6471" spans="8:8" ht="15" customHeight="1" x14ac:dyDescent="0.2">
      <c r="H6471" s="19">
        <v>-2.3401484790822602E-3</v>
      </c>
    </row>
    <row r="6472" spans="8:8" ht="15" customHeight="1" x14ac:dyDescent="0.2">
      <c r="H6472" s="19">
        <v>-3.6763572449149801E-3</v>
      </c>
    </row>
    <row r="6473" spans="8:8" ht="15" customHeight="1" x14ac:dyDescent="0.2">
      <c r="H6473" s="19">
        <v>-6.1092290278902603E-3</v>
      </c>
    </row>
    <row r="6474" spans="8:8" ht="15" customHeight="1" x14ac:dyDescent="0.2">
      <c r="H6474" s="19">
        <v>-1.0202355616169801E-2</v>
      </c>
    </row>
    <row r="6475" spans="8:8" ht="15" customHeight="1" x14ac:dyDescent="0.2">
      <c r="H6475" s="19">
        <v>1.7368796618907101E-2</v>
      </c>
    </row>
    <row r="6476" spans="8:8" ht="15" customHeight="1" x14ac:dyDescent="0.2">
      <c r="H6476" s="19">
        <v>-1.5384592980099701E-3</v>
      </c>
    </row>
    <row r="6477" spans="8:8" ht="15" customHeight="1" x14ac:dyDescent="0.2">
      <c r="H6477" s="19">
        <v>4.0117146089029103E-3</v>
      </c>
    </row>
    <row r="6478" spans="8:8" ht="15" customHeight="1" x14ac:dyDescent="0.2">
      <c r="H6478" s="19">
        <v>1.12486108245726E-2</v>
      </c>
    </row>
    <row r="6479" spans="8:8" ht="15" customHeight="1" x14ac:dyDescent="0.2">
      <c r="H6479" s="19">
        <v>7.4230790063903899E-3</v>
      </c>
    </row>
    <row r="6480" spans="8:8" ht="15" customHeight="1" x14ac:dyDescent="0.2">
      <c r="H6480" s="19">
        <v>-8.6463226548320199E-3</v>
      </c>
    </row>
    <row r="6481" spans="8:8" ht="15" customHeight="1" x14ac:dyDescent="0.2">
      <c r="H6481" s="19">
        <v>1.7008120538922599E-3</v>
      </c>
    </row>
    <row r="6482" spans="8:8" ht="15" customHeight="1" x14ac:dyDescent="0.2">
      <c r="H6482" s="19">
        <v>-4.1371239351416997E-3</v>
      </c>
    </row>
    <row r="6483" spans="8:8" ht="15" customHeight="1" x14ac:dyDescent="0.2">
      <c r="H6483" s="19">
        <v>8.6248015470994201E-5</v>
      </c>
    </row>
    <row r="6484" spans="8:8" ht="15" customHeight="1" x14ac:dyDescent="0.2">
      <c r="H6484" s="19">
        <v>-1.16757624650811E-2</v>
      </c>
    </row>
    <row r="6485" spans="8:8" ht="15" customHeight="1" x14ac:dyDescent="0.2">
      <c r="H6485" s="19">
        <v>-9.8699454931264093E-3</v>
      </c>
    </row>
    <row r="6486" spans="8:8" ht="15" customHeight="1" x14ac:dyDescent="0.2">
      <c r="H6486" s="19">
        <v>-3.83212199617383E-3</v>
      </c>
    </row>
    <row r="6487" spans="8:8" ht="15" customHeight="1" x14ac:dyDescent="0.2">
      <c r="H6487" s="19">
        <v>2.71155346375036E-3</v>
      </c>
    </row>
    <row r="6488" spans="8:8" ht="15" customHeight="1" x14ac:dyDescent="0.2">
      <c r="H6488" s="19">
        <v>-4.0614465521444402E-3</v>
      </c>
    </row>
    <row r="6489" spans="8:8" ht="15" customHeight="1" x14ac:dyDescent="0.2">
      <c r="H6489" s="19">
        <v>8.2731650329640692E-6</v>
      </c>
    </row>
    <row r="6490" spans="8:8" ht="15" customHeight="1" x14ac:dyDescent="0.2">
      <c r="H6490" s="19">
        <v>1.9954809595981698E-2</v>
      </c>
    </row>
    <row r="6491" spans="8:8" ht="15" customHeight="1" x14ac:dyDescent="0.2">
      <c r="H6491" s="19">
        <v>-1.83582386145172E-2</v>
      </c>
    </row>
    <row r="6492" spans="8:8" ht="15" customHeight="1" x14ac:dyDescent="0.2">
      <c r="H6492" s="19">
        <v>6.9933388989293303E-3</v>
      </c>
    </row>
    <row r="6493" spans="8:8" ht="15" customHeight="1" x14ac:dyDescent="0.2">
      <c r="H6493" s="19">
        <v>-7.6159085681272104E-3</v>
      </c>
    </row>
    <row r="6494" spans="8:8" ht="15" customHeight="1" x14ac:dyDescent="0.2">
      <c r="H6494" s="19">
        <v>1.6082209633962199E-2</v>
      </c>
    </row>
    <row r="6495" spans="8:8" ht="15" customHeight="1" x14ac:dyDescent="0.2">
      <c r="H6495" s="19">
        <v>-1.3656298982734801E-3</v>
      </c>
    </row>
    <row r="6496" spans="8:8" ht="15" customHeight="1" x14ac:dyDescent="0.2">
      <c r="H6496" s="19">
        <v>-4.8235373485597801E-3</v>
      </c>
    </row>
    <row r="6497" spans="8:8" ht="15" customHeight="1" x14ac:dyDescent="0.2">
      <c r="H6497" s="19">
        <v>1.10590884791303E-2</v>
      </c>
    </row>
    <row r="6498" spans="8:8" ht="15" customHeight="1" x14ac:dyDescent="0.2">
      <c r="H6498" s="19">
        <v>-1.3754325840512401E-2</v>
      </c>
    </row>
    <row r="6499" spans="8:8" ht="15" customHeight="1" x14ac:dyDescent="0.2">
      <c r="H6499" s="19">
        <v>1.0460708007261E-2</v>
      </c>
    </row>
    <row r="6500" spans="8:8" ht="15" customHeight="1" x14ac:dyDescent="0.2">
      <c r="H6500" s="19">
        <v>4.2235891556629998E-4</v>
      </c>
    </row>
    <row r="6501" spans="8:8" ht="15" customHeight="1" x14ac:dyDescent="0.2">
      <c r="H6501" s="19">
        <v>-5.4605108640732297E-3</v>
      </c>
    </row>
    <row r="6502" spans="8:8" ht="15" customHeight="1" x14ac:dyDescent="0.2">
      <c r="H6502" s="19">
        <v>4.7115997025581604E-3</v>
      </c>
    </row>
    <row r="6503" spans="8:8" ht="15" customHeight="1" x14ac:dyDescent="0.2">
      <c r="H6503" s="19">
        <v>-3.0311787264445901E-3</v>
      </c>
    </row>
    <row r="6504" spans="8:8" ht="15" customHeight="1" x14ac:dyDescent="0.2">
      <c r="H6504" s="19">
        <v>-9.3754836607468205E-3</v>
      </c>
    </row>
    <row r="6505" spans="8:8" ht="15" customHeight="1" x14ac:dyDescent="0.2">
      <c r="H6505" s="19">
        <v>-1.14236972344523E-2</v>
      </c>
    </row>
    <row r="6506" spans="8:8" ht="15" customHeight="1" x14ac:dyDescent="0.2">
      <c r="H6506" s="19">
        <v>-1.8093656482880301E-2</v>
      </c>
    </row>
    <row r="6507" spans="8:8" ht="15" customHeight="1" x14ac:dyDescent="0.2">
      <c r="H6507" s="19">
        <v>-9.5742113504601305E-3</v>
      </c>
    </row>
    <row r="6508" spans="8:8" ht="15" customHeight="1" x14ac:dyDescent="0.2">
      <c r="H6508" s="19">
        <v>-1.2735727344351E-2</v>
      </c>
    </row>
    <row r="6509" spans="8:8" ht="15" customHeight="1" x14ac:dyDescent="0.2">
      <c r="H6509" s="19">
        <v>-7.7351362988021697E-3</v>
      </c>
    </row>
    <row r="6510" spans="8:8" ht="15" customHeight="1" x14ac:dyDescent="0.2">
      <c r="H6510" s="19">
        <v>-6.4420888056302304E-3</v>
      </c>
    </row>
    <row r="6511" spans="8:8" ht="15" customHeight="1" x14ac:dyDescent="0.2">
      <c r="H6511" s="19">
        <v>1.0900056942848501E-2</v>
      </c>
    </row>
    <row r="6512" spans="8:8" ht="15" customHeight="1" x14ac:dyDescent="0.2">
      <c r="H6512" s="19">
        <v>-1.26705812909688E-3</v>
      </c>
    </row>
    <row r="6513" spans="8:8" ht="15" customHeight="1" x14ac:dyDescent="0.2">
      <c r="H6513" s="19">
        <v>7.4885680190067503E-3</v>
      </c>
    </row>
    <row r="6514" spans="8:8" ht="15" customHeight="1" x14ac:dyDescent="0.2">
      <c r="H6514" s="19">
        <v>-1.45334647007128E-2</v>
      </c>
    </row>
    <row r="6515" spans="8:8" ht="15" customHeight="1" x14ac:dyDescent="0.2">
      <c r="H6515" s="19">
        <v>6.4596642454780896E-3</v>
      </c>
    </row>
    <row r="6516" spans="8:8" ht="15" customHeight="1" x14ac:dyDescent="0.2">
      <c r="H6516" s="19">
        <v>1.3596003186266499E-2</v>
      </c>
    </row>
    <row r="6517" spans="8:8" ht="15" customHeight="1" x14ac:dyDescent="0.2">
      <c r="H6517" s="19">
        <v>1.1634498020593799E-2</v>
      </c>
    </row>
    <row r="6518" spans="8:8" ht="15" customHeight="1" x14ac:dyDescent="0.2">
      <c r="H6518" s="19">
        <v>1.7889295787712201E-2</v>
      </c>
    </row>
    <row r="6519" spans="8:8" ht="15" customHeight="1" x14ac:dyDescent="0.2">
      <c r="H6519" s="19">
        <v>-5.9833144440236798E-3</v>
      </c>
    </row>
    <row r="6520" spans="8:8" ht="15" customHeight="1" x14ac:dyDescent="0.2">
      <c r="H6520" s="19">
        <v>-8.9266867121931392E-3</v>
      </c>
    </row>
    <row r="6521" spans="8:8" ht="15" customHeight="1" x14ac:dyDescent="0.2">
      <c r="H6521" s="19">
        <v>1.09045720746338E-2</v>
      </c>
    </row>
    <row r="6522" spans="8:8" ht="15" customHeight="1" x14ac:dyDescent="0.2">
      <c r="H6522" s="19">
        <v>1.50661276561273E-2</v>
      </c>
    </row>
    <row r="6523" spans="8:8" ht="15" customHeight="1" x14ac:dyDescent="0.2">
      <c r="H6523" s="19">
        <v>9.4066532294810896E-3</v>
      </c>
    </row>
    <row r="6524" spans="8:8" ht="15" customHeight="1" x14ac:dyDescent="0.2">
      <c r="H6524" s="19">
        <v>-1.7391314917956199E-3</v>
      </c>
    </row>
    <row r="6525" spans="8:8" ht="15" customHeight="1" x14ac:dyDescent="0.2">
      <c r="H6525" s="19">
        <v>-2.45355903207805E-3</v>
      </c>
    </row>
    <row r="6526" spans="8:8" ht="15" customHeight="1" x14ac:dyDescent="0.2">
      <c r="H6526" s="19">
        <v>-7.0020098952543099E-4</v>
      </c>
    </row>
    <row r="6527" spans="8:8" ht="15" customHeight="1" x14ac:dyDescent="0.2">
      <c r="H6527" s="19">
        <v>3.52597423322018E-3</v>
      </c>
    </row>
    <row r="6528" spans="8:8" ht="15" customHeight="1" x14ac:dyDescent="0.2">
      <c r="H6528" s="19">
        <v>-2.7567591827922398E-3</v>
      </c>
    </row>
    <row r="6529" spans="8:8" ht="15" customHeight="1" x14ac:dyDescent="0.2">
      <c r="H6529" s="19">
        <v>4.3222427873314002E-3</v>
      </c>
    </row>
    <row r="6530" spans="8:8" ht="15" customHeight="1" x14ac:dyDescent="0.2">
      <c r="H6530" s="19">
        <v>-7.8974809150100193E-3</v>
      </c>
    </row>
    <row r="6531" spans="8:8" ht="15" customHeight="1" x14ac:dyDescent="0.2">
      <c r="H6531" s="19">
        <v>9.0794907575525892E-3</v>
      </c>
    </row>
    <row r="6532" spans="8:8" ht="15" customHeight="1" x14ac:dyDescent="0.2">
      <c r="H6532" s="19">
        <v>3.1217154933708799E-3</v>
      </c>
    </row>
    <row r="6533" spans="8:8" ht="15" customHeight="1" x14ac:dyDescent="0.2">
      <c r="H6533" s="19">
        <v>1.11439427515667E-2</v>
      </c>
    </row>
    <row r="6534" spans="8:8" ht="15" customHeight="1" x14ac:dyDescent="0.2">
      <c r="H6534" s="19">
        <v>2.34710533475407E-2</v>
      </c>
    </row>
    <row r="6535" spans="8:8" ht="15" customHeight="1" x14ac:dyDescent="0.2">
      <c r="H6535" s="19">
        <v>1.00709700143066E-2</v>
      </c>
    </row>
    <row r="6536" spans="8:8" ht="15" customHeight="1" x14ac:dyDescent="0.2">
      <c r="H6536" s="19">
        <v>-2.8163604116319598E-3</v>
      </c>
    </row>
    <row r="6537" spans="8:8" ht="15" customHeight="1" x14ac:dyDescent="0.2">
      <c r="H6537" s="19">
        <v>8.7377716356948597E-3</v>
      </c>
    </row>
    <row r="6538" spans="8:8" ht="15" customHeight="1" x14ac:dyDescent="0.2">
      <c r="H6538" s="19">
        <v>5.7566416603858895E-4</v>
      </c>
    </row>
    <row r="6539" spans="8:8" ht="15" customHeight="1" x14ac:dyDescent="0.2">
      <c r="H6539" s="19">
        <v>1.28589805507557E-2</v>
      </c>
    </row>
    <row r="6540" spans="8:8" ht="15" customHeight="1" x14ac:dyDescent="0.2">
      <c r="H6540" s="19">
        <v>-3.2648293113974498E-3</v>
      </c>
    </row>
    <row r="6541" spans="8:8" ht="15" customHeight="1" x14ac:dyDescent="0.2">
      <c r="H6541" s="19">
        <v>1.1781662177557E-2</v>
      </c>
    </row>
    <row r="6542" spans="8:8" ht="15" customHeight="1" x14ac:dyDescent="0.2">
      <c r="H6542" s="19">
        <v>1.2189930412106101E-2</v>
      </c>
    </row>
    <row r="6543" spans="8:8" ht="15" customHeight="1" x14ac:dyDescent="0.2">
      <c r="H6543" s="19">
        <v>-8.7787834687200997E-4</v>
      </c>
    </row>
    <row r="6544" spans="8:8" ht="15" customHeight="1" x14ac:dyDescent="0.2">
      <c r="H6544" s="19">
        <v>1.36632467795251E-3</v>
      </c>
    </row>
    <row r="6545" spans="8:8" ht="15" customHeight="1" x14ac:dyDescent="0.2">
      <c r="H6545" s="19">
        <v>-3.9231387771448403E-3</v>
      </c>
    </row>
    <row r="6546" spans="8:8" ht="15" customHeight="1" x14ac:dyDescent="0.2">
      <c r="H6546" s="19">
        <v>-1.3654719129916599E-2</v>
      </c>
    </row>
    <row r="6547" spans="8:8" ht="15" customHeight="1" x14ac:dyDescent="0.2">
      <c r="H6547" s="19">
        <v>6.7333458877170396E-3</v>
      </c>
    </row>
    <row r="6548" spans="8:8" ht="15" customHeight="1" x14ac:dyDescent="0.2">
      <c r="H6548" s="19">
        <v>-1.1704737973260899E-3</v>
      </c>
    </row>
    <row r="6549" spans="8:8" ht="15" customHeight="1" x14ac:dyDescent="0.2">
      <c r="H6549" s="19">
        <v>3.3735846407032801E-3</v>
      </c>
    </row>
    <row r="6550" spans="8:8" ht="15" customHeight="1" x14ac:dyDescent="0.2">
      <c r="H6550" s="19">
        <v>1.26583898695506E-4</v>
      </c>
    </row>
    <row r="6551" spans="8:8" ht="15" customHeight="1" x14ac:dyDescent="0.2">
      <c r="H6551" s="19">
        <v>-6.1491504179546699E-3</v>
      </c>
    </row>
    <row r="6552" spans="8:8" ht="15" customHeight="1" x14ac:dyDescent="0.2">
      <c r="H6552" s="19">
        <v>-1.22968244233499E-2</v>
      </c>
    </row>
    <row r="6553" spans="8:8" ht="15" customHeight="1" x14ac:dyDescent="0.2">
      <c r="H6553" s="19">
        <v>-5.2672688132382401E-3</v>
      </c>
    </row>
    <row r="6554" spans="8:8" ht="15" customHeight="1" x14ac:dyDescent="0.2">
      <c r="H6554" s="19">
        <v>5.5227633833354797E-3</v>
      </c>
    </row>
    <row r="6555" spans="8:8" ht="15" customHeight="1" x14ac:dyDescent="0.2">
      <c r="H6555" s="19">
        <v>3.1249062729426002E-3</v>
      </c>
    </row>
    <row r="6556" spans="8:8" ht="15" customHeight="1" x14ac:dyDescent="0.2">
      <c r="H6556" s="19">
        <v>7.4601054304206998E-3</v>
      </c>
    </row>
    <row r="6557" spans="8:8" ht="15" customHeight="1" x14ac:dyDescent="0.2">
      <c r="H6557" s="19">
        <v>-9.1047534623400796E-3</v>
      </c>
    </row>
    <row r="6558" spans="8:8" ht="15" customHeight="1" x14ac:dyDescent="0.2">
      <c r="H6558" s="19">
        <v>5.4499833584362401E-3</v>
      </c>
    </row>
    <row r="6559" spans="8:8" ht="15" customHeight="1" x14ac:dyDescent="0.2">
      <c r="H6559" s="19">
        <v>8.9504751944478097E-4</v>
      </c>
    </row>
    <row r="6560" spans="8:8" ht="15" customHeight="1" x14ac:dyDescent="0.2">
      <c r="H6560" s="19">
        <v>2.9091913279335599E-3</v>
      </c>
    </row>
    <row r="6561" spans="8:8" ht="15" customHeight="1" x14ac:dyDescent="0.2">
      <c r="H6561" s="19">
        <v>-5.4804827221388002E-3</v>
      </c>
    </row>
    <row r="6562" spans="8:8" ht="15" customHeight="1" x14ac:dyDescent="0.2">
      <c r="H6562" s="19">
        <v>-8.4142089153553794E-3</v>
      </c>
    </row>
    <row r="6563" spans="8:8" ht="15" customHeight="1" x14ac:dyDescent="0.2">
      <c r="H6563" s="19">
        <v>-1.5506864359355701E-3</v>
      </c>
    </row>
    <row r="6564" spans="8:8" ht="15" customHeight="1" x14ac:dyDescent="0.2">
      <c r="H6564" s="19">
        <v>1.9311745760639602E-2</v>
      </c>
    </row>
    <row r="6565" spans="8:8" ht="15" customHeight="1" x14ac:dyDescent="0.2">
      <c r="H6565" s="19">
        <v>-1.73754947509769E-2</v>
      </c>
    </row>
    <row r="6566" spans="8:8" ht="15" customHeight="1" x14ac:dyDescent="0.2">
      <c r="H6566" s="19">
        <v>6.2864972961445302E-3</v>
      </c>
    </row>
    <row r="6567" spans="8:8" ht="15" customHeight="1" x14ac:dyDescent="0.2">
      <c r="H6567" s="19">
        <v>-7.5850060376918296E-5</v>
      </c>
    </row>
    <row r="6568" spans="8:8" ht="15" customHeight="1" x14ac:dyDescent="0.2">
      <c r="H6568" s="19">
        <v>5.0246290983008398E-3</v>
      </c>
    </row>
    <row r="6569" spans="8:8" ht="15" customHeight="1" x14ac:dyDescent="0.2">
      <c r="H6569" s="19">
        <v>-7.5173588211658697E-3</v>
      </c>
    </row>
    <row r="6570" spans="8:8" ht="15" customHeight="1" x14ac:dyDescent="0.2">
      <c r="H6570" s="19">
        <v>-2.9156914656864102E-3</v>
      </c>
    </row>
    <row r="6571" spans="8:8" ht="15" customHeight="1" x14ac:dyDescent="0.2">
      <c r="H6571" s="19">
        <v>-8.96880792307218E-3</v>
      </c>
    </row>
    <row r="6572" spans="8:8" ht="15" customHeight="1" x14ac:dyDescent="0.2">
      <c r="H6572" s="19">
        <v>-1.1585917355699299E-2</v>
      </c>
    </row>
    <row r="6573" spans="8:8" ht="15" customHeight="1" x14ac:dyDescent="0.2">
      <c r="H6573" s="19">
        <v>-2.0971978711840302E-3</v>
      </c>
    </row>
    <row r="6574" spans="8:8" ht="15" customHeight="1" x14ac:dyDescent="0.2">
      <c r="H6574" s="19">
        <v>-6.3766521309686899E-3</v>
      </c>
    </row>
    <row r="6575" spans="8:8" ht="15" customHeight="1" x14ac:dyDescent="0.2">
      <c r="H6575" s="19">
        <v>-2.8645970437350802E-3</v>
      </c>
    </row>
    <row r="6576" spans="8:8" ht="15" customHeight="1" x14ac:dyDescent="0.2">
      <c r="H6576" s="19">
        <v>-3.2391285296168499E-4</v>
      </c>
    </row>
    <row r="6577" spans="8:8" ht="15" customHeight="1" x14ac:dyDescent="0.2">
      <c r="H6577" s="19">
        <v>-6.2141725934826801E-3</v>
      </c>
    </row>
    <row r="6578" spans="8:8" ht="15" customHeight="1" x14ac:dyDescent="0.2">
      <c r="H6578" s="19">
        <v>-8.8803629662015003E-4</v>
      </c>
    </row>
    <row r="6579" spans="8:8" ht="15" customHeight="1" x14ac:dyDescent="0.2">
      <c r="H6579" s="19">
        <v>-1.0768018244997801E-2</v>
      </c>
    </row>
    <row r="6580" spans="8:8" ht="15" customHeight="1" x14ac:dyDescent="0.2">
      <c r="H6580" s="19">
        <v>6.0205675016547803E-3</v>
      </c>
    </row>
    <row r="6581" spans="8:8" ht="15" customHeight="1" x14ac:dyDescent="0.2">
      <c r="H6581" s="19">
        <v>-2.1433509594943E-3</v>
      </c>
    </row>
    <row r="6582" spans="8:8" ht="15" customHeight="1" x14ac:dyDescent="0.2">
      <c r="H6582" s="19">
        <v>-2.4739566626971701E-2</v>
      </c>
    </row>
    <row r="6583" spans="8:8" ht="15" customHeight="1" x14ac:dyDescent="0.2">
      <c r="H6583" s="19">
        <v>-6.48374090383118E-3</v>
      </c>
    </row>
    <row r="6584" spans="8:8" ht="15" customHeight="1" x14ac:dyDescent="0.2">
      <c r="H6584" s="19">
        <v>-2.1193385146463001E-4</v>
      </c>
    </row>
    <row r="6585" spans="8:8" ht="15" customHeight="1" x14ac:dyDescent="0.2">
      <c r="H6585" s="19">
        <v>-8.22899556583182E-3</v>
      </c>
    </row>
    <row r="6586" spans="8:8" ht="15" customHeight="1" x14ac:dyDescent="0.2">
      <c r="H6586" s="19">
        <v>-1.1333661803246201E-2</v>
      </c>
    </row>
    <row r="6587" spans="8:8" ht="15" customHeight="1" x14ac:dyDescent="0.2">
      <c r="H6587" s="19">
        <v>4.5993679041197296E-3</v>
      </c>
    </row>
    <row r="6588" spans="8:8" ht="15" customHeight="1" x14ac:dyDescent="0.2">
      <c r="H6588" s="19">
        <v>7.2652087076084996E-4</v>
      </c>
    </row>
    <row r="6589" spans="8:8" ht="15" customHeight="1" x14ac:dyDescent="0.2">
      <c r="H6589" s="19">
        <v>-1.8267520703353999E-3</v>
      </c>
    </row>
    <row r="6590" spans="8:8" ht="15" customHeight="1" x14ac:dyDescent="0.2">
      <c r="H6590" s="19">
        <v>5.2991828455132303E-4</v>
      </c>
    </row>
    <row r="6591" spans="8:8" ht="15" customHeight="1" x14ac:dyDescent="0.2">
      <c r="H6591" s="19">
        <v>-1.07643979845403E-2</v>
      </c>
    </row>
    <row r="6592" spans="8:8" ht="15" customHeight="1" x14ac:dyDescent="0.2">
      <c r="H6592" s="19">
        <v>2.4172625058044199E-3</v>
      </c>
    </row>
    <row r="6593" spans="8:8" ht="15" customHeight="1" x14ac:dyDescent="0.2">
      <c r="H6593" s="19">
        <v>8.0956042478172105E-3</v>
      </c>
    </row>
    <row r="6594" spans="8:8" ht="15" customHeight="1" x14ac:dyDescent="0.2">
      <c r="H6594" s="19">
        <v>-4.4641898009610799E-3</v>
      </c>
    </row>
    <row r="6595" spans="8:8" ht="15" customHeight="1" x14ac:dyDescent="0.2">
      <c r="H6595" s="19">
        <v>-9.9081862626524304E-3</v>
      </c>
    </row>
    <row r="6596" spans="8:8" ht="15" customHeight="1" x14ac:dyDescent="0.2">
      <c r="H6596" s="19">
        <v>-6.1233851594459602E-3</v>
      </c>
    </row>
    <row r="6597" spans="8:8" ht="15" customHeight="1" x14ac:dyDescent="0.2">
      <c r="H6597" s="19">
        <v>1.74117136303359E-2</v>
      </c>
    </row>
    <row r="6598" spans="8:8" ht="15" customHeight="1" x14ac:dyDescent="0.2">
      <c r="H6598" s="19">
        <v>-5.0595234030416103E-3</v>
      </c>
    </row>
    <row r="6599" spans="8:8" ht="15" customHeight="1" x14ac:dyDescent="0.2">
      <c r="H6599" s="19">
        <v>4.5613478877665897E-3</v>
      </c>
    </row>
    <row r="6600" spans="8:8" ht="15" customHeight="1" x14ac:dyDescent="0.2">
      <c r="H6600" s="19">
        <v>-1.72575951505022E-3</v>
      </c>
    </row>
    <row r="6601" spans="8:8" ht="15" customHeight="1" x14ac:dyDescent="0.2">
      <c r="H6601" s="19">
        <v>-2.0150002738956898E-3</v>
      </c>
    </row>
    <row r="6602" spans="8:8" ht="15" customHeight="1" x14ac:dyDescent="0.2">
      <c r="H6602" s="19">
        <v>-3.3468749872205602E-3</v>
      </c>
    </row>
    <row r="6603" spans="8:8" ht="15" customHeight="1" x14ac:dyDescent="0.2">
      <c r="H6603" s="19">
        <v>-2.11860418664322E-3</v>
      </c>
    </row>
    <row r="6604" spans="8:8" ht="15" customHeight="1" x14ac:dyDescent="0.2">
      <c r="H6604" s="19">
        <v>3.8035235098314701E-3</v>
      </c>
    </row>
    <row r="6605" spans="8:8" ht="15" customHeight="1" x14ac:dyDescent="0.2">
      <c r="H6605" s="19">
        <v>-1.8710930849002E-3</v>
      </c>
    </row>
    <row r="6606" spans="8:8" ht="15" customHeight="1" x14ac:dyDescent="0.2">
      <c r="H6606" s="19">
        <v>1.25031950517194E-3</v>
      </c>
    </row>
    <row r="6607" spans="8:8" ht="15" customHeight="1" x14ac:dyDescent="0.2">
      <c r="H6607" s="19">
        <v>4.8773078270329196E-3</v>
      </c>
    </row>
    <row r="6608" spans="8:8" ht="15" customHeight="1" x14ac:dyDescent="0.2">
      <c r="H6608" s="19">
        <v>1.39665824136083E-3</v>
      </c>
    </row>
    <row r="6609" spans="8:8" ht="15" customHeight="1" x14ac:dyDescent="0.2">
      <c r="H6609" s="19">
        <v>5.2185168568845801E-3</v>
      </c>
    </row>
    <row r="6610" spans="8:8" ht="15" customHeight="1" x14ac:dyDescent="0.2">
      <c r="H6610" s="19">
        <v>-5.4242633109398298E-3</v>
      </c>
    </row>
    <row r="6611" spans="8:8" ht="15" customHeight="1" x14ac:dyDescent="0.2">
      <c r="H6611" s="19">
        <v>-5.7636887002374699E-3</v>
      </c>
    </row>
    <row r="6612" spans="8:8" ht="15" customHeight="1" x14ac:dyDescent="0.2">
      <c r="H6612" s="19">
        <v>7.4762983107721902E-3</v>
      </c>
    </row>
    <row r="6613" spans="8:8" ht="15" customHeight="1" x14ac:dyDescent="0.2">
      <c r="H6613" s="19">
        <v>1.7217509773863899E-2</v>
      </c>
    </row>
    <row r="6614" spans="8:8" ht="15" customHeight="1" x14ac:dyDescent="0.2">
      <c r="H6614" s="19">
        <v>3.6295144678608702E-3</v>
      </c>
    </row>
    <row r="6615" spans="8:8" ht="15" customHeight="1" x14ac:dyDescent="0.2">
      <c r="H6615" s="19">
        <v>-7.5707794276488804E-3</v>
      </c>
    </row>
    <row r="6616" spans="8:8" ht="15" customHeight="1" x14ac:dyDescent="0.2">
      <c r="H6616" s="19">
        <v>-1.4678552377835399E-3</v>
      </c>
    </row>
    <row r="6617" spans="8:8" ht="15" customHeight="1" x14ac:dyDescent="0.2">
      <c r="H6617" s="19">
        <v>1.3560641599427201E-2</v>
      </c>
    </row>
    <row r="6618" spans="8:8" ht="15" customHeight="1" x14ac:dyDescent="0.2">
      <c r="H6618" s="19">
        <v>-1.5755998067123699E-2</v>
      </c>
    </row>
    <row r="6619" spans="8:8" ht="15" customHeight="1" x14ac:dyDescent="0.2">
      <c r="H6619" s="19">
        <v>1.2579574916610401E-3</v>
      </c>
    </row>
    <row r="6620" spans="8:8" ht="15" customHeight="1" x14ac:dyDescent="0.2">
      <c r="H6620" s="19">
        <v>3.9234788088434698E-3</v>
      </c>
    </row>
    <row r="6621" spans="8:8" ht="15" customHeight="1" x14ac:dyDescent="0.2">
      <c r="H6621" s="19">
        <v>-2.1286656750936502E-2</v>
      </c>
    </row>
    <row r="6622" spans="8:8" ht="15" customHeight="1" x14ac:dyDescent="0.2">
      <c r="H6622" s="19">
        <v>-7.2107634189757398E-3</v>
      </c>
    </row>
    <row r="6623" spans="8:8" ht="15" customHeight="1" x14ac:dyDescent="0.2">
      <c r="H6623" s="19">
        <v>2.5464547411456701E-4</v>
      </c>
    </row>
    <row r="6624" spans="8:8" ht="15" customHeight="1" x14ac:dyDescent="0.2">
      <c r="H6624" s="19">
        <v>1.0256699458583899E-2</v>
      </c>
    </row>
    <row r="6625" spans="8:8" ht="15" customHeight="1" x14ac:dyDescent="0.2">
      <c r="H6625" s="19">
        <v>-2.6801359526008199E-2</v>
      </c>
    </row>
    <row r="6626" spans="8:8" ht="15" customHeight="1" x14ac:dyDescent="0.2">
      <c r="H6626" s="19">
        <v>-4.0514298736103399E-3</v>
      </c>
    </row>
    <row r="6627" spans="8:8" ht="15" customHeight="1" x14ac:dyDescent="0.2">
      <c r="H6627" s="19">
        <v>2.1921691773083101E-2</v>
      </c>
    </row>
    <row r="6628" spans="8:8" ht="15" customHeight="1" x14ac:dyDescent="0.2">
      <c r="H6628" s="19">
        <v>-8.3328393118257509E-3</v>
      </c>
    </row>
    <row r="6629" spans="8:8" ht="15" customHeight="1" x14ac:dyDescent="0.2">
      <c r="H6629" s="19">
        <v>-4.5648657991599704E-3</v>
      </c>
    </row>
    <row r="6630" spans="8:8" ht="15" customHeight="1" x14ac:dyDescent="0.2">
      <c r="H6630" s="19">
        <v>1.9564603291938E-3</v>
      </c>
    </row>
    <row r="6631" spans="8:8" ht="15" customHeight="1" x14ac:dyDescent="0.2">
      <c r="H6631" s="19">
        <v>1.8943840001941601E-3</v>
      </c>
    </row>
    <row r="6632" spans="8:8" ht="15" customHeight="1" x14ac:dyDescent="0.2">
      <c r="H6632" s="19">
        <v>1.0777551868723599E-3</v>
      </c>
    </row>
    <row r="6633" spans="8:8" ht="15" customHeight="1" x14ac:dyDescent="0.2">
      <c r="H6633" s="19">
        <v>6.1073629020000505E-4</v>
      </c>
    </row>
    <row r="6634" spans="8:8" ht="15" customHeight="1" x14ac:dyDescent="0.2">
      <c r="H6634" s="19">
        <v>2.7181341015850599E-3</v>
      </c>
    </row>
    <row r="6635" spans="8:8" ht="15" customHeight="1" x14ac:dyDescent="0.2">
      <c r="H6635" s="19">
        <v>2.01945474608559E-3</v>
      </c>
    </row>
    <row r="6636" spans="8:8" ht="15" customHeight="1" x14ac:dyDescent="0.2">
      <c r="H6636" s="19">
        <v>-4.09300296705688E-3</v>
      </c>
    </row>
    <row r="6637" spans="8:8" ht="15" customHeight="1" x14ac:dyDescent="0.2">
      <c r="H6637" s="19">
        <v>4.1801832871516302E-3</v>
      </c>
    </row>
    <row r="6638" spans="8:8" ht="15" customHeight="1" x14ac:dyDescent="0.2">
      <c r="H6638" s="19">
        <v>6.6182353974959304E-3</v>
      </c>
    </row>
    <row r="6639" spans="8:8" ht="15" customHeight="1" x14ac:dyDescent="0.2">
      <c r="H6639" s="19">
        <v>1.5258594189799199E-2</v>
      </c>
    </row>
    <row r="6640" spans="8:8" ht="15" customHeight="1" x14ac:dyDescent="0.2">
      <c r="H6640" s="19">
        <v>1.5644192519719501E-2</v>
      </c>
    </row>
    <row r="6641" spans="8:8" ht="15" customHeight="1" x14ac:dyDescent="0.2">
      <c r="H6641" s="19">
        <v>7.7254385940470896E-3</v>
      </c>
    </row>
    <row r="6642" spans="8:8" ht="15" customHeight="1" x14ac:dyDescent="0.2">
      <c r="H6642" s="19">
        <v>-6.6907556060766702E-3</v>
      </c>
    </row>
    <row r="6643" spans="8:8" ht="15" customHeight="1" x14ac:dyDescent="0.2">
      <c r="H6643" s="19">
        <v>-8.1531116926441497E-3</v>
      </c>
    </row>
    <row r="6644" spans="8:8" ht="15" customHeight="1" x14ac:dyDescent="0.2">
      <c r="H6644" s="19">
        <v>-2.8592396990614198E-3</v>
      </c>
    </row>
    <row r="6645" spans="8:8" ht="15" customHeight="1" x14ac:dyDescent="0.2">
      <c r="H6645" s="19">
        <v>-1.0951093591421299E-2</v>
      </c>
    </row>
    <row r="6646" spans="8:8" ht="15" customHeight="1" x14ac:dyDescent="0.2">
      <c r="H6646" s="19">
        <v>9.8758738491817304E-3</v>
      </c>
    </row>
    <row r="6647" spans="8:8" ht="15" customHeight="1" x14ac:dyDescent="0.2">
      <c r="H6647" s="19">
        <v>-1.3654793270883399E-2</v>
      </c>
    </row>
    <row r="6648" spans="8:8" ht="15" customHeight="1" x14ac:dyDescent="0.2">
      <c r="H6648" s="19">
        <v>-5.6133248787600103E-3</v>
      </c>
    </row>
    <row r="6649" spans="8:8" ht="15" customHeight="1" x14ac:dyDescent="0.2">
      <c r="H6649" s="19">
        <v>-1.91345051543941E-3</v>
      </c>
    </row>
    <row r="6650" spans="8:8" ht="15" customHeight="1" x14ac:dyDescent="0.2">
      <c r="H6650" s="19">
        <v>1.8793298599846402E-2</v>
      </c>
    </row>
    <row r="6651" spans="8:8" ht="15" customHeight="1" x14ac:dyDescent="0.2">
      <c r="H6651" s="19">
        <v>2.7415714409258002E-4</v>
      </c>
    </row>
    <row r="6652" spans="8:8" ht="15" customHeight="1" x14ac:dyDescent="0.2">
      <c r="H6652" s="19">
        <v>-1.0085746568626599E-3</v>
      </c>
    </row>
    <row r="6653" spans="8:8" ht="15" customHeight="1" x14ac:dyDescent="0.2">
      <c r="H6653" s="19">
        <v>-2.6391469742106698E-3</v>
      </c>
    </row>
    <row r="6654" spans="8:8" ht="15" customHeight="1" x14ac:dyDescent="0.2">
      <c r="H6654" s="19">
        <v>1.5177970967032201E-3</v>
      </c>
    </row>
    <row r="6655" spans="8:8" ht="15" customHeight="1" x14ac:dyDescent="0.2">
      <c r="H6655" s="19">
        <v>-3.9105411783211998E-3</v>
      </c>
    </row>
    <row r="6656" spans="8:8" ht="15" customHeight="1" x14ac:dyDescent="0.2">
      <c r="H6656" s="19">
        <v>1.11295965140948E-2</v>
      </c>
    </row>
    <row r="6657" spans="8:8" ht="15" customHeight="1" x14ac:dyDescent="0.2">
      <c r="H6657" s="19">
        <v>-1.0445502148485501E-2</v>
      </c>
    </row>
    <row r="6658" spans="8:8" ht="15" customHeight="1" x14ac:dyDescent="0.2">
      <c r="H6658" s="19">
        <v>-4.0946308165405801E-3</v>
      </c>
    </row>
    <row r="6659" spans="8:8" ht="15" customHeight="1" x14ac:dyDescent="0.2">
      <c r="H6659" s="19">
        <v>-2.2908635013488599E-2</v>
      </c>
    </row>
    <row r="6660" spans="8:8" ht="15" customHeight="1" x14ac:dyDescent="0.2">
      <c r="H6660" s="19">
        <v>2.74556880849893E-3</v>
      </c>
    </row>
    <row r="6661" spans="8:8" ht="15" customHeight="1" x14ac:dyDescent="0.2">
      <c r="H6661" s="19">
        <v>-1.5062424156524101E-2</v>
      </c>
    </row>
    <row r="6662" spans="8:8" ht="15" customHeight="1" x14ac:dyDescent="0.2">
      <c r="H6662" s="19">
        <v>-9.9545350211903208E-3</v>
      </c>
    </row>
    <row r="6663" spans="8:8" ht="15" customHeight="1" x14ac:dyDescent="0.2">
      <c r="H6663" s="19">
        <v>-1.5855436520026999E-3</v>
      </c>
    </row>
    <row r="6664" spans="8:8" ht="15" customHeight="1" x14ac:dyDescent="0.2">
      <c r="H6664" s="19">
        <v>5.8512616626020001E-3</v>
      </c>
    </row>
    <row r="6665" spans="8:8" ht="15" customHeight="1" x14ac:dyDescent="0.2">
      <c r="H6665" s="19">
        <v>4.1482873138974502E-3</v>
      </c>
    </row>
    <row r="6666" spans="8:8" ht="15" customHeight="1" x14ac:dyDescent="0.2">
      <c r="H6666" s="19">
        <v>-7.8853016202412203E-3</v>
      </c>
    </row>
    <row r="6667" spans="8:8" ht="15" customHeight="1" x14ac:dyDescent="0.2">
      <c r="H6667" s="19">
        <v>-1.4028802199983899E-2</v>
      </c>
    </row>
    <row r="6668" spans="8:8" ht="15" customHeight="1" x14ac:dyDescent="0.2">
      <c r="H6668" s="19">
        <v>1.52364295145532E-2</v>
      </c>
    </row>
    <row r="6669" spans="8:8" ht="15" customHeight="1" x14ac:dyDescent="0.2">
      <c r="H6669" s="19">
        <v>-5.8417633442005498E-3</v>
      </c>
    </row>
    <row r="6670" spans="8:8" ht="15" customHeight="1" x14ac:dyDescent="0.2">
      <c r="H6670" s="19">
        <v>-1.6998388401889698E-2</v>
      </c>
    </row>
    <row r="6671" spans="8:8" ht="15" customHeight="1" x14ac:dyDescent="0.2">
      <c r="H6671" s="19">
        <v>-1.4828309882379299E-2</v>
      </c>
    </row>
    <row r="6672" spans="8:8" ht="15" customHeight="1" x14ac:dyDescent="0.2">
      <c r="H6672" s="19">
        <v>3.1009550716339799E-3</v>
      </c>
    </row>
    <row r="6673" spans="8:8" ht="15" customHeight="1" x14ac:dyDescent="0.2">
      <c r="H6673" s="19">
        <v>3.0694375195672301E-2</v>
      </c>
    </row>
    <row r="6674" spans="8:8" ht="15" customHeight="1" x14ac:dyDescent="0.2">
      <c r="H6674" s="19">
        <v>-3.93045130131928E-3</v>
      </c>
    </row>
    <row r="6675" spans="8:8" ht="15" customHeight="1" x14ac:dyDescent="0.2">
      <c r="H6675" s="19">
        <v>-2.4335358624156499E-3</v>
      </c>
    </row>
    <row r="6676" spans="8:8" ht="15" customHeight="1" x14ac:dyDescent="0.2">
      <c r="H6676" s="19">
        <v>4.1340863111125996E-3</v>
      </c>
    </row>
    <row r="6677" spans="8:8" ht="15" customHeight="1" x14ac:dyDescent="0.2">
      <c r="H6677" s="19">
        <v>-9.2039571198672208E-3</v>
      </c>
    </row>
    <row r="6678" spans="8:8" ht="15" customHeight="1" x14ac:dyDescent="0.2">
      <c r="H6678" s="19">
        <v>-1.15746016177832E-4</v>
      </c>
    </row>
    <row r="6679" spans="8:8" ht="15" customHeight="1" x14ac:dyDescent="0.2">
      <c r="H6679" s="19">
        <v>-1.5647349116632701E-2</v>
      </c>
    </row>
    <row r="6680" spans="8:8" ht="15" customHeight="1" x14ac:dyDescent="0.2">
      <c r="H6680" s="19">
        <v>3.2528706130900702E-3</v>
      </c>
    </row>
    <row r="6681" spans="8:8" ht="15" customHeight="1" x14ac:dyDescent="0.2">
      <c r="H6681" s="19">
        <v>3.5352749597372399E-3</v>
      </c>
    </row>
    <row r="6682" spans="8:8" ht="15" customHeight="1" x14ac:dyDescent="0.2">
      <c r="H6682" s="19">
        <v>1.71345680414422E-2</v>
      </c>
    </row>
    <row r="6683" spans="8:8" ht="15" customHeight="1" x14ac:dyDescent="0.2">
      <c r="H6683" s="19">
        <v>-1.0521561375568299E-2</v>
      </c>
    </row>
    <row r="6684" spans="8:8" ht="15" customHeight="1" x14ac:dyDescent="0.2">
      <c r="H6684" s="19">
        <v>5.5449577127243896E-3</v>
      </c>
    </row>
    <row r="6685" spans="8:8" ht="15" customHeight="1" x14ac:dyDescent="0.2">
      <c r="H6685" s="19">
        <v>-7.4942972439098598E-3</v>
      </c>
    </row>
    <row r="6686" spans="8:8" ht="15" customHeight="1" x14ac:dyDescent="0.2">
      <c r="H6686" s="19">
        <v>4.2302998651531001E-3</v>
      </c>
    </row>
    <row r="6687" spans="8:8" ht="15" customHeight="1" x14ac:dyDescent="0.2">
      <c r="H6687" s="19">
        <v>-3.8763105095934499E-3</v>
      </c>
    </row>
    <row r="6688" spans="8:8" ht="15" customHeight="1" x14ac:dyDescent="0.2">
      <c r="H6688" s="19">
        <v>2.88220543327919E-3</v>
      </c>
    </row>
    <row r="6689" spans="8:8" ht="15" customHeight="1" x14ac:dyDescent="0.2">
      <c r="H6689" s="19">
        <v>8.4197205629010907E-3</v>
      </c>
    </row>
    <row r="6690" spans="8:8" ht="15" customHeight="1" x14ac:dyDescent="0.2">
      <c r="H6690" s="19">
        <v>-7.8789245162261597E-3</v>
      </c>
    </row>
    <row r="6691" spans="8:8" ht="15" customHeight="1" x14ac:dyDescent="0.2">
      <c r="H6691" s="19">
        <v>1.71973938350919E-3</v>
      </c>
    </row>
    <row r="6692" spans="8:8" ht="15" customHeight="1" x14ac:dyDescent="0.2">
      <c r="H6692" s="19">
        <v>5.8942945386281998E-3</v>
      </c>
    </row>
    <row r="6693" spans="8:8" ht="15" customHeight="1" x14ac:dyDescent="0.2">
      <c r="H6693" s="19">
        <v>1.2816825485257801E-3</v>
      </c>
    </row>
    <row r="6694" spans="8:8" ht="15" customHeight="1" x14ac:dyDescent="0.2">
      <c r="H6694" s="19">
        <v>9.4055086304754808E-3</v>
      </c>
    </row>
    <row r="6695" spans="8:8" ht="15" customHeight="1" x14ac:dyDescent="0.2">
      <c r="H6695" s="19">
        <v>3.4957622569409901E-3</v>
      </c>
    </row>
    <row r="6696" spans="8:8" ht="15" customHeight="1" x14ac:dyDescent="0.2">
      <c r="H6696" s="19">
        <v>-5.41280061207747E-3</v>
      </c>
    </row>
    <row r="6697" spans="8:8" ht="15" customHeight="1" x14ac:dyDescent="0.2">
      <c r="H6697" s="19">
        <v>-1.1150391113431199E-2</v>
      </c>
    </row>
    <row r="6698" spans="8:8" ht="15" customHeight="1" x14ac:dyDescent="0.2">
      <c r="H6698" s="19">
        <v>-1.53700925535848E-3</v>
      </c>
    </row>
    <row r="6699" spans="8:8" ht="15" customHeight="1" x14ac:dyDescent="0.2">
      <c r="H6699" s="19">
        <v>2.02066923651602E-3</v>
      </c>
    </row>
    <row r="6700" spans="8:8" ht="15" customHeight="1" x14ac:dyDescent="0.2">
      <c r="H6700" s="19">
        <v>-1.7816222338181999E-2</v>
      </c>
    </row>
    <row r="6701" spans="8:8" ht="15" customHeight="1" x14ac:dyDescent="0.2">
      <c r="H6701" s="19">
        <v>1.45389458019218E-3</v>
      </c>
    </row>
    <row r="6702" spans="8:8" ht="15" customHeight="1" x14ac:dyDescent="0.2">
      <c r="H6702" s="19">
        <v>1.4816970667398101E-2</v>
      </c>
    </row>
    <row r="6703" spans="8:8" ht="15" customHeight="1" x14ac:dyDescent="0.2">
      <c r="H6703" s="19">
        <v>-6.6119466246549003E-3</v>
      </c>
    </row>
    <row r="6704" spans="8:8" ht="15" customHeight="1" x14ac:dyDescent="0.2">
      <c r="H6704" s="19">
        <v>1.97201508949577E-2</v>
      </c>
    </row>
    <row r="6705" spans="8:8" ht="15" customHeight="1" x14ac:dyDescent="0.2">
      <c r="H6705" s="19">
        <v>1.1215236490691199E-2</v>
      </c>
    </row>
    <row r="6706" spans="8:8" ht="15" customHeight="1" x14ac:dyDescent="0.2">
      <c r="H6706" s="19">
        <v>9.8998728041468208E-3</v>
      </c>
    </row>
    <row r="6707" spans="8:8" ht="15" customHeight="1" x14ac:dyDescent="0.2">
      <c r="H6707" s="19">
        <v>7.52541440324164E-3</v>
      </c>
    </row>
    <row r="6708" spans="8:8" ht="15" customHeight="1" x14ac:dyDescent="0.2">
      <c r="H6708" s="19">
        <v>7.3140227141218301E-3</v>
      </c>
    </row>
    <row r="6709" spans="8:8" ht="15" customHeight="1" x14ac:dyDescent="0.2">
      <c r="H6709" s="19">
        <v>2.2284048542450599E-3</v>
      </c>
    </row>
    <row r="6710" spans="8:8" ht="15" customHeight="1" x14ac:dyDescent="0.2">
      <c r="H6710" s="19">
        <v>3.9665013503677E-3</v>
      </c>
    </row>
    <row r="6711" spans="8:8" ht="15" customHeight="1" x14ac:dyDescent="0.2">
      <c r="H6711" s="19">
        <v>-1.8888485839480499E-2</v>
      </c>
    </row>
    <row r="6712" spans="8:8" ht="15" customHeight="1" x14ac:dyDescent="0.2">
      <c r="H6712" s="19">
        <v>7.3268904992468496E-4</v>
      </c>
    </row>
    <row r="6713" spans="8:8" ht="15" customHeight="1" x14ac:dyDescent="0.2">
      <c r="H6713" s="19">
        <v>-4.1723909993803404E-3</v>
      </c>
    </row>
    <row r="6714" spans="8:8" ht="15" customHeight="1" x14ac:dyDescent="0.2">
      <c r="H6714" s="19">
        <v>4.9210743414313998E-3</v>
      </c>
    </row>
    <row r="6715" spans="8:8" ht="15" customHeight="1" x14ac:dyDescent="0.2">
      <c r="H6715" s="19">
        <v>-2.5676166816509301E-2</v>
      </c>
    </row>
    <row r="6716" spans="8:8" ht="15" customHeight="1" x14ac:dyDescent="0.2">
      <c r="H6716" s="19">
        <v>-7.4846961440303301E-3</v>
      </c>
    </row>
    <row r="6717" spans="8:8" ht="15" customHeight="1" x14ac:dyDescent="0.2">
      <c r="H6717" s="19">
        <v>6.6652767365968897E-3</v>
      </c>
    </row>
    <row r="6718" spans="8:8" ht="15" customHeight="1" x14ac:dyDescent="0.2">
      <c r="H6718" s="19">
        <v>-2.8274695966202198E-3</v>
      </c>
    </row>
    <row r="6719" spans="8:8" ht="15" customHeight="1" x14ac:dyDescent="0.2">
      <c r="H6719" s="19">
        <v>-3.2182038714002599E-3</v>
      </c>
    </row>
    <row r="6720" spans="8:8" ht="15" customHeight="1" x14ac:dyDescent="0.2">
      <c r="H6720" s="19">
        <v>1.29062054642523E-2</v>
      </c>
    </row>
    <row r="6721" spans="8:8" ht="15" customHeight="1" x14ac:dyDescent="0.2">
      <c r="H6721" s="19">
        <v>-1.2077037217763399E-3</v>
      </c>
    </row>
    <row r="6722" spans="8:8" ht="15" customHeight="1" x14ac:dyDescent="0.2">
      <c r="H6722" s="19">
        <v>5.8627557244390399E-3</v>
      </c>
    </row>
    <row r="6723" spans="8:8" ht="15" customHeight="1" x14ac:dyDescent="0.2">
      <c r="H6723" s="19">
        <v>1.59619193707187E-3</v>
      </c>
    </row>
    <row r="6724" spans="8:8" ht="15" customHeight="1" x14ac:dyDescent="0.2">
      <c r="H6724" s="19">
        <v>-1.0922824172801601E-2</v>
      </c>
    </row>
    <row r="6725" spans="8:8" ht="15" customHeight="1" x14ac:dyDescent="0.2">
      <c r="H6725" s="19">
        <v>1.4287077846468699E-2</v>
      </c>
    </row>
    <row r="6726" spans="8:8" ht="15" customHeight="1" x14ac:dyDescent="0.2">
      <c r="H6726" s="19">
        <v>9.4625613271968907E-3</v>
      </c>
    </row>
    <row r="6727" spans="8:8" ht="15" customHeight="1" x14ac:dyDescent="0.2">
      <c r="H6727" s="19">
        <v>-3.12255734317823E-3</v>
      </c>
    </row>
    <row r="6728" spans="8:8" ht="15" customHeight="1" x14ac:dyDescent="0.2">
      <c r="H6728" s="19">
        <v>-8.0621112575624994E-3</v>
      </c>
    </row>
    <row r="6729" spans="8:8" ht="15" customHeight="1" x14ac:dyDescent="0.2">
      <c r="H6729" s="19">
        <v>-2.64762168124837E-3</v>
      </c>
    </row>
    <row r="6730" spans="8:8" ht="15" customHeight="1" x14ac:dyDescent="0.2">
      <c r="H6730" s="19">
        <v>8.6154862084639097E-3</v>
      </c>
    </row>
    <row r="6731" spans="8:8" ht="15" customHeight="1" x14ac:dyDescent="0.2">
      <c r="H6731" s="19">
        <v>-6.6104216783989696E-4</v>
      </c>
    </row>
    <row r="6732" spans="8:8" ht="15" customHeight="1" x14ac:dyDescent="0.2">
      <c r="H6732" s="19">
        <v>-6.4933096289844297E-3</v>
      </c>
    </row>
    <row r="6733" spans="8:8" ht="15" customHeight="1" x14ac:dyDescent="0.2">
      <c r="H6733" s="19">
        <v>4.2724432398327204E-3</v>
      </c>
    </row>
    <row r="6734" spans="8:8" ht="15" customHeight="1" x14ac:dyDescent="0.2">
      <c r="H6734" s="19">
        <v>-1.79636592048898E-4</v>
      </c>
    </row>
    <row r="6735" spans="8:8" ht="15" customHeight="1" x14ac:dyDescent="0.2">
      <c r="H6735" s="19">
        <v>-7.7969570748345903E-4</v>
      </c>
    </row>
    <row r="6736" spans="8:8" ht="15" customHeight="1" x14ac:dyDescent="0.2">
      <c r="H6736" s="19">
        <v>-4.8190301147986699E-3</v>
      </c>
    </row>
    <row r="6737" spans="8:8" ht="15" customHeight="1" x14ac:dyDescent="0.2">
      <c r="H6737" s="19">
        <v>-4.0382775379512103E-3</v>
      </c>
    </row>
    <row r="6738" spans="8:8" ht="15" customHeight="1" x14ac:dyDescent="0.2">
      <c r="H6738" s="19">
        <v>-1.39784624583982E-3</v>
      </c>
    </row>
    <row r="6739" spans="8:8" ht="15" customHeight="1" x14ac:dyDescent="0.2">
      <c r="H6739" s="19">
        <v>-1.5468049704745199E-3</v>
      </c>
    </row>
    <row r="6740" spans="8:8" ht="15" customHeight="1" x14ac:dyDescent="0.2">
      <c r="H6740" s="19">
        <v>8.2791193467984597E-4</v>
      </c>
    </row>
    <row r="6741" spans="8:8" ht="15" customHeight="1" x14ac:dyDescent="0.2">
      <c r="H6741" s="19">
        <v>1.8479045791121598E-2</v>
      </c>
    </row>
    <row r="6742" spans="8:8" ht="15" customHeight="1" x14ac:dyDescent="0.2">
      <c r="H6742" s="19">
        <v>2.0676573878533201E-2</v>
      </c>
    </row>
    <row r="6743" spans="8:8" ht="15" customHeight="1" x14ac:dyDescent="0.2">
      <c r="H6743" s="19">
        <v>3.54081157484883E-3</v>
      </c>
    </row>
    <row r="6744" spans="8:8" ht="15" customHeight="1" x14ac:dyDescent="0.2">
      <c r="H6744" s="19">
        <v>1.73119390428013E-3</v>
      </c>
    </row>
    <row r="6745" spans="8:8" ht="15" customHeight="1" x14ac:dyDescent="0.2">
      <c r="H6745" s="19">
        <v>2.7584426101079701E-3</v>
      </c>
    </row>
    <row r="6746" spans="8:8" ht="15" customHeight="1" x14ac:dyDescent="0.2">
      <c r="H6746" s="19">
        <v>-1.6630253072534899E-2</v>
      </c>
    </row>
    <row r="6747" spans="8:8" ht="15" customHeight="1" x14ac:dyDescent="0.2">
      <c r="H6747" s="19">
        <v>-1.7855118253828701E-2</v>
      </c>
    </row>
    <row r="6748" spans="8:8" ht="15" customHeight="1" x14ac:dyDescent="0.2">
      <c r="H6748" s="19">
        <v>5.96722781501011E-3</v>
      </c>
    </row>
    <row r="6749" spans="8:8" ht="15" customHeight="1" x14ac:dyDescent="0.2">
      <c r="H6749" s="19">
        <v>3.7885929559629099E-3</v>
      </c>
    </row>
    <row r="6750" spans="8:8" ht="15" customHeight="1" x14ac:dyDescent="0.2">
      <c r="H6750" s="19">
        <v>5.2644449800500898E-3</v>
      </c>
    </row>
    <row r="6751" spans="8:8" ht="15" customHeight="1" x14ac:dyDescent="0.2">
      <c r="H6751" s="19">
        <v>8.9382368408686005E-4</v>
      </c>
    </row>
    <row r="6752" spans="8:8" ht="15" customHeight="1" x14ac:dyDescent="0.2">
      <c r="H6752" s="19">
        <v>4.36102592796402E-3</v>
      </c>
    </row>
    <row r="6753" spans="8:8" ht="15" customHeight="1" x14ac:dyDescent="0.2">
      <c r="H6753" s="19">
        <v>-1.55902390258017E-3</v>
      </c>
    </row>
    <row r="6754" spans="8:8" ht="15" customHeight="1" x14ac:dyDescent="0.2">
      <c r="H6754" s="19">
        <v>-8.2926289116069703E-3</v>
      </c>
    </row>
    <row r="6755" spans="8:8" ht="15" customHeight="1" x14ac:dyDescent="0.2">
      <c r="H6755" s="19">
        <v>-6.4840145946115004E-3</v>
      </c>
    </row>
    <row r="6756" spans="8:8" ht="15" customHeight="1" x14ac:dyDescent="0.2">
      <c r="H6756" s="19">
        <v>-2.2552870844924902E-3</v>
      </c>
    </row>
    <row r="6757" spans="8:8" ht="15" customHeight="1" x14ac:dyDescent="0.2">
      <c r="H6757" s="19">
        <v>7.1471042710643802E-4</v>
      </c>
    </row>
    <row r="6758" spans="8:8" ht="15" customHeight="1" x14ac:dyDescent="0.2">
      <c r="H6758" s="19">
        <v>4.3698217953607099E-3</v>
      </c>
    </row>
    <row r="6759" spans="8:8" ht="15" customHeight="1" x14ac:dyDescent="0.2">
      <c r="H6759" s="19">
        <v>1.6455913286228801E-3</v>
      </c>
    </row>
    <row r="6760" spans="8:8" ht="15" customHeight="1" x14ac:dyDescent="0.2">
      <c r="H6760" s="19">
        <v>-1.01631524198002E-2</v>
      </c>
    </row>
    <row r="6761" spans="8:8" ht="15" customHeight="1" x14ac:dyDescent="0.2">
      <c r="H6761" s="19">
        <v>-8.5460912720792105E-5</v>
      </c>
    </row>
    <row r="6762" spans="8:8" ht="15" customHeight="1" x14ac:dyDescent="0.2">
      <c r="H6762" s="19">
        <v>7.0293647756280199E-3</v>
      </c>
    </row>
    <row r="6763" spans="8:8" ht="15" customHeight="1" x14ac:dyDescent="0.2">
      <c r="H6763" s="19">
        <v>9.9638237522676303E-3</v>
      </c>
    </row>
    <row r="6764" spans="8:8" ht="15" customHeight="1" x14ac:dyDescent="0.2">
      <c r="H6764" s="19">
        <v>1.5411781986639599E-2</v>
      </c>
    </row>
    <row r="6765" spans="8:8" ht="15" customHeight="1" x14ac:dyDescent="0.2">
      <c r="H6765" s="19">
        <v>7.8555124653912605E-3</v>
      </c>
    </row>
    <row r="6766" spans="8:8" ht="15" customHeight="1" x14ac:dyDescent="0.2">
      <c r="H6766" s="19">
        <v>8.1338856592211694E-3</v>
      </c>
    </row>
    <row r="6767" spans="8:8" ht="15" customHeight="1" x14ac:dyDescent="0.2">
      <c r="H6767" s="19">
        <v>7.6044277826387199E-3</v>
      </c>
    </row>
    <row r="6768" spans="8:8" ht="15" customHeight="1" x14ac:dyDescent="0.2">
      <c r="H6768" s="19">
        <v>1.7166921078069799E-2</v>
      </c>
    </row>
    <row r="6769" spans="8:8" ht="15" customHeight="1" x14ac:dyDescent="0.2">
      <c r="H6769" s="19">
        <v>3.0776270123893001E-2</v>
      </c>
    </row>
    <row r="6770" spans="8:8" ht="15" customHeight="1" x14ac:dyDescent="0.2">
      <c r="H6770" s="19">
        <v>7.2264053354157201E-4</v>
      </c>
    </row>
    <row r="6771" spans="8:8" ht="15" customHeight="1" x14ac:dyDescent="0.2">
      <c r="H6771" s="19">
        <v>1.39000048852219E-2</v>
      </c>
    </row>
    <row r="6772" spans="8:8" ht="15" customHeight="1" x14ac:dyDescent="0.2">
      <c r="H6772" s="19">
        <v>3.0462595921411798E-3</v>
      </c>
    </row>
    <row r="6773" spans="8:8" ht="15" customHeight="1" x14ac:dyDescent="0.2">
      <c r="H6773" s="19">
        <v>4.2919941097981197E-3</v>
      </c>
    </row>
    <row r="6774" spans="8:8" ht="15" customHeight="1" x14ac:dyDescent="0.2">
      <c r="H6774" s="19">
        <v>-4.7560024051993199E-3</v>
      </c>
    </row>
    <row r="6775" spans="8:8" ht="15" customHeight="1" x14ac:dyDescent="0.2">
      <c r="H6775" s="19">
        <v>-8.5628083561643999E-3</v>
      </c>
    </row>
    <row r="6776" spans="8:8" ht="15" customHeight="1" x14ac:dyDescent="0.2">
      <c r="H6776" s="19">
        <v>-1.75877469260909E-2</v>
      </c>
    </row>
    <row r="6777" spans="8:8" ht="15" customHeight="1" x14ac:dyDescent="0.2">
      <c r="H6777" s="19">
        <v>3.8077511545435701E-3</v>
      </c>
    </row>
    <row r="6778" spans="8:8" ht="15" customHeight="1" x14ac:dyDescent="0.2">
      <c r="H6778" s="19">
        <v>-2.52471407245529E-3</v>
      </c>
    </row>
    <row r="6779" spans="8:8" ht="15" customHeight="1" x14ac:dyDescent="0.2">
      <c r="H6779" s="19">
        <v>4.1874696805489E-4</v>
      </c>
    </row>
    <row r="6780" spans="8:8" ht="15" customHeight="1" x14ac:dyDescent="0.2">
      <c r="H6780" s="19">
        <v>-3.1661898117156802E-3</v>
      </c>
    </row>
    <row r="6781" spans="8:8" ht="15" customHeight="1" x14ac:dyDescent="0.2">
      <c r="H6781" s="19">
        <v>-9.7171801199926692E-3</v>
      </c>
    </row>
    <row r="6782" spans="8:8" ht="15" customHeight="1" x14ac:dyDescent="0.2">
      <c r="H6782" s="19">
        <v>-4.7800972163898102E-3</v>
      </c>
    </row>
    <row r="6783" spans="8:8" ht="15" customHeight="1" x14ac:dyDescent="0.2">
      <c r="H6783" s="19">
        <v>1.25769238059995E-2</v>
      </c>
    </row>
    <row r="6784" spans="8:8" ht="15" customHeight="1" x14ac:dyDescent="0.2">
      <c r="H6784" s="19">
        <v>-1.58335277922524E-3</v>
      </c>
    </row>
    <row r="6785" spans="8:8" ht="15" customHeight="1" x14ac:dyDescent="0.2">
      <c r="H6785" s="19">
        <v>6.1956764592056004E-3</v>
      </c>
    </row>
    <row r="6786" spans="8:8" ht="15" customHeight="1" x14ac:dyDescent="0.2">
      <c r="H6786" s="19">
        <v>-1.8974337756713601E-3</v>
      </c>
    </row>
    <row r="6787" spans="8:8" ht="15" customHeight="1" x14ac:dyDescent="0.2">
      <c r="H6787" s="19">
        <v>2.91062767506357E-2</v>
      </c>
    </row>
    <row r="6788" spans="8:8" ht="15" customHeight="1" x14ac:dyDescent="0.2">
      <c r="H6788" s="19">
        <v>-3.2035113661849899E-3</v>
      </c>
    </row>
    <row r="6789" spans="8:8" ht="15" customHeight="1" x14ac:dyDescent="0.2">
      <c r="H6789" s="19">
        <v>5.6731938235705199E-3</v>
      </c>
    </row>
    <row r="6790" spans="8:8" ht="15" customHeight="1" x14ac:dyDescent="0.2">
      <c r="H6790" s="19">
        <v>5.1666103615041498E-3</v>
      </c>
    </row>
    <row r="6791" spans="8:8" ht="15" customHeight="1" x14ac:dyDescent="0.2">
      <c r="H6791" s="19">
        <v>9.8666747091425595E-3</v>
      </c>
    </row>
    <row r="6792" spans="8:8" ht="15" customHeight="1" x14ac:dyDescent="0.2">
      <c r="H6792" s="19">
        <v>6.1535456026632698E-3</v>
      </c>
    </row>
    <row r="6793" spans="8:8" ht="15" customHeight="1" x14ac:dyDescent="0.2">
      <c r="H6793" s="19">
        <v>3.0118077280237199E-3</v>
      </c>
    </row>
    <row r="6794" spans="8:8" ht="15" customHeight="1" x14ac:dyDescent="0.2">
      <c r="H6794" s="19">
        <v>2.00184636726564E-3</v>
      </c>
    </row>
    <row r="6795" spans="8:8" ht="15" customHeight="1" x14ac:dyDescent="0.2">
      <c r="H6795" s="19">
        <v>-7.5641330677503E-3</v>
      </c>
    </row>
    <row r="6796" spans="8:8" ht="15" customHeight="1" x14ac:dyDescent="0.2">
      <c r="H6796" s="19">
        <v>-4.4169368454749598E-3</v>
      </c>
    </row>
    <row r="6797" spans="8:8" ht="15" customHeight="1" x14ac:dyDescent="0.2">
      <c r="H6797" s="19">
        <v>3.5430650229095902E-3</v>
      </c>
    </row>
    <row r="6798" spans="8:8" ht="15" customHeight="1" x14ac:dyDescent="0.2">
      <c r="H6798" s="19">
        <v>-1.13847747470028E-2</v>
      </c>
    </row>
    <row r="6799" spans="8:8" ht="15" customHeight="1" x14ac:dyDescent="0.2">
      <c r="H6799" s="19">
        <v>-1.44126556715565E-2</v>
      </c>
    </row>
    <row r="6800" spans="8:8" ht="15" customHeight="1" x14ac:dyDescent="0.2">
      <c r="H6800" s="19">
        <v>1.5694186454892199E-2</v>
      </c>
    </row>
    <row r="6801" spans="8:8" ht="15" customHeight="1" x14ac:dyDescent="0.2">
      <c r="H6801" s="19">
        <v>1.7002509094632801E-2</v>
      </c>
    </row>
    <row r="6802" spans="8:8" ht="15" customHeight="1" x14ac:dyDescent="0.2">
      <c r="H6802" s="19">
        <v>-7.2580226040073999E-3</v>
      </c>
    </row>
    <row r="6803" spans="8:8" ht="15" customHeight="1" x14ac:dyDescent="0.2">
      <c r="H6803" s="19">
        <v>-4.5277326123254798E-3</v>
      </c>
    </row>
    <row r="6804" spans="8:8" ht="15" customHeight="1" x14ac:dyDescent="0.2">
      <c r="H6804" s="19">
        <v>-1.2886089227577001E-2</v>
      </c>
    </row>
    <row r="6805" spans="8:8" ht="15" customHeight="1" x14ac:dyDescent="0.2">
      <c r="H6805" s="19">
        <v>-1.50322375927259E-2</v>
      </c>
    </row>
    <row r="6806" spans="8:8" ht="15" customHeight="1" x14ac:dyDescent="0.2">
      <c r="H6806" s="19">
        <v>-1.1743564583519999E-2</v>
      </c>
    </row>
    <row r="6807" spans="8:8" ht="15" customHeight="1" x14ac:dyDescent="0.2">
      <c r="H6807" s="19">
        <v>-2.56860815461675E-4</v>
      </c>
    </row>
    <row r="6808" spans="8:8" ht="15" customHeight="1" x14ac:dyDescent="0.2">
      <c r="H6808" s="19">
        <v>9.0752401207636994E-3</v>
      </c>
    </row>
    <row r="6809" spans="8:8" ht="15" customHeight="1" x14ac:dyDescent="0.2">
      <c r="H6809" s="19">
        <v>1.6644086382545699E-2</v>
      </c>
    </row>
    <row r="6810" spans="8:8" ht="15" customHeight="1" x14ac:dyDescent="0.2">
      <c r="H6810" s="19">
        <v>-9.86802982848284E-3</v>
      </c>
    </row>
    <row r="6811" spans="8:8" ht="15" customHeight="1" x14ac:dyDescent="0.2">
      <c r="H6811" s="19">
        <v>-5.3867418349800899E-3</v>
      </c>
    </row>
    <row r="6812" spans="8:8" ht="15" customHeight="1" x14ac:dyDescent="0.2">
      <c r="H6812" s="19">
        <v>9.0119473912363603E-3</v>
      </c>
    </row>
    <row r="6813" spans="8:8" ht="15" customHeight="1" x14ac:dyDescent="0.2">
      <c r="H6813" s="19">
        <v>-6.4462197617719697E-3</v>
      </c>
    </row>
    <row r="6814" spans="8:8" ht="15" customHeight="1" x14ac:dyDescent="0.2">
      <c r="H6814" s="19">
        <v>-3.2436716493151299E-3</v>
      </c>
    </row>
    <row r="6815" spans="8:8" ht="15" customHeight="1" x14ac:dyDescent="0.2">
      <c r="H6815" s="19">
        <v>-3.6623507470205101E-3</v>
      </c>
    </row>
    <row r="6816" spans="8:8" ht="15" customHeight="1" x14ac:dyDescent="0.2">
      <c r="H6816" s="19">
        <v>1.08684410754811E-2</v>
      </c>
    </row>
    <row r="6817" spans="8:8" ht="15" customHeight="1" x14ac:dyDescent="0.2">
      <c r="H6817" s="19">
        <v>7.8394776318313503E-3</v>
      </c>
    </row>
    <row r="6818" spans="8:8" ht="15" customHeight="1" x14ac:dyDescent="0.2">
      <c r="H6818" s="19">
        <v>-1.68793925168567E-2</v>
      </c>
    </row>
    <row r="6819" spans="8:8" ht="15" customHeight="1" x14ac:dyDescent="0.2">
      <c r="H6819" s="19">
        <v>1.8346277543233799E-3</v>
      </c>
    </row>
    <row r="6820" spans="8:8" ht="15" customHeight="1" x14ac:dyDescent="0.2">
      <c r="H6820" s="19">
        <v>9.5631140350722899E-3</v>
      </c>
    </row>
    <row r="6821" spans="8:8" ht="15" customHeight="1" x14ac:dyDescent="0.2">
      <c r="H6821" s="19">
        <v>6.53359331010549E-4</v>
      </c>
    </row>
    <row r="6822" spans="8:8" ht="15" customHeight="1" x14ac:dyDescent="0.2">
      <c r="H6822" s="19">
        <v>7.5644558184331601E-3</v>
      </c>
    </row>
    <row r="6823" spans="8:8" ht="15" customHeight="1" x14ac:dyDescent="0.2">
      <c r="H6823" s="19">
        <v>-1.0357310388247199E-3</v>
      </c>
    </row>
    <row r="6824" spans="8:8" ht="15" customHeight="1" x14ac:dyDescent="0.2">
      <c r="H6824" s="19">
        <v>1.3322396252918501E-2</v>
      </c>
    </row>
    <row r="6825" spans="8:8" ht="15" customHeight="1" x14ac:dyDescent="0.2">
      <c r="H6825" s="19">
        <v>-1.1180101865337799E-2</v>
      </c>
    </row>
    <row r="6826" spans="8:8" ht="15" customHeight="1" x14ac:dyDescent="0.2">
      <c r="H6826" s="19">
        <v>1.38578159505237E-2</v>
      </c>
    </row>
    <row r="6827" spans="8:8" ht="15" customHeight="1" x14ac:dyDescent="0.2">
      <c r="H6827" s="19">
        <v>-1.0007350326950401E-2</v>
      </c>
    </row>
    <row r="6828" spans="8:8" ht="15" customHeight="1" x14ac:dyDescent="0.2">
      <c r="H6828" s="19">
        <v>1.9285677051699E-2</v>
      </c>
    </row>
    <row r="6829" spans="8:8" ht="15" customHeight="1" x14ac:dyDescent="0.2">
      <c r="H6829" s="19">
        <v>-1.8583517973026801E-3</v>
      </c>
    </row>
    <row r="6830" spans="8:8" ht="15" customHeight="1" x14ac:dyDescent="0.2">
      <c r="H6830" s="19">
        <v>-3.9838270188534202E-3</v>
      </c>
    </row>
    <row r="6831" spans="8:8" ht="15" customHeight="1" x14ac:dyDescent="0.2">
      <c r="H6831" s="19">
        <v>9.4985875202710298E-5</v>
      </c>
    </row>
    <row r="6832" spans="8:8" ht="15" customHeight="1" x14ac:dyDescent="0.2">
      <c r="H6832" s="19">
        <v>1.5589240794883E-2</v>
      </c>
    </row>
    <row r="6833" spans="8:8" ht="15" customHeight="1" x14ac:dyDescent="0.2">
      <c r="H6833" s="19">
        <v>-6.7455558899004095E-4</v>
      </c>
    </row>
    <row r="6834" spans="8:8" ht="15" customHeight="1" x14ac:dyDescent="0.2">
      <c r="H6834" s="19">
        <v>-6.3521620361619499E-3</v>
      </c>
    </row>
    <row r="6835" spans="8:8" ht="15" customHeight="1" x14ac:dyDescent="0.2">
      <c r="H6835" s="19">
        <v>3.9573294647229501E-3</v>
      </c>
    </row>
    <row r="6836" spans="8:8" ht="15" customHeight="1" x14ac:dyDescent="0.2">
      <c r="H6836" s="19">
        <v>4.2142696319363102E-3</v>
      </c>
    </row>
    <row r="6837" spans="8:8" ht="15" customHeight="1" x14ac:dyDescent="0.2">
      <c r="H6837" s="19">
        <v>-1.1563822158263399E-3</v>
      </c>
    </row>
    <row r="6838" spans="8:8" ht="15" customHeight="1" x14ac:dyDescent="0.2">
      <c r="H6838" s="19">
        <v>2.5505129284844399E-3</v>
      </c>
    </row>
    <row r="6839" spans="8:8" ht="15" customHeight="1" x14ac:dyDescent="0.2">
      <c r="H6839" s="19">
        <v>2.6084134862241301E-2</v>
      </c>
    </row>
    <row r="6840" spans="8:8" ht="15" customHeight="1" x14ac:dyDescent="0.2">
      <c r="H6840" s="19">
        <v>-4.9238309472531003E-3</v>
      </c>
    </row>
    <row r="6841" spans="8:8" ht="15" customHeight="1" x14ac:dyDescent="0.2">
      <c r="H6841" s="19">
        <v>-1.07996568646907E-3</v>
      </c>
    </row>
    <row r="6842" spans="8:8" ht="15" customHeight="1" x14ac:dyDescent="0.2">
      <c r="H6842" s="19">
        <v>-2.62109890154638E-4</v>
      </c>
    </row>
    <row r="6843" spans="8:8" ht="15" customHeight="1" x14ac:dyDescent="0.2">
      <c r="H6843" s="19">
        <v>-3.0194470599496999E-3</v>
      </c>
    </row>
    <row r="6844" spans="8:8" ht="15" customHeight="1" x14ac:dyDescent="0.2">
      <c r="H6844" s="19">
        <v>-1.2638520870290401E-2</v>
      </c>
    </row>
    <row r="6845" spans="8:8" ht="15" customHeight="1" x14ac:dyDescent="0.2">
      <c r="H6845" s="19">
        <v>-2.6443501367381999E-3</v>
      </c>
    </row>
    <row r="6846" spans="8:8" ht="15" customHeight="1" x14ac:dyDescent="0.2">
      <c r="H6846" s="19">
        <v>-1.22685321986037E-2</v>
      </c>
    </row>
    <row r="6847" spans="8:8" ht="15" customHeight="1" x14ac:dyDescent="0.2">
      <c r="H6847" s="19">
        <v>-5.2820435275312098E-3</v>
      </c>
    </row>
    <row r="6848" spans="8:8" ht="15" customHeight="1" x14ac:dyDescent="0.2">
      <c r="H6848" s="19">
        <v>1.49300445688779E-2</v>
      </c>
    </row>
    <row r="6849" spans="8:8" ht="15" customHeight="1" x14ac:dyDescent="0.2">
      <c r="H6849" s="19">
        <v>-1.0560749668779E-2</v>
      </c>
    </row>
    <row r="6850" spans="8:8" ht="15" customHeight="1" x14ac:dyDescent="0.2">
      <c r="H6850" s="19">
        <v>-1.21139333718545E-3</v>
      </c>
    </row>
    <row r="6851" spans="8:8" ht="15" customHeight="1" x14ac:dyDescent="0.2">
      <c r="H6851" s="19">
        <v>1.6229273342806699E-2</v>
      </c>
    </row>
    <row r="6852" spans="8:8" ht="15" customHeight="1" x14ac:dyDescent="0.2">
      <c r="H6852" s="19">
        <v>5.2611835189934298E-3</v>
      </c>
    </row>
    <row r="6853" spans="8:8" ht="15" customHeight="1" x14ac:dyDescent="0.2">
      <c r="H6853" s="19">
        <v>3.8062203937620602E-3</v>
      </c>
    </row>
    <row r="6854" spans="8:8" ht="15" customHeight="1" x14ac:dyDescent="0.2">
      <c r="H6854" s="19">
        <v>-6.7847210349408701E-3</v>
      </c>
    </row>
    <row r="6855" spans="8:8" ht="15" customHeight="1" x14ac:dyDescent="0.2">
      <c r="H6855" s="19">
        <v>-9.3065607049607803E-4</v>
      </c>
    </row>
    <row r="6856" spans="8:8" ht="15" customHeight="1" x14ac:dyDescent="0.2">
      <c r="H6856" s="19">
        <v>1.40547729294447E-4</v>
      </c>
    </row>
    <row r="6857" spans="8:8" ht="15" customHeight="1" x14ac:dyDescent="0.2">
      <c r="H6857" s="19">
        <v>1.1531160695111399E-2</v>
      </c>
    </row>
    <row r="6858" spans="8:8" ht="15" customHeight="1" x14ac:dyDescent="0.2">
      <c r="H6858" s="19">
        <v>-3.0684068849407399E-4</v>
      </c>
    </row>
    <row r="6859" spans="8:8" ht="15" customHeight="1" x14ac:dyDescent="0.2">
      <c r="H6859" s="19">
        <v>4.9178741805087499E-4</v>
      </c>
    </row>
    <row r="6860" spans="8:8" ht="15" customHeight="1" x14ac:dyDescent="0.2">
      <c r="H6860" s="19">
        <v>4.9137148101307199E-3</v>
      </c>
    </row>
    <row r="6861" spans="8:8" ht="15" customHeight="1" x14ac:dyDescent="0.2">
      <c r="H6861" s="19">
        <v>3.6551645566950501E-3</v>
      </c>
    </row>
    <row r="6862" spans="8:8" ht="15" customHeight="1" x14ac:dyDescent="0.2">
      <c r="H6862" s="19">
        <v>4.2199363458753801E-3</v>
      </c>
    </row>
    <row r="6863" spans="8:8" ht="15" customHeight="1" x14ac:dyDescent="0.2">
      <c r="H6863" s="19">
        <v>1.46419211202775E-2</v>
      </c>
    </row>
    <row r="6864" spans="8:8" ht="15" customHeight="1" x14ac:dyDescent="0.2">
      <c r="H6864" s="19">
        <v>-6.2038596704393498E-3</v>
      </c>
    </row>
    <row r="6865" spans="8:8" ht="15" customHeight="1" x14ac:dyDescent="0.2">
      <c r="H6865" s="19">
        <v>-1.31886830251108E-2</v>
      </c>
    </row>
    <row r="6866" spans="8:8" ht="15" customHeight="1" x14ac:dyDescent="0.2">
      <c r="H6866" s="19">
        <v>-2.3881069330712202E-3</v>
      </c>
    </row>
    <row r="6867" spans="8:8" ht="15" customHeight="1" x14ac:dyDescent="0.2">
      <c r="H6867" s="19">
        <v>-2.0184822543754099E-2</v>
      </c>
    </row>
    <row r="6868" spans="8:8" ht="15" customHeight="1" x14ac:dyDescent="0.2">
      <c r="H6868" s="19">
        <v>-1.1083715472673601E-2</v>
      </c>
    </row>
    <row r="6869" spans="8:8" ht="15" customHeight="1" x14ac:dyDescent="0.2">
      <c r="H6869" s="19">
        <v>4.4308576641424796E-3</v>
      </c>
    </row>
    <row r="6870" spans="8:8" ht="15" customHeight="1" x14ac:dyDescent="0.2">
      <c r="H6870" s="19">
        <v>-6.8755354372779199E-3</v>
      </c>
    </row>
    <row r="6871" spans="8:8" ht="15" customHeight="1" x14ac:dyDescent="0.2">
      <c r="H6871" s="19">
        <v>-6.9997709217617899E-3</v>
      </c>
    </row>
    <row r="6872" spans="8:8" ht="15" customHeight="1" x14ac:dyDescent="0.2">
      <c r="H6872" s="19">
        <v>-8.5910797962596205E-3</v>
      </c>
    </row>
    <row r="6873" spans="8:8" ht="15" customHeight="1" x14ac:dyDescent="0.2">
      <c r="H6873" s="19">
        <v>1.2022108959727799E-3</v>
      </c>
    </row>
    <row r="6874" spans="8:8" ht="15" customHeight="1" x14ac:dyDescent="0.2">
      <c r="H6874" s="19">
        <v>3.6687524872555698E-4</v>
      </c>
    </row>
    <row r="6875" spans="8:8" ht="15" customHeight="1" x14ac:dyDescent="0.2">
      <c r="H6875" s="19">
        <v>-3.71468279824451E-3</v>
      </c>
    </row>
    <row r="6876" spans="8:8" ht="15" customHeight="1" x14ac:dyDescent="0.2">
      <c r="H6876" s="19">
        <v>6.79632957887922E-3</v>
      </c>
    </row>
    <row r="6877" spans="8:8" ht="15" customHeight="1" x14ac:dyDescent="0.2">
      <c r="H6877" s="19">
        <v>4.0711014274509103E-3</v>
      </c>
    </row>
    <row r="6878" spans="8:8" ht="15" customHeight="1" x14ac:dyDescent="0.2">
      <c r="H6878" s="19">
        <v>3.0311368328378701E-3</v>
      </c>
    </row>
    <row r="6879" spans="8:8" ht="15" customHeight="1" x14ac:dyDescent="0.2">
      <c r="H6879" s="19">
        <v>1.67051528193355E-2</v>
      </c>
    </row>
    <row r="6880" spans="8:8" ht="15" customHeight="1" x14ac:dyDescent="0.2">
      <c r="H6880" s="19">
        <v>-6.0455059900898301E-3</v>
      </c>
    </row>
    <row r="6881" spans="8:8" ht="15" customHeight="1" x14ac:dyDescent="0.2">
      <c r="H6881" s="19">
        <v>4.9215932199476904E-3</v>
      </c>
    </row>
    <row r="6882" spans="8:8" ht="15" customHeight="1" x14ac:dyDescent="0.2">
      <c r="H6882" s="19">
        <v>-6.9886732078389699E-3</v>
      </c>
    </row>
    <row r="6883" spans="8:8" ht="15" customHeight="1" x14ac:dyDescent="0.2">
      <c r="H6883" s="19">
        <v>5.8401620555979398E-3</v>
      </c>
    </row>
    <row r="6884" spans="8:8" ht="15" customHeight="1" x14ac:dyDescent="0.2">
      <c r="H6884" s="19">
        <v>-1.22851459120655E-2</v>
      </c>
    </row>
    <row r="6885" spans="8:8" ht="15" customHeight="1" x14ac:dyDescent="0.2">
      <c r="H6885" s="19">
        <v>-5.1076758651645397E-4</v>
      </c>
    </row>
    <row r="6886" spans="8:8" ht="15" customHeight="1" x14ac:dyDescent="0.2">
      <c r="H6886" s="19">
        <v>5.9788602285411798E-3</v>
      </c>
    </row>
    <row r="6887" spans="8:8" ht="15" customHeight="1" x14ac:dyDescent="0.2">
      <c r="H6887" s="19">
        <v>-1.1644852145213399E-2</v>
      </c>
    </row>
    <row r="6888" spans="8:8" ht="15" customHeight="1" x14ac:dyDescent="0.2">
      <c r="H6888" s="19">
        <v>9.2364041545224592E-3</v>
      </c>
    </row>
    <row r="6889" spans="8:8" ht="15" customHeight="1" x14ac:dyDescent="0.2">
      <c r="H6889" s="19">
        <v>-1.5018901260623501E-3</v>
      </c>
    </row>
    <row r="6890" spans="8:8" ht="15" customHeight="1" x14ac:dyDescent="0.2">
      <c r="H6890" s="19">
        <v>1.57895193983795E-3</v>
      </c>
    </row>
    <row r="6891" spans="8:8" ht="15" customHeight="1" x14ac:dyDescent="0.2">
      <c r="H6891" s="19">
        <v>-7.9636799559326295E-3</v>
      </c>
    </row>
    <row r="6892" spans="8:8" ht="15" customHeight="1" x14ac:dyDescent="0.2">
      <c r="H6892" s="19">
        <v>-1.90447731832282E-3</v>
      </c>
    </row>
    <row r="6893" spans="8:8" ht="15" customHeight="1" x14ac:dyDescent="0.2">
      <c r="H6893" s="19">
        <v>1.5022487698606399E-2</v>
      </c>
    </row>
    <row r="6894" spans="8:8" ht="15" customHeight="1" x14ac:dyDescent="0.2">
      <c r="H6894" s="19">
        <v>2.8153037876122101E-2</v>
      </c>
    </row>
    <row r="6895" spans="8:8" ht="15" customHeight="1" x14ac:dyDescent="0.2">
      <c r="H6895" s="19">
        <v>-5.2459176218202699E-3</v>
      </c>
    </row>
    <row r="6896" spans="8:8" ht="15" customHeight="1" x14ac:dyDescent="0.2">
      <c r="H6896" s="19">
        <v>1.06751468898501E-2</v>
      </c>
    </row>
    <row r="6897" spans="8:8" ht="15" customHeight="1" x14ac:dyDescent="0.2">
      <c r="H6897" s="19">
        <v>-1.4006421223487201E-2</v>
      </c>
    </row>
    <row r="6898" spans="8:8" ht="15" customHeight="1" x14ac:dyDescent="0.2">
      <c r="H6898" s="19">
        <v>-4.4011774707055596E-3</v>
      </c>
    </row>
    <row r="6899" spans="8:8" ht="15" customHeight="1" x14ac:dyDescent="0.2">
      <c r="H6899" s="19">
        <v>3.3376494051165499E-3</v>
      </c>
    </row>
    <row r="6900" spans="8:8" ht="15" customHeight="1" x14ac:dyDescent="0.2">
      <c r="H6900" s="19">
        <v>-9.3580123525782606E-3</v>
      </c>
    </row>
    <row r="6901" spans="8:8" ht="15" customHeight="1" x14ac:dyDescent="0.2">
      <c r="H6901" s="19">
        <v>-1.6170275345481801E-2</v>
      </c>
    </row>
    <row r="6902" spans="8:8" ht="15" customHeight="1" x14ac:dyDescent="0.2">
      <c r="H6902" s="19">
        <v>-1.09124874581923E-2</v>
      </c>
    </row>
    <row r="6903" spans="8:8" ht="15" customHeight="1" x14ac:dyDescent="0.2">
      <c r="H6903" s="19">
        <v>-4.9499844385545002E-3</v>
      </c>
    </row>
    <row r="6904" spans="8:8" ht="15" customHeight="1" x14ac:dyDescent="0.2">
      <c r="H6904" s="19">
        <v>-3.8770535107575201E-3</v>
      </c>
    </row>
    <row r="6905" spans="8:8" ht="15" customHeight="1" x14ac:dyDescent="0.2">
      <c r="H6905" s="19">
        <v>1.81251224298484E-2</v>
      </c>
    </row>
    <row r="6906" spans="8:8" ht="15" customHeight="1" x14ac:dyDescent="0.2">
      <c r="H6906" s="19">
        <v>2.4674947713873002E-3</v>
      </c>
    </row>
    <row r="6907" spans="8:8" ht="15" customHeight="1" x14ac:dyDescent="0.2">
      <c r="H6907" s="19">
        <v>-2.7194007852951499E-3</v>
      </c>
    </row>
    <row r="6908" spans="8:8" ht="15" customHeight="1" x14ac:dyDescent="0.2">
      <c r="H6908" s="19">
        <v>-5.7725222376766904E-3</v>
      </c>
    </row>
    <row r="6909" spans="8:8" ht="15" customHeight="1" x14ac:dyDescent="0.2">
      <c r="H6909" s="19">
        <v>-2.0087207151134401E-3</v>
      </c>
    </row>
    <row r="6910" spans="8:8" ht="15" customHeight="1" x14ac:dyDescent="0.2">
      <c r="H6910" s="19">
        <v>-5.2945210491961098E-3</v>
      </c>
    </row>
    <row r="6911" spans="8:8" ht="15" customHeight="1" x14ac:dyDescent="0.2">
      <c r="H6911" s="19">
        <v>1.5456888520141199E-2</v>
      </c>
    </row>
    <row r="6912" spans="8:8" ht="15" customHeight="1" x14ac:dyDescent="0.2">
      <c r="H6912" s="19">
        <v>-3.7758847547249199E-4</v>
      </c>
    </row>
    <row r="6913" spans="8:8" ht="15" customHeight="1" x14ac:dyDescent="0.2">
      <c r="H6913" s="19">
        <v>8.2558189740699894E-3</v>
      </c>
    </row>
    <row r="6914" spans="8:8" ht="15" customHeight="1" x14ac:dyDescent="0.2">
      <c r="H6914" s="19">
        <v>4.5093602570591399E-4</v>
      </c>
    </row>
    <row r="6915" spans="8:8" ht="15" customHeight="1" x14ac:dyDescent="0.2">
      <c r="H6915" s="19">
        <v>-2.9775310190491302E-3</v>
      </c>
    </row>
    <row r="6916" spans="8:8" ht="15" customHeight="1" x14ac:dyDescent="0.2">
      <c r="H6916" s="19">
        <v>5.4462115981112197E-3</v>
      </c>
    </row>
    <row r="6917" spans="8:8" ht="15" customHeight="1" x14ac:dyDescent="0.2">
      <c r="H6917" s="19">
        <v>5.2346219657723797E-3</v>
      </c>
    </row>
    <row r="6918" spans="8:8" ht="15" customHeight="1" x14ac:dyDescent="0.2">
      <c r="H6918" s="19">
        <v>4.6428232142469101E-3</v>
      </c>
    </row>
    <row r="6919" spans="8:8" ht="15" customHeight="1" x14ac:dyDescent="0.2">
      <c r="H6919" s="19">
        <v>1.2061960780827699E-2</v>
      </c>
    </row>
    <row r="6920" spans="8:8" ht="15" customHeight="1" x14ac:dyDescent="0.2">
      <c r="H6920" s="19">
        <v>-2.3878683805819202E-3</v>
      </c>
    </row>
    <row r="6921" spans="8:8" ht="15" customHeight="1" x14ac:dyDescent="0.2">
      <c r="H6921" s="19">
        <v>-2.0158086449878002E-2</v>
      </c>
    </row>
    <row r="6922" spans="8:8" ht="15" customHeight="1" x14ac:dyDescent="0.2">
      <c r="H6922" s="19">
        <v>3.2391428688155499E-3</v>
      </c>
    </row>
    <row r="6923" spans="8:8" ht="15" customHeight="1" x14ac:dyDescent="0.2">
      <c r="H6923" s="19">
        <v>4.1796364594186104E-3</v>
      </c>
    </row>
    <row r="6924" spans="8:8" ht="15" customHeight="1" x14ac:dyDescent="0.2">
      <c r="H6924" s="19">
        <v>3.5048088397223601E-3</v>
      </c>
    </row>
    <row r="6925" spans="8:8" ht="15" customHeight="1" x14ac:dyDescent="0.2">
      <c r="H6925" s="19">
        <v>-7.7996432695890102E-3</v>
      </c>
    </row>
    <row r="6926" spans="8:8" ht="15" customHeight="1" x14ac:dyDescent="0.2">
      <c r="H6926" s="19">
        <v>6.46417425798419E-3</v>
      </c>
    </row>
    <row r="6927" spans="8:8" ht="15" customHeight="1" x14ac:dyDescent="0.2">
      <c r="H6927" s="19">
        <v>5.3823092680214896E-3</v>
      </c>
    </row>
    <row r="6928" spans="8:8" ht="15" customHeight="1" x14ac:dyDescent="0.2">
      <c r="H6928" s="19">
        <v>7.01001273135992E-3</v>
      </c>
    </row>
    <row r="6929" spans="8:8" ht="15" customHeight="1" x14ac:dyDescent="0.2">
      <c r="H6929" s="19">
        <v>-6.2495944702655798E-3</v>
      </c>
    </row>
    <row r="6930" spans="8:8" ht="15" customHeight="1" x14ac:dyDescent="0.2">
      <c r="H6930" s="19">
        <v>1.1529508734620299E-2</v>
      </c>
    </row>
    <row r="6931" spans="8:8" ht="15" customHeight="1" x14ac:dyDescent="0.2">
      <c r="H6931" s="19">
        <v>-2.3125879695449002E-3</v>
      </c>
    </row>
    <row r="6932" spans="8:8" ht="15" customHeight="1" x14ac:dyDescent="0.2">
      <c r="H6932" s="19">
        <v>6.7769577604117103E-3</v>
      </c>
    </row>
    <row r="6933" spans="8:8" ht="15" customHeight="1" x14ac:dyDescent="0.2">
      <c r="H6933" s="19">
        <v>1.83605441044393E-2</v>
      </c>
    </row>
    <row r="6934" spans="8:8" ht="15" customHeight="1" x14ac:dyDescent="0.2">
      <c r="H6934" s="19">
        <v>-1.1075189116861299E-2</v>
      </c>
    </row>
    <row r="6935" spans="8:8" ht="15" customHeight="1" x14ac:dyDescent="0.2">
      <c r="H6935" s="19">
        <v>-2.6803377068630799E-3</v>
      </c>
    </row>
    <row r="6936" spans="8:8" ht="15" customHeight="1" x14ac:dyDescent="0.2">
      <c r="H6936" s="19">
        <v>-2.5980555590495E-3</v>
      </c>
    </row>
    <row r="6937" spans="8:8" ht="15" customHeight="1" x14ac:dyDescent="0.2">
      <c r="H6937" s="19">
        <v>1.6182960264892299E-2</v>
      </c>
    </row>
    <row r="6938" spans="8:8" ht="15" customHeight="1" x14ac:dyDescent="0.2">
      <c r="H6938" s="19">
        <v>1.80279458650928E-2</v>
      </c>
    </row>
    <row r="6939" spans="8:8" ht="15" customHeight="1" x14ac:dyDescent="0.2">
      <c r="H6939" s="19">
        <v>5.1673319499173703E-3</v>
      </c>
    </row>
    <row r="6940" spans="8:8" ht="15" customHeight="1" x14ac:dyDescent="0.2">
      <c r="H6940" s="19">
        <v>3.4004377930070798E-3</v>
      </c>
    </row>
    <row r="6941" spans="8:8" ht="15" customHeight="1" x14ac:dyDescent="0.2">
      <c r="H6941" s="19">
        <v>6.8869261888095199E-3</v>
      </c>
    </row>
    <row r="6942" spans="8:8" ht="15" customHeight="1" x14ac:dyDescent="0.2">
      <c r="H6942" s="19">
        <v>9.7463128901440505E-3</v>
      </c>
    </row>
    <row r="6943" spans="8:8" ht="15" customHeight="1" x14ac:dyDescent="0.2">
      <c r="H6943" s="19">
        <v>-8.1211112017567193E-3</v>
      </c>
    </row>
    <row r="6944" spans="8:8" ht="15" customHeight="1" x14ac:dyDescent="0.2">
      <c r="H6944" s="19">
        <v>-5.1836140930788298E-3</v>
      </c>
    </row>
    <row r="6945" spans="8:8" ht="15" customHeight="1" x14ac:dyDescent="0.2">
      <c r="H6945" s="19">
        <v>-2.49610105760427E-3</v>
      </c>
    </row>
    <row r="6946" spans="8:8" ht="15" customHeight="1" x14ac:dyDescent="0.2">
      <c r="H6946" s="19">
        <v>1.3033112789712E-2</v>
      </c>
    </row>
    <row r="6947" spans="8:8" ht="15" customHeight="1" x14ac:dyDescent="0.2">
      <c r="H6947" s="19">
        <v>1.3988766098769799E-2</v>
      </c>
    </row>
    <row r="6948" spans="8:8" ht="15" customHeight="1" x14ac:dyDescent="0.2">
      <c r="H6948" s="19">
        <v>-1.15951304914835E-2</v>
      </c>
    </row>
    <row r="6949" spans="8:8" ht="15" customHeight="1" x14ac:dyDescent="0.2">
      <c r="H6949" s="19">
        <v>-6.84666129588451E-3</v>
      </c>
    </row>
    <row r="6950" spans="8:8" ht="15" customHeight="1" x14ac:dyDescent="0.2">
      <c r="H6950" s="19">
        <v>-5.81830094179373E-3</v>
      </c>
    </row>
    <row r="6951" spans="8:8" ht="15" customHeight="1" x14ac:dyDescent="0.2">
      <c r="H6951" s="19">
        <v>-9.9481101368101496E-3</v>
      </c>
    </row>
    <row r="6952" spans="8:8" ht="15" customHeight="1" x14ac:dyDescent="0.2">
      <c r="H6952" s="19">
        <v>-6.5281507002656197E-3</v>
      </c>
    </row>
    <row r="6953" spans="8:8" ht="15" customHeight="1" x14ac:dyDescent="0.2">
      <c r="H6953" s="19">
        <v>-1.9573950579392001E-3</v>
      </c>
    </row>
    <row r="6954" spans="8:8" ht="15" customHeight="1" x14ac:dyDescent="0.2">
      <c r="H6954" s="19">
        <v>-2.3724241579984899E-3</v>
      </c>
    </row>
    <row r="6955" spans="8:8" ht="15" customHeight="1" x14ac:dyDescent="0.2">
      <c r="H6955" s="19">
        <v>-9.3141822472787798E-3</v>
      </c>
    </row>
    <row r="6956" spans="8:8" ht="15" customHeight="1" x14ac:dyDescent="0.2">
      <c r="H6956" s="19">
        <v>-2.9652097513668302E-3</v>
      </c>
    </row>
    <row r="6957" spans="8:8" ht="15" customHeight="1" x14ac:dyDescent="0.2">
      <c r="H6957" s="19">
        <v>1.0979300216261499E-2</v>
      </c>
    </row>
    <row r="6958" spans="8:8" ht="15" customHeight="1" x14ac:dyDescent="0.2">
      <c r="H6958" s="19">
        <v>6.6869507024923799E-3</v>
      </c>
    </row>
    <row r="6959" spans="8:8" ht="15" customHeight="1" x14ac:dyDescent="0.2">
      <c r="H6959" s="19">
        <v>-1.96914976807602E-2</v>
      </c>
    </row>
    <row r="6960" spans="8:8" ht="15" customHeight="1" x14ac:dyDescent="0.2">
      <c r="H6960" s="19">
        <v>-1.85179009496267E-3</v>
      </c>
    </row>
    <row r="6961" spans="8:8" ht="15" customHeight="1" x14ac:dyDescent="0.2">
      <c r="H6961" s="19">
        <v>6.0204746961792397E-3</v>
      </c>
    </row>
    <row r="6962" spans="8:8" ht="15" customHeight="1" x14ac:dyDescent="0.2">
      <c r="H6962" s="19">
        <v>-8.3105228494663496E-4</v>
      </c>
    </row>
    <row r="6963" spans="8:8" ht="15" customHeight="1" x14ac:dyDescent="0.2">
      <c r="H6963" s="19">
        <v>-3.57387444253632E-3</v>
      </c>
    </row>
    <row r="6964" spans="8:8" ht="15" customHeight="1" x14ac:dyDescent="0.2">
      <c r="H6964" s="19">
        <v>9.93445717317527E-3</v>
      </c>
    </row>
    <row r="6965" spans="8:8" ht="15" customHeight="1" x14ac:dyDescent="0.2">
      <c r="H6965" s="19">
        <v>2.4509647284473401E-3</v>
      </c>
    </row>
    <row r="6966" spans="8:8" ht="15" customHeight="1" x14ac:dyDescent="0.2">
      <c r="H6966" s="19">
        <v>1.00858884540344E-2</v>
      </c>
    </row>
    <row r="6967" spans="8:8" ht="15" customHeight="1" x14ac:dyDescent="0.2">
      <c r="H6967" s="19">
        <v>1.41001767301232E-2</v>
      </c>
    </row>
    <row r="6968" spans="8:8" ht="15" customHeight="1" x14ac:dyDescent="0.2">
      <c r="H6968" s="19">
        <v>-2.7750289101470999E-2</v>
      </c>
    </row>
    <row r="6969" spans="8:8" ht="15" customHeight="1" x14ac:dyDescent="0.2">
      <c r="H6969" s="19">
        <v>1.05848182392403E-2</v>
      </c>
    </row>
    <row r="6970" spans="8:8" ht="15" customHeight="1" x14ac:dyDescent="0.2">
      <c r="H6970" s="19">
        <v>9.9375647124965295E-4</v>
      </c>
    </row>
    <row r="6971" spans="8:8" ht="15" customHeight="1" x14ac:dyDescent="0.2">
      <c r="H6971" s="19">
        <v>8.1050336678729906E-3</v>
      </c>
    </row>
    <row r="6972" spans="8:8" ht="15" customHeight="1" x14ac:dyDescent="0.2">
      <c r="H6972" s="19">
        <v>1.55125840766819E-2</v>
      </c>
    </row>
    <row r="6973" spans="8:8" ht="15" customHeight="1" x14ac:dyDescent="0.2">
      <c r="H6973" s="19">
        <v>-7.7531213485577503E-3</v>
      </c>
    </row>
    <row r="6974" spans="8:8" ht="15" customHeight="1" x14ac:dyDescent="0.2">
      <c r="H6974" s="19">
        <v>-5.5966580709353401E-3</v>
      </c>
    </row>
    <row r="6975" spans="8:8" ht="15" customHeight="1" x14ac:dyDescent="0.2">
      <c r="H6975" s="19">
        <v>4.3027400317909902E-3</v>
      </c>
    </row>
    <row r="6976" spans="8:8" ht="15" customHeight="1" x14ac:dyDescent="0.2">
      <c r="H6976" s="19">
        <v>7.29882452122892E-3</v>
      </c>
    </row>
    <row r="6977" spans="8:8" ht="15" customHeight="1" x14ac:dyDescent="0.2">
      <c r="H6977" s="19">
        <v>-7.7853318573699801E-3</v>
      </c>
    </row>
    <row r="6978" spans="8:8" ht="15" customHeight="1" x14ac:dyDescent="0.2">
      <c r="H6978" s="19">
        <v>1.6190702516252499E-3</v>
      </c>
    </row>
    <row r="6979" spans="8:8" ht="15" customHeight="1" x14ac:dyDescent="0.2">
      <c r="H6979" s="19">
        <v>2.7804242403760698E-3</v>
      </c>
    </row>
    <row r="6980" spans="8:8" ht="15" customHeight="1" x14ac:dyDescent="0.2">
      <c r="H6980" s="19">
        <v>-4.0136716922742701E-4</v>
      </c>
    </row>
    <row r="6981" spans="8:8" ht="15" customHeight="1" x14ac:dyDescent="0.2">
      <c r="H6981" s="19">
        <v>-1.1110591632531201E-2</v>
      </c>
    </row>
    <row r="6982" spans="8:8" ht="15" customHeight="1" x14ac:dyDescent="0.2">
      <c r="H6982" s="19">
        <v>-2.9735722189730699E-2</v>
      </c>
    </row>
    <row r="6983" spans="8:8" ht="15" customHeight="1" x14ac:dyDescent="0.2">
      <c r="H6983" s="19">
        <v>-7.5697949356719803E-3</v>
      </c>
    </row>
    <row r="6984" spans="8:8" ht="15" customHeight="1" x14ac:dyDescent="0.2">
      <c r="H6984" s="19">
        <v>1.0342010697225699E-2</v>
      </c>
    </row>
    <row r="6985" spans="8:8" ht="15" customHeight="1" x14ac:dyDescent="0.2">
      <c r="H6985" s="19">
        <v>-4.9533733653418198E-3</v>
      </c>
    </row>
    <row r="6986" spans="8:8" ht="15" customHeight="1" x14ac:dyDescent="0.2">
      <c r="H6986" s="19">
        <v>-8.3781144159319806E-3</v>
      </c>
    </row>
    <row r="6987" spans="8:8" ht="15" customHeight="1" x14ac:dyDescent="0.2">
      <c r="H6987" s="19">
        <v>9.5267999398153808E-3</v>
      </c>
    </row>
    <row r="6988" spans="8:8" ht="15" customHeight="1" x14ac:dyDescent="0.2">
      <c r="H6988" s="19">
        <v>-1.1473091192438801E-2</v>
      </c>
    </row>
    <row r="6989" spans="8:8" ht="15" customHeight="1" x14ac:dyDescent="0.2">
      <c r="H6989" s="19">
        <v>2.1261755810778001E-2</v>
      </c>
    </row>
    <row r="6990" spans="8:8" ht="15" customHeight="1" x14ac:dyDescent="0.2">
      <c r="H6990" s="19">
        <v>1.10267359235173E-4</v>
      </c>
    </row>
    <row r="6991" spans="8:8" ht="15" customHeight="1" x14ac:dyDescent="0.2">
      <c r="H6991" s="19">
        <v>-1.1886512298523E-2</v>
      </c>
    </row>
    <row r="6992" spans="8:8" ht="15" customHeight="1" x14ac:dyDescent="0.2">
      <c r="H6992" s="19">
        <v>-3.92178533362607E-3</v>
      </c>
    </row>
    <row r="6993" spans="8:8" ht="15" customHeight="1" x14ac:dyDescent="0.2">
      <c r="H6993" s="19">
        <v>5.2131164918069704E-3</v>
      </c>
    </row>
    <row r="6994" spans="8:8" ht="15" customHeight="1" x14ac:dyDescent="0.2">
      <c r="H6994" s="19">
        <v>-4.5889564689636899E-3</v>
      </c>
    </row>
    <row r="6995" spans="8:8" ht="15" customHeight="1" x14ac:dyDescent="0.2">
      <c r="H6995" s="19">
        <v>3.7022274793553698E-3</v>
      </c>
    </row>
    <row r="6996" spans="8:8" ht="15" customHeight="1" x14ac:dyDescent="0.2">
      <c r="H6996" s="19">
        <v>-6.35606994103456E-3</v>
      </c>
    </row>
    <row r="6997" spans="8:8" ht="15" customHeight="1" x14ac:dyDescent="0.2">
      <c r="H6997" s="19">
        <v>1.08409698655559E-2</v>
      </c>
    </row>
    <row r="6998" spans="8:8" ht="15" customHeight="1" x14ac:dyDescent="0.2">
      <c r="H6998" s="19">
        <v>-4.4004804261403296E-3</v>
      </c>
    </row>
    <row r="6999" spans="8:8" ht="15" customHeight="1" x14ac:dyDescent="0.2">
      <c r="H6999" s="19">
        <v>1.4067961414245799E-2</v>
      </c>
    </row>
    <row r="7000" spans="8:8" ht="15" customHeight="1" x14ac:dyDescent="0.2">
      <c r="H7000" s="19">
        <v>5.6010236713771599E-4</v>
      </c>
    </row>
    <row r="7001" spans="8:8" ht="15" customHeight="1" x14ac:dyDescent="0.2">
      <c r="H7001" s="19">
        <v>1.16465667533094E-2</v>
      </c>
    </row>
    <row r="7002" spans="8:8" ht="15" customHeight="1" x14ac:dyDescent="0.2">
      <c r="H7002" s="19">
        <v>-1.8480576479255099E-2</v>
      </c>
    </row>
    <row r="7003" spans="8:8" ht="15" customHeight="1" x14ac:dyDescent="0.2">
      <c r="H7003" s="19">
        <v>-1.8574899550882099E-2</v>
      </c>
    </row>
    <row r="7004" spans="8:8" ht="15" customHeight="1" x14ac:dyDescent="0.2">
      <c r="H7004" s="19">
        <v>-1.4538514092954801E-2</v>
      </c>
    </row>
    <row r="7005" spans="8:8" ht="15" customHeight="1" x14ac:dyDescent="0.2">
      <c r="H7005" s="19">
        <v>7.2483652756679404E-3</v>
      </c>
    </row>
    <row r="7006" spans="8:8" ht="15" customHeight="1" x14ac:dyDescent="0.2">
      <c r="H7006" s="19">
        <v>1.4700397833947301E-2</v>
      </c>
    </row>
    <row r="7007" spans="8:8" ht="15" customHeight="1" x14ac:dyDescent="0.2">
      <c r="H7007" s="19">
        <v>3.0923458273756101E-3</v>
      </c>
    </row>
    <row r="7008" spans="8:8" ht="15" customHeight="1" x14ac:dyDescent="0.2">
      <c r="H7008" s="19">
        <v>-6.9557707730516396E-4</v>
      </c>
    </row>
    <row r="7009" spans="8:8" ht="15" customHeight="1" x14ac:dyDescent="0.2">
      <c r="H7009" s="19">
        <v>5.0121972743111601E-3</v>
      </c>
    </row>
    <row r="7010" spans="8:8" ht="15" customHeight="1" x14ac:dyDescent="0.2">
      <c r="H7010" s="19">
        <v>-4.5142473047522797E-3</v>
      </c>
    </row>
    <row r="7011" spans="8:8" ht="15" customHeight="1" x14ac:dyDescent="0.2">
      <c r="H7011" s="19">
        <v>-4.3830002946575004E-3</v>
      </c>
    </row>
    <row r="7012" spans="8:8" ht="15" customHeight="1" x14ac:dyDescent="0.2">
      <c r="H7012" s="19">
        <v>-6.0592391640463903E-3</v>
      </c>
    </row>
    <row r="7013" spans="8:8" ht="15" customHeight="1" x14ac:dyDescent="0.2">
      <c r="H7013" s="19">
        <v>-1.0257245995975901E-3</v>
      </c>
    </row>
    <row r="7014" spans="8:8" ht="15" customHeight="1" x14ac:dyDescent="0.2">
      <c r="H7014" s="19">
        <v>-1.18332442433021E-3</v>
      </c>
    </row>
    <row r="7015" spans="8:8" ht="15" customHeight="1" x14ac:dyDescent="0.2">
      <c r="H7015" s="19">
        <v>-1.2862026698321699E-2</v>
      </c>
    </row>
    <row r="7016" spans="8:8" ht="15" customHeight="1" x14ac:dyDescent="0.2">
      <c r="H7016" s="19">
        <v>-1.2418345694294499E-2</v>
      </c>
    </row>
    <row r="7017" spans="8:8" ht="15" customHeight="1" x14ac:dyDescent="0.2">
      <c r="H7017" s="19">
        <v>-1.6180325977130899E-2</v>
      </c>
    </row>
    <row r="7018" spans="8:8" ht="15" customHeight="1" x14ac:dyDescent="0.2">
      <c r="H7018" s="19">
        <v>1.7190623579436601E-2</v>
      </c>
    </row>
    <row r="7019" spans="8:8" ht="15" customHeight="1" x14ac:dyDescent="0.2">
      <c r="H7019" s="19">
        <v>1.1246362613381401E-2</v>
      </c>
    </row>
    <row r="7020" spans="8:8" ht="15" customHeight="1" x14ac:dyDescent="0.2">
      <c r="H7020" s="19">
        <v>7.8678720824074105E-3</v>
      </c>
    </row>
    <row r="7021" spans="8:8" ht="15" customHeight="1" x14ac:dyDescent="0.2">
      <c r="H7021" s="19">
        <v>2.0275419940737199E-2</v>
      </c>
    </row>
    <row r="7022" spans="8:8" ht="15" customHeight="1" x14ac:dyDescent="0.2">
      <c r="H7022" s="19">
        <v>2.35505284721084E-3</v>
      </c>
    </row>
    <row r="7023" spans="8:8" ht="15" customHeight="1" x14ac:dyDescent="0.2">
      <c r="H7023" s="19">
        <v>-2.4322959262966098E-2</v>
      </c>
    </row>
    <row r="7024" spans="8:8" ht="15" customHeight="1" x14ac:dyDescent="0.2">
      <c r="H7024" s="19">
        <v>1.6259224929054399E-3</v>
      </c>
    </row>
    <row r="7025" spans="8:8" ht="15" customHeight="1" x14ac:dyDescent="0.2">
      <c r="H7025" s="19">
        <v>-4.6604243787343397E-3</v>
      </c>
    </row>
    <row r="7026" spans="8:8" ht="15" customHeight="1" x14ac:dyDescent="0.2">
      <c r="H7026" s="19">
        <v>1.5448304927554099E-3</v>
      </c>
    </row>
    <row r="7027" spans="8:8" ht="15" customHeight="1" x14ac:dyDescent="0.2">
      <c r="H7027" s="19">
        <v>2.8145842033674498E-3</v>
      </c>
    </row>
    <row r="7028" spans="8:8" ht="15" customHeight="1" x14ac:dyDescent="0.2">
      <c r="H7028" s="19">
        <v>9.5599105418463191E-3</v>
      </c>
    </row>
    <row r="7029" spans="8:8" ht="15" customHeight="1" x14ac:dyDescent="0.2">
      <c r="H7029" s="19">
        <v>-5.2711399981616603E-3</v>
      </c>
    </row>
    <row r="7030" spans="8:8" ht="15" customHeight="1" x14ac:dyDescent="0.2">
      <c r="H7030" s="19">
        <v>3.7611283278638002E-3</v>
      </c>
    </row>
    <row r="7031" spans="8:8" ht="15" customHeight="1" x14ac:dyDescent="0.2">
      <c r="H7031" s="19">
        <v>5.0486920253245198E-3</v>
      </c>
    </row>
    <row r="7032" spans="8:8" ht="15" customHeight="1" x14ac:dyDescent="0.2">
      <c r="H7032" s="19">
        <v>-1.1065389986815201E-2</v>
      </c>
    </row>
    <row r="7033" spans="8:8" ht="15" customHeight="1" x14ac:dyDescent="0.2">
      <c r="H7033" s="19">
        <v>-9.4945007105623198E-4</v>
      </c>
    </row>
    <row r="7034" spans="8:8" ht="15" customHeight="1" x14ac:dyDescent="0.2">
      <c r="H7034" s="19">
        <v>1.6563916573250199E-2</v>
      </c>
    </row>
    <row r="7035" spans="8:8" ht="15" customHeight="1" x14ac:dyDescent="0.2">
      <c r="H7035" s="19">
        <v>-1.0649397581164601E-2</v>
      </c>
    </row>
    <row r="7036" spans="8:8" ht="15" customHeight="1" x14ac:dyDescent="0.2">
      <c r="H7036" s="19">
        <v>6.5863955372171398E-3</v>
      </c>
    </row>
    <row r="7037" spans="8:8" ht="15" customHeight="1" x14ac:dyDescent="0.2">
      <c r="H7037" s="19">
        <v>-6.9460419051236098E-3</v>
      </c>
    </row>
    <row r="7038" spans="8:8" ht="15" customHeight="1" x14ac:dyDescent="0.2">
      <c r="H7038" s="19">
        <v>1.0675999401898E-3</v>
      </c>
    </row>
    <row r="7039" spans="8:8" ht="15" customHeight="1" x14ac:dyDescent="0.2">
      <c r="H7039" s="19">
        <v>1.70625928942926E-2</v>
      </c>
    </row>
    <row r="7040" spans="8:8" ht="15" customHeight="1" x14ac:dyDescent="0.2">
      <c r="H7040" s="19">
        <v>-5.8535662080080103E-3</v>
      </c>
    </row>
    <row r="7041" spans="8:8" ht="15" customHeight="1" x14ac:dyDescent="0.2">
      <c r="H7041" s="19">
        <v>-1.07960398985445E-2</v>
      </c>
    </row>
    <row r="7042" spans="8:8" ht="15" customHeight="1" x14ac:dyDescent="0.2">
      <c r="H7042" s="19">
        <v>7.9637030179487908E-3</v>
      </c>
    </row>
    <row r="7043" spans="8:8" ht="15" customHeight="1" x14ac:dyDescent="0.2">
      <c r="H7043" s="19">
        <v>1.3274609874336101E-3</v>
      </c>
    </row>
    <row r="7044" spans="8:8" ht="15" customHeight="1" x14ac:dyDescent="0.2">
      <c r="H7044" s="19">
        <v>-1.7053031535661099E-2</v>
      </c>
    </row>
    <row r="7045" spans="8:8" ht="15" customHeight="1" x14ac:dyDescent="0.2">
      <c r="H7045" s="19">
        <v>1.9297916666505301E-3</v>
      </c>
    </row>
    <row r="7046" spans="8:8" ht="15" customHeight="1" x14ac:dyDescent="0.2">
      <c r="H7046" s="19">
        <v>1.26198960250462E-3</v>
      </c>
    </row>
    <row r="7047" spans="8:8" ht="15" customHeight="1" x14ac:dyDescent="0.2">
      <c r="H7047" s="19">
        <v>1.2258682173175E-2</v>
      </c>
    </row>
    <row r="7048" spans="8:8" ht="15" customHeight="1" x14ac:dyDescent="0.2">
      <c r="H7048" s="19">
        <v>-1.6291286865877601E-2</v>
      </c>
    </row>
    <row r="7049" spans="8:8" ht="15" customHeight="1" x14ac:dyDescent="0.2">
      <c r="H7049" s="19">
        <v>8.8621179223465595E-3</v>
      </c>
    </row>
    <row r="7050" spans="8:8" ht="15" customHeight="1" x14ac:dyDescent="0.2">
      <c r="H7050" s="19">
        <v>-6.12698371907483E-3</v>
      </c>
    </row>
    <row r="7051" spans="8:8" ht="15" customHeight="1" x14ac:dyDescent="0.2">
      <c r="H7051" s="19">
        <v>5.4890887256140199E-3</v>
      </c>
    </row>
    <row r="7052" spans="8:8" ht="15" customHeight="1" x14ac:dyDescent="0.2">
      <c r="H7052" s="19">
        <v>1.49383913788002E-2</v>
      </c>
    </row>
    <row r="7053" spans="8:8" ht="15" customHeight="1" x14ac:dyDescent="0.2">
      <c r="H7053" s="19">
        <v>-1.3508810066645701E-2</v>
      </c>
    </row>
    <row r="7054" spans="8:8" ht="15" customHeight="1" x14ac:dyDescent="0.2">
      <c r="H7054" s="19">
        <v>-8.4674747692621791E-3</v>
      </c>
    </row>
    <row r="7055" spans="8:8" ht="15" customHeight="1" x14ac:dyDescent="0.2">
      <c r="H7055" s="19">
        <v>1.44949789849298E-2</v>
      </c>
    </row>
    <row r="7056" spans="8:8" ht="15" customHeight="1" x14ac:dyDescent="0.2">
      <c r="H7056" s="19">
        <v>1.164100929348E-2</v>
      </c>
    </row>
    <row r="7057" spans="8:8" ht="15" customHeight="1" x14ac:dyDescent="0.2">
      <c r="H7057" s="19">
        <v>5.6512742001238797E-3</v>
      </c>
    </row>
    <row r="7058" spans="8:8" ht="15" customHeight="1" x14ac:dyDescent="0.2">
      <c r="H7058" s="19">
        <v>-1.0902838636337E-3</v>
      </c>
    </row>
    <row r="7059" spans="8:8" ht="15" customHeight="1" x14ac:dyDescent="0.2">
      <c r="H7059" s="19">
        <v>1.2372960492876299E-2</v>
      </c>
    </row>
    <row r="7060" spans="8:8" ht="15" customHeight="1" x14ac:dyDescent="0.2">
      <c r="H7060" s="19">
        <v>7.8185354471916099E-3</v>
      </c>
    </row>
    <row r="7061" spans="8:8" ht="15" customHeight="1" x14ac:dyDescent="0.2">
      <c r="H7061" s="19">
        <v>-1.5925591758481902E-2</v>
      </c>
    </row>
    <row r="7062" spans="8:8" ht="15" customHeight="1" x14ac:dyDescent="0.2">
      <c r="H7062" s="19">
        <v>-2.94293467383907E-3</v>
      </c>
    </row>
    <row r="7063" spans="8:8" ht="15" customHeight="1" x14ac:dyDescent="0.2">
      <c r="H7063" s="19">
        <v>-2.6470405260819599E-3</v>
      </c>
    </row>
    <row r="7064" spans="8:8" ht="15" customHeight="1" x14ac:dyDescent="0.2">
      <c r="H7064" s="19">
        <v>1.00333187406304E-2</v>
      </c>
    </row>
    <row r="7065" spans="8:8" ht="15" customHeight="1" x14ac:dyDescent="0.2">
      <c r="H7065" s="19">
        <v>-1.23884384711544E-2</v>
      </c>
    </row>
    <row r="7066" spans="8:8" ht="15" customHeight="1" x14ac:dyDescent="0.2">
      <c r="H7066" s="19">
        <v>-6.1407734280636197E-3</v>
      </c>
    </row>
    <row r="7067" spans="8:8" ht="15" customHeight="1" x14ac:dyDescent="0.2">
      <c r="H7067" s="19">
        <v>1.6765453866616799E-2</v>
      </c>
    </row>
    <row r="7068" spans="8:8" ht="15" customHeight="1" x14ac:dyDescent="0.2">
      <c r="H7068" s="19">
        <v>5.0914083179517703E-3</v>
      </c>
    </row>
    <row r="7069" spans="8:8" ht="15" customHeight="1" x14ac:dyDescent="0.2">
      <c r="H7069" s="19">
        <v>1.8156057404416701E-3</v>
      </c>
    </row>
    <row r="7070" spans="8:8" ht="15" customHeight="1" x14ac:dyDescent="0.2">
      <c r="H7070" s="19">
        <v>4.7149968863882596E-3</v>
      </c>
    </row>
    <row r="7071" spans="8:8" ht="15" customHeight="1" x14ac:dyDescent="0.2">
      <c r="H7071" s="19">
        <v>4.5736940894266697E-3</v>
      </c>
    </row>
    <row r="7072" spans="8:8" ht="15" customHeight="1" x14ac:dyDescent="0.2">
      <c r="H7072" s="19">
        <v>1.26660575545283E-2</v>
      </c>
    </row>
    <row r="7073" spans="8:8" ht="15" customHeight="1" x14ac:dyDescent="0.2">
      <c r="H7073" s="19">
        <v>-8.17036022106544E-3</v>
      </c>
    </row>
    <row r="7074" spans="8:8" ht="15" customHeight="1" x14ac:dyDescent="0.2">
      <c r="H7074" s="19">
        <v>7.3181262308663897E-3</v>
      </c>
    </row>
    <row r="7075" spans="8:8" ht="15" customHeight="1" x14ac:dyDescent="0.2">
      <c r="H7075" s="19">
        <v>-8.6906350729152497E-4</v>
      </c>
    </row>
    <row r="7076" spans="8:8" ht="15" customHeight="1" x14ac:dyDescent="0.2">
      <c r="H7076" s="19">
        <v>-1.0945177565391099E-3</v>
      </c>
    </row>
    <row r="7077" spans="8:8" ht="15" customHeight="1" x14ac:dyDescent="0.2">
      <c r="H7077" s="19">
        <v>-1.09136549274403E-2</v>
      </c>
    </row>
    <row r="7078" spans="8:8" ht="15" customHeight="1" x14ac:dyDescent="0.2">
      <c r="H7078" s="19">
        <v>-4.9218599260238503E-3</v>
      </c>
    </row>
    <row r="7079" spans="8:8" ht="15" customHeight="1" x14ac:dyDescent="0.2">
      <c r="H7079" s="19">
        <v>1.6153361674125202E-2</v>
      </c>
    </row>
    <row r="7080" spans="8:8" ht="15" customHeight="1" x14ac:dyDescent="0.2">
      <c r="H7080" s="19">
        <v>1.14284636605949E-2</v>
      </c>
    </row>
    <row r="7081" spans="8:8" ht="15" customHeight="1" x14ac:dyDescent="0.2">
      <c r="H7081" s="19">
        <v>1.26419862969918E-3</v>
      </c>
    </row>
    <row r="7082" spans="8:8" ht="15" customHeight="1" x14ac:dyDescent="0.2">
      <c r="H7082" s="19">
        <v>7.4255425415365502E-3</v>
      </c>
    </row>
    <row r="7083" spans="8:8" ht="15" customHeight="1" x14ac:dyDescent="0.2">
      <c r="H7083" s="19">
        <v>-2.2525991283389401E-2</v>
      </c>
    </row>
    <row r="7084" spans="8:8" ht="15" customHeight="1" x14ac:dyDescent="0.2">
      <c r="H7084" s="19">
        <v>-1.00422312052582E-2</v>
      </c>
    </row>
    <row r="7085" spans="8:8" ht="15" customHeight="1" x14ac:dyDescent="0.2">
      <c r="H7085" s="19">
        <v>1.1624683306430499E-2</v>
      </c>
    </row>
    <row r="7086" spans="8:8" ht="15" customHeight="1" x14ac:dyDescent="0.2">
      <c r="H7086" s="19">
        <v>-4.9532218690340399E-3</v>
      </c>
    </row>
    <row r="7087" spans="8:8" ht="15" customHeight="1" x14ac:dyDescent="0.2">
      <c r="H7087" s="19">
        <v>1.4183047814042201E-2</v>
      </c>
    </row>
    <row r="7088" spans="8:8" ht="15" customHeight="1" x14ac:dyDescent="0.2">
      <c r="H7088" s="19">
        <v>1.15009940999923E-2</v>
      </c>
    </row>
    <row r="7089" spans="8:8" ht="15" customHeight="1" x14ac:dyDescent="0.2">
      <c r="H7089" s="19">
        <v>-1.4234514774345E-2</v>
      </c>
    </row>
    <row r="7090" spans="8:8" ht="15" customHeight="1" x14ac:dyDescent="0.2">
      <c r="H7090" s="19">
        <v>-2.0696365531082901E-2</v>
      </c>
    </row>
    <row r="7091" spans="8:8" ht="15" customHeight="1" x14ac:dyDescent="0.2">
      <c r="H7091" s="19">
        <v>-1.1405671974603401E-3</v>
      </c>
    </row>
    <row r="7092" spans="8:8" ht="15" customHeight="1" x14ac:dyDescent="0.2">
      <c r="H7092" s="19">
        <v>1.4476023958455399E-2</v>
      </c>
    </row>
    <row r="7093" spans="8:8" ht="15" customHeight="1" x14ac:dyDescent="0.2">
      <c r="H7093" s="19">
        <v>8.1682656138236404E-3</v>
      </c>
    </row>
    <row r="7094" spans="8:8" ht="15" customHeight="1" x14ac:dyDescent="0.2">
      <c r="H7094" s="19">
        <v>1.48382551173676E-2</v>
      </c>
    </row>
    <row r="7095" spans="8:8" ht="15" customHeight="1" x14ac:dyDescent="0.2">
      <c r="H7095" s="19">
        <v>8.5506479040258591E-3</v>
      </c>
    </row>
    <row r="7096" spans="8:8" ht="15" customHeight="1" x14ac:dyDescent="0.2">
      <c r="H7096" s="19">
        <v>-6.9588279773907698E-3</v>
      </c>
    </row>
    <row r="7097" spans="8:8" ht="15" customHeight="1" x14ac:dyDescent="0.2">
      <c r="H7097" s="19">
        <v>3.0685992736436598E-3</v>
      </c>
    </row>
    <row r="7098" spans="8:8" ht="15" customHeight="1" x14ac:dyDescent="0.2">
      <c r="H7098" s="19">
        <v>-2.88553464618806E-3</v>
      </c>
    </row>
    <row r="7099" spans="8:8" ht="15" customHeight="1" x14ac:dyDescent="0.2">
      <c r="H7099" s="19">
        <v>7.0329690238433804E-3</v>
      </c>
    </row>
    <row r="7100" spans="8:8" ht="15" customHeight="1" x14ac:dyDescent="0.2">
      <c r="H7100" s="19">
        <v>9.7990524213900799E-3</v>
      </c>
    </row>
    <row r="7101" spans="8:8" ht="15" customHeight="1" x14ac:dyDescent="0.2">
      <c r="H7101" s="19">
        <v>2.3242467476169999E-3</v>
      </c>
    </row>
    <row r="7102" spans="8:8" ht="15" customHeight="1" x14ac:dyDescent="0.2">
      <c r="H7102" s="19">
        <v>2.18732626294271E-3</v>
      </c>
    </row>
    <row r="7103" spans="8:8" ht="15" customHeight="1" x14ac:dyDescent="0.2">
      <c r="H7103" s="19">
        <v>5.55591550178197E-3</v>
      </c>
    </row>
    <row r="7104" spans="8:8" ht="15" customHeight="1" x14ac:dyDescent="0.2">
      <c r="H7104" s="19">
        <v>4.5738121511370499E-3</v>
      </c>
    </row>
    <row r="7105" spans="8:8" ht="15" customHeight="1" x14ac:dyDescent="0.2">
      <c r="H7105" s="19">
        <v>5.54582248888804E-3</v>
      </c>
    </row>
    <row r="7106" spans="8:8" ht="15" customHeight="1" x14ac:dyDescent="0.2">
      <c r="H7106" s="19">
        <v>-8.4991633156380401E-4</v>
      </c>
    </row>
    <row r="7107" spans="8:8" ht="15" customHeight="1" x14ac:dyDescent="0.2">
      <c r="H7107" s="19">
        <v>7.2072276947051902E-4</v>
      </c>
    </row>
    <row r="7108" spans="8:8" ht="15" customHeight="1" x14ac:dyDescent="0.2">
      <c r="H7108" s="19">
        <v>-1.1694250906200299E-3</v>
      </c>
    </row>
    <row r="7109" spans="8:8" ht="15" customHeight="1" x14ac:dyDescent="0.2">
      <c r="H7109" s="19">
        <v>-2.28216388523521E-3</v>
      </c>
    </row>
    <row r="7110" spans="8:8" ht="15" customHeight="1" x14ac:dyDescent="0.2">
      <c r="H7110" s="19">
        <v>-1.86544997689796E-2</v>
      </c>
    </row>
    <row r="7111" spans="8:8" ht="15" customHeight="1" x14ac:dyDescent="0.2">
      <c r="H7111" s="19">
        <v>1.9179964358304899E-3</v>
      </c>
    </row>
    <row r="7112" spans="8:8" ht="15" customHeight="1" x14ac:dyDescent="0.2">
      <c r="H7112" s="19">
        <v>1.1400017703021599E-2</v>
      </c>
    </row>
    <row r="7113" spans="8:8" ht="15" customHeight="1" x14ac:dyDescent="0.2">
      <c r="H7113" s="19">
        <v>3.02165770458512E-4</v>
      </c>
    </row>
    <row r="7114" spans="8:8" ht="15" customHeight="1" x14ac:dyDescent="0.2">
      <c r="H7114" s="19">
        <v>1.7847558354941401E-3</v>
      </c>
    </row>
    <row r="7115" spans="8:8" ht="15" customHeight="1" x14ac:dyDescent="0.2">
      <c r="H7115" s="19">
        <v>-2.1609658742401802E-3</v>
      </c>
    </row>
    <row r="7116" spans="8:8" ht="15" customHeight="1" x14ac:dyDescent="0.2">
      <c r="H7116" s="19">
        <v>-2.12412452981081E-3</v>
      </c>
    </row>
    <row r="7117" spans="8:8" ht="15" customHeight="1" x14ac:dyDescent="0.2">
      <c r="H7117" s="19">
        <v>4.92921029904276E-3</v>
      </c>
    </row>
    <row r="7118" spans="8:8" ht="15" customHeight="1" x14ac:dyDescent="0.2">
      <c r="H7118" s="19">
        <v>4.311651938615E-4</v>
      </c>
    </row>
    <row r="7119" spans="8:8" ht="15" customHeight="1" x14ac:dyDescent="0.2">
      <c r="H7119" s="19">
        <v>-2.2654648690300502E-3</v>
      </c>
    </row>
    <row r="7120" spans="8:8" ht="15" customHeight="1" x14ac:dyDescent="0.2">
      <c r="H7120" s="19">
        <v>-1.4840455485077401E-2</v>
      </c>
    </row>
    <row r="7121" spans="8:8" ht="15" customHeight="1" x14ac:dyDescent="0.2">
      <c r="H7121" s="19">
        <v>-8.0009056262429004E-3</v>
      </c>
    </row>
    <row r="7122" spans="8:8" ht="15" customHeight="1" x14ac:dyDescent="0.2">
      <c r="H7122" s="19">
        <v>2.5206678116782401E-3</v>
      </c>
    </row>
    <row r="7123" spans="8:8" ht="15" customHeight="1" x14ac:dyDescent="0.2">
      <c r="H7123" s="19">
        <v>1.7062466340264801E-2</v>
      </c>
    </row>
    <row r="7124" spans="8:8" ht="15" customHeight="1" x14ac:dyDescent="0.2">
      <c r="H7124" s="19">
        <v>9.8629771312040097E-3</v>
      </c>
    </row>
    <row r="7125" spans="8:8" ht="15" customHeight="1" x14ac:dyDescent="0.2">
      <c r="H7125" s="19">
        <v>2.0915552959068901E-2</v>
      </c>
    </row>
    <row r="7126" spans="8:8" ht="15" customHeight="1" x14ac:dyDescent="0.2">
      <c r="H7126" s="19">
        <v>1.55995979395986E-2</v>
      </c>
    </row>
    <row r="7127" spans="8:8" ht="15" customHeight="1" x14ac:dyDescent="0.2">
      <c r="H7127" s="19">
        <v>5.1766540807022697E-3</v>
      </c>
    </row>
    <row r="7128" spans="8:8" ht="15" customHeight="1" x14ac:dyDescent="0.2">
      <c r="H7128" s="19">
        <v>-8.34247328787752E-3</v>
      </c>
    </row>
    <row r="7129" spans="8:8" ht="15" customHeight="1" x14ac:dyDescent="0.2">
      <c r="H7129" s="19">
        <v>-1.2873161692257299E-2</v>
      </c>
    </row>
    <row r="7130" spans="8:8" ht="15" customHeight="1" x14ac:dyDescent="0.2">
      <c r="H7130" s="19">
        <v>1.23839711332091E-3</v>
      </c>
    </row>
    <row r="7131" spans="8:8" ht="15" customHeight="1" x14ac:dyDescent="0.2">
      <c r="H7131" s="19">
        <v>3.75456022405601E-3</v>
      </c>
    </row>
    <row r="7132" spans="8:8" ht="15" customHeight="1" x14ac:dyDescent="0.2">
      <c r="H7132" s="19">
        <v>-6.7949077185062903E-3</v>
      </c>
    </row>
    <row r="7133" spans="8:8" ht="15" customHeight="1" x14ac:dyDescent="0.2">
      <c r="H7133" s="19">
        <v>-7.7196792745705899E-4</v>
      </c>
    </row>
    <row r="7134" spans="8:8" ht="15" customHeight="1" x14ac:dyDescent="0.2">
      <c r="H7134" s="19">
        <v>9.1029204348378693E-3</v>
      </c>
    </row>
    <row r="7135" spans="8:8" ht="15" customHeight="1" x14ac:dyDescent="0.2">
      <c r="H7135" s="19">
        <v>7.3957386377189304E-3</v>
      </c>
    </row>
    <row r="7136" spans="8:8" ht="15" customHeight="1" x14ac:dyDescent="0.2">
      <c r="H7136" s="19">
        <v>2.10553670580288E-3</v>
      </c>
    </row>
    <row r="7137" spans="8:8" ht="15" customHeight="1" x14ac:dyDescent="0.2">
      <c r="H7137" s="19">
        <v>3.6458481900452601E-3</v>
      </c>
    </row>
    <row r="7138" spans="8:8" ht="15" customHeight="1" x14ac:dyDescent="0.2">
      <c r="H7138" s="19">
        <v>-8.8367502249223004E-3</v>
      </c>
    </row>
    <row r="7139" spans="8:8" ht="15" customHeight="1" x14ac:dyDescent="0.2">
      <c r="H7139" s="19">
        <v>3.8920813093395799E-3</v>
      </c>
    </row>
    <row r="7140" spans="8:8" ht="15" customHeight="1" x14ac:dyDescent="0.2">
      <c r="H7140" s="19">
        <v>-3.4862511805386402E-2</v>
      </c>
    </row>
    <row r="7141" spans="8:8" ht="15" customHeight="1" x14ac:dyDescent="0.2">
      <c r="H7141" s="19">
        <v>1.42814482347264E-2</v>
      </c>
    </row>
    <row r="7142" spans="8:8" ht="15" customHeight="1" x14ac:dyDescent="0.2">
      <c r="H7142" s="19">
        <v>3.3210740729841298E-3</v>
      </c>
    </row>
    <row r="7143" spans="8:8" ht="15" customHeight="1" x14ac:dyDescent="0.2">
      <c r="H7143" s="19">
        <v>7.0968956800045403E-3</v>
      </c>
    </row>
    <row r="7144" spans="8:8" ht="15" customHeight="1" x14ac:dyDescent="0.2">
      <c r="H7144" s="19">
        <v>-1.80187156980041E-3</v>
      </c>
    </row>
    <row r="7145" spans="8:8" ht="15" customHeight="1" x14ac:dyDescent="0.2">
      <c r="H7145" s="19">
        <v>-1.9838633523531599E-3</v>
      </c>
    </row>
    <row r="7146" spans="8:8" ht="15" customHeight="1" x14ac:dyDescent="0.2">
      <c r="H7146" s="19">
        <v>-7.3784634252065202E-3</v>
      </c>
    </row>
    <row r="7147" spans="8:8" ht="15" customHeight="1" x14ac:dyDescent="0.2">
      <c r="H7147" s="19">
        <v>1.13843402331841E-2</v>
      </c>
    </row>
    <row r="7148" spans="8:8" ht="15" customHeight="1" x14ac:dyDescent="0.2">
      <c r="H7148" s="19">
        <v>-3.3740091668048298E-3</v>
      </c>
    </row>
    <row r="7149" spans="8:8" ht="15" customHeight="1" x14ac:dyDescent="0.2">
      <c r="H7149" s="19">
        <v>-5.6675840757733596E-3</v>
      </c>
    </row>
    <row r="7150" spans="8:8" ht="15" customHeight="1" x14ac:dyDescent="0.2">
      <c r="H7150" s="19">
        <v>1.21203816569128E-2</v>
      </c>
    </row>
    <row r="7151" spans="8:8" ht="15" customHeight="1" x14ac:dyDescent="0.2">
      <c r="H7151" s="19">
        <v>1.7723202526776099E-2</v>
      </c>
    </row>
    <row r="7152" spans="8:8" ht="15" customHeight="1" x14ac:dyDescent="0.2">
      <c r="H7152" s="19">
        <v>-3.4788599436615898E-3</v>
      </c>
    </row>
    <row r="7153" spans="8:8" ht="15" customHeight="1" x14ac:dyDescent="0.2">
      <c r="H7153" s="19">
        <v>2.8240639137496301E-3</v>
      </c>
    </row>
    <row r="7154" spans="8:8" ht="15" customHeight="1" x14ac:dyDescent="0.2">
      <c r="H7154" s="19">
        <v>-6.5066990086010898E-3</v>
      </c>
    </row>
    <row r="7155" spans="8:8" ht="15" customHeight="1" x14ac:dyDescent="0.2">
      <c r="H7155" s="19">
        <v>-1.4173730009236701E-2</v>
      </c>
    </row>
    <row r="7156" spans="8:8" ht="15" customHeight="1" x14ac:dyDescent="0.2">
      <c r="H7156" s="19">
        <v>1.8211665559246099E-2</v>
      </c>
    </row>
    <row r="7157" spans="8:8" ht="15" customHeight="1" x14ac:dyDescent="0.2">
      <c r="H7157" s="19">
        <v>-3.77672385501289E-3</v>
      </c>
    </row>
    <row r="7158" spans="8:8" ht="15" customHeight="1" x14ac:dyDescent="0.2">
      <c r="H7158" s="19">
        <v>1.77999630112976E-2</v>
      </c>
    </row>
    <row r="7159" spans="8:8" ht="15" customHeight="1" x14ac:dyDescent="0.2">
      <c r="H7159" s="19">
        <v>-8.5214124081798102E-3</v>
      </c>
    </row>
    <row r="7160" spans="8:8" ht="15" customHeight="1" x14ac:dyDescent="0.2">
      <c r="H7160" s="19">
        <v>-1.60375867660973E-2</v>
      </c>
    </row>
    <row r="7161" spans="8:8" ht="15" customHeight="1" x14ac:dyDescent="0.2">
      <c r="H7161" s="19">
        <v>-8.9204336256130598E-3</v>
      </c>
    </row>
    <row r="7162" spans="8:8" ht="15" customHeight="1" x14ac:dyDescent="0.2">
      <c r="H7162" s="19">
        <v>-4.2844992046982599E-3</v>
      </c>
    </row>
    <row r="7163" spans="8:8" ht="15" customHeight="1" x14ac:dyDescent="0.2">
      <c r="H7163" s="19">
        <v>-6.9789911228536998E-3</v>
      </c>
    </row>
    <row r="7164" spans="8:8" ht="15" customHeight="1" x14ac:dyDescent="0.2">
      <c r="H7164" s="19">
        <v>-3.6236184302149003E-4</v>
      </c>
    </row>
    <row r="7165" spans="8:8" ht="15" customHeight="1" x14ac:dyDescent="0.2">
      <c r="H7165" s="19">
        <v>2.4963186369192099E-2</v>
      </c>
    </row>
    <row r="7166" spans="8:8" ht="15" customHeight="1" x14ac:dyDescent="0.2">
      <c r="H7166" s="19">
        <v>7.6645094469537404E-3</v>
      </c>
    </row>
    <row r="7167" spans="8:8" ht="15" customHeight="1" x14ac:dyDescent="0.2">
      <c r="H7167" s="19">
        <v>-7.2758811137530102E-3</v>
      </c>
    </row>
    <row r="7168" spans="8:8" ht="15" customHeight="1" x14ac:dyDescent="0.2">
      <c r="H7168" s="19">
        <v>1.00308357776689E-2</v>
      </c>
    </row>
    <row r="7169" spans="8:8" ht="15" customHeight="1" x14ac:dyDescent="0.2">
      <c r="H7169" s="19">
        <v>-1.6160022538950201E-3</v>
      </c>
    </row>
    <row r="7170" spans="8:8" ht="15" customHeight="1" x14ac:dyDescent="0.2">
      <c r="H7170" s="19">
        <v>3.84731675604326E-3</v>
      </c>
    </row>
    <row r="7171" spans="8:8" ht="15" customHeight="1" x14ac:dyDescent="0.2">
      <c r="H7171" s="19">
        <v>-4.8816143085609201E-3</v>
      </c>
    </row>
    <row r="7172" spans="8:8" ht="15" customHeight="1" x14ac:dyDescent="0.2">
      <c r="H7172" s="19">
        <v>1.2913408172986401E-2</v>
      </c>
    </row>
    <row r="7173" spans="8:8" ht="15" customHeight="1" x14ac:dyDescent="0.2">
      <c r="H7173" s="19">
        <v>1.19972895398244E-4</v>
      </c>
    </row>
    <row r="7174" spans="8:8" ht="15" customHeight="1" x14ac:dyDescent="0.2">
      <c r="H7174" s="19">
        <v>2.6588360904612598E-2</v>
      </c>
    </row>
    <row r="7175" spans="8:8" ht="15" customHeight="1" x14ac:dyDescent="0.2">
      <c r="H7175" s="19">
        <v>-2.9173534887563901E-3</v>
      </c>
    </row>
    <row r="7176" spans="8:8" ht="15" customHeight="1" x14ac:dyDescent="0.2">
      <c r="H7176" s="19">
        <v>8.2152030254349401E-4</v>
      </c>
    </row>
    <row r="7177" spans="8:8" ht="15" customHeight="1" x14ac:dyDescent="0.2">
      <c r="H7177" s="19">
        <v>6.2885588261845198E-3</v>
      </c>
    </row>
    <row r="7178" spans="8:8" ht="15" customHeight="1" x14ac:dyDescent="0.2">
      <c r="H7178" s="19">
        <v>7.9766153876593294E-3</v>
      </c>
    </row>
    <row r="7179" spans="8:8" ht="15" customHeight="1" x14ac:dyDescent="0.2">
      <c r="H7179" s="19">
        <v>-3.71992755851172E-3</v>
      </c>
    </row>
    <row r="7180" spans="8:8" ht="15" customHeight="1" x14ac:dyDescent="0.2">
      <c r="H7180" s="19">
        <v>6.6271176423047399E-3</v>
      </c>
    </row>
    <row r="7181" spans="8:8" ht="15" customHeight="1" x14ac:dyDescent="0.2">
      <c r="H7181" s="19">
        <v>7.11345271781665E-3</v>
      </c>
    </row>
    <row r="7182" spans="8:8" ht="15" customHeight="1" x14ac:dyDescent="0.2">
      <c r="H7182" s="19">
        <v>-1.28604432695455E-2</v>
      </c>
    </row>
    <row r="7183" spans="8:8" ht="15" customHeight="1" x14ac:dyDescent="0.2">
      <c r="H7183" s="19">
        <v>-7.2646503662826501E-3</v>
      </c>
    </row>
    <row r="7184" spans="8:8" ht="15" customHeight="1" x14ac:dyDescent="0.2">
      <c r="H7184" s="19">
        <v>-1.74728806439552E-3</v>
      </c>
    </row>
    <row r="7185" spans="8:8" ht="15" customHeight="1" x14ac:dyDescent="0.2">
      <c r="H7185" s="19">
        <v>1.89304926593009E-3</v>
      </c>
    </row>
    <row r="7186" spans="8:8" ht="15" customHeight="1" x14ac:dyDescent="0.2">
      <c r="H7186" s="19">
        <v>1.6542611200638799E-2</v>
      </c>
    </row>
    <row r="7187" spans="8:8" ht="15" customHeight="1" x14ac:dyDescent="0.2">
      <c r="H7187" s="19">
        <v>1.72881070703798E-2</v>
      </c>
    </row>
    <row r="7188" spans="8:8" ht="15" customHeight="1" x14ac:dyDescent="0.2">
      <c r="H7188" s="19">
        <v>-8.5041210572647397E-3</v>
      </c>
    </row>
    <row r="7189" spans="8:8" ht="15" customHeight="1" x14ac:dyDescent="0.2">
      <c r="H7189" s="19">
        <v>-1.7790658966163001E-2</v>
      </c>
    </row>
    <row r="7190" spans="8:8" ht="15" customHeight="1" x14ac:dyDescent="0.2">
      <c r="H7190" s="19">
        <v>6.1846320613336402E-3</v>
      </c>
    </row>
    <row r="7191" spans="8:8" ht="15" customHeight="1" x14ac:dyDescent="0.2">
      <c r="H7191" s="19">
        <v>1.31354035800131E-2</v>
      </c>
    </row>
    <row r="7192" spans="8:8" ht="15" customHeight="1" x14ac:dyDescent="0.2">
      <c r="H7192" s="19">
        <v>1.6517719408166601E-2</v>
      </c>
    </row>
    <row r="7193" spans="8:8" ht="15" customHeight="1" x14ac:dyDescent="0.2">
      <c r="H7193" s="19">
        <v>9.7666651342999799E-3</v>
      </c>
    </row>
    <row r="7194" spans="8:8" ht="15" customHeight="1" x14ac:dyDescent="0.2">
      <c r="H7194" s="19">
        <v>-9.69475861320508E-3</v>
      </c>
    </row>
    <row r="7195" spans="8:8" ht="15" customHeight="1" x14ac:dyDescent="0.2">
      <c r="H7195" s="19">
        <v>5.8889841101301696E-3</v>
      </c>
    </row>
    <row r="7196" spans="8:8" ht="15" customHeight="1" x14ac:dyDescent="0.2">
      <c r="H7196" s="19">
        <v>-3.6374146411360399E-3</v>
      </c>
    </row>
    <row r="7197" spans="8:8" ht="15" customHeight="1" x14ac:dyDescent="0.2">
      <c r="H7197" s="19">
        <v>5.06537271523258E-3</v>
      </c>
    </row>
    <row r="7198" spans="8:8" ht="15" customHeight="1" x14ac:dyDescent="0.2">
      <c r="H7198" s="19">
        <v>-4.1304516346344901E-4</v>
      </c>
    </row>
    <row r="7199" spans="8:8" ht="15" customHeight="1" x14ac:dyDescent="0.2">
      <c r="H7199" s="19">
        <v>5.3592530966430699E-3</v>
      </c>
    </row>
    <row r="7200" spans="8:8" ht="15" customHeight="1" x14ac:dyDescent="0.2">
      <c r="H7200" s="19">
        <v>1.0368278649652E-2</v>
      </c>
    </row>
    <row r="7201" spans="8:8" ht="15" customHeight="1" x14ac:dyDescent="0.2">
      <c r="H7201" s="19">
        <v>8.6616072651556006E-3</v>
      </c>
    </row>
    <row r="7202" spans="8:8" ht="15" customHeight="1" x14ac:dyDescent="0.2">
      <c r="H7202" s="19">
        <v>1.42404286350235E-2</v>
      </c>
    </row>
    <row r="7203" spans="8:8" ht="15" customHeight="1" x14ac:dyDescent="0.2">
      <c r="H7203" s="19">
        <v>-8.3715727814107702E-3</v>
      </c>
    </row>
    <row r="7204" spans="8:8" ht="15" customHeight="1" x14ac:dyDescent="0.2">
      <c r="H7204" s="19">
        <v>3.8876058124513902E-3</v>
      </c>
    </row>
    <row r="7205" spans="8:8" ht="15" customHeight="1" x14ac:dyDescent="0.2">
      <c r="H7205" s="19">
        <v>-1.2507613245303801E-2</v>
      </c>
    </row>
    <row r="7206" spans="8:8" ht="15" customHeight="1" x14ac:dyDescent="0.2">
      <c r="H7206" s="19">
        <v>-3.8015985682065901E-3</v>
      </c>
    </row>
    <row r="7207" spans="8:8" ht="15" customHeight="1" x14ac:dyDescent="0.2">
      <c r="H7207" s="19">
        <v>1.49663132092003E-2</v>
      </c>
    </row>
    <row r="7208" spans="8:8" ht="15" customHeight="1" x14ac:dyDescent="0.2">
      <c r="H7208" s="19">
        <v>4.6958970524135103E-3</v>
      </c>
    </row>
    <row r="7209" spans="8:8" ht="15" customHeight="1" x14ac:dyDescent="0.2">
      <c r="H7209" s="19">
        <v>6.5779191192168497E-3</v>
      </c>
    </row>
    <row r="7210" spans="8:8" ht="15" customHeight="1" x14ac:dyDescent="0.2">
      <c r="H7210" s="19">
        <v>-6.4614182348133702E-3</v>
      </c>
    </row>
    <row r="7211" spans="8:8" ht="15" customHeight="1" x14ac:dyDescent="0.2">
      <c r="H7211" s="19">
        <v>1.32326007596987E-2</v>
      </c>
    </row>
    <row r="7212" spans="8:8" ht="15" customHeight="1" x14ac:dyDescent="0.2">
      <c r="H7212" s="19">
        <v>4.0682948859711498E-3</v>
      </c>
    </row>
    <row r="7213" spans="8:8" ht="15" customHeight="1" x14ac:dyDescent="0.2">
      <c r="H7213" s="19">
        <v>-1.62953103733446E-3</v>
      </c>
    </row>
    <row r="7214" spans="8:8" ht="15" customHeight="1" x14ac:dyDescent="0.2">
      <c r="H7214" s="19">
        <v>1.25557751494488E-2</v>
      </c>
    </row>
    <row r="7215" spans="8:8" ht="15" customHeight="1" x14ac:dyDescent="0.2">
      <c r="H7215" s="19">
        <v>-1.58310856794237E-2</v>
      </c>
    </row>
    <row r="7216" spans="8:8" ht="15" customHeight="1" x14ac:dyDescent="0.2">
      <c r="H7216" s="19">
        <v>-1.7989633175635501E-3</v>
      </c>
    </row>
    <row r="7217" spans="8:8" ht="15" customHeight="1" x14ac:dyDescent="0.2">
      <c r="H7217" s="19">
        <v>-5.6860577984373098E-3</v>
      </c>
    </row>
    <row r="7218" spans="8:8" ht="15" customHeight="1" x14ac:dyDescent="0.2">
      <c r="H7218" s="19">
        <v>7.9543921794688992E-3</v>
      </c>
    </row>
    <row r="7219" spans="8:8" ht="15" customHeight="1" x14ac:dyDescent="0.2">
      <c r="H7219" s="19">
        <v>-1.04970488216789E-3</v>
      </c>
    </row>
    <row r="7220" spans="8:8" ht="15" customHeight="1" x14ac:dyDescent="0.2">
      <c r="H7220" s="19">
        <v>7.0015463726414403E-3</v>
      </c>
    </row>
    <row r="7221" spans="8:8" ht="15" customHeight="1" x14ac:dyDescent="0.2">
      <c r="H7221" s="19">
        <v>1.00905647123593E-3</v>
      </c>
    </row>
    <row r="7222" spans="8:8" ht="15" customHeight="1" x14ac:dyDescent="0.2">
      <c r="H7222" s="19">
        <v>1.6399421704993301E-2</v>
      </c>
    </row>
    <row r="7223" spans="8:8" ht="15" customHeight="1" x14ac:dyDescent="0.2">
      <c r="H7223" s="19">
        <v>4.9904754458976299E-3</v>
      </c>
    </row>
    <row r="7224" spans="8:8" ht="15" customHeight="1" x14ac:dyDescent="0.2">
      <c r="H7224" s="19">
        <v>-4.9345457822238797E-3</v>
      </c>
    </row>
    <row r="7225" spans="8:8" ht="15" customHeight="1" x14ac:dyDescent="0.2">
      <c r="H7225" s="19">
        <v>8.6408560775719397E-4</v>
      </c>
    </row>
    <row r="7226" spans="8:8" ht="15" customHeight="1" x14ac:dyDescent="0.2">
      <c r="H7226" s="19">
        <v>1.7071335939787501E-2</v>
      </c>
    </row>
    <row r="7227" spans="8:8" ht="15" customHeight="1" x14ac:dyDescent="0.2">
      <c r="H7227" s="19">
        <v>-3.9210857893105201E-3</v>
      </c>
    </row>
    <row r="7228" spans="8:8" ht="15" customHeight="1" x14ac:dyDescent="0.2">
      <c r="H7228" s="19">
        <v>7.8907892669668692E-3</v>
      </c>
    </row>
    <row r="7229" spans="8:8" ht="15" customHeight="1" x14ac:dyDescent="0.2">
      <c r="H7229" s="19">
        <v>-5.1049157175149596E-3</v>
      </c>
    </row>
    <row r="7230" spans="8:8" ht="15" customHeight="1" x14ac:dyDescent="0.2">
      <c r="H7230" s="19">
        <v>-8.2485868131558001E-3</v>
      </c>
    </row>
    <row r="7231" spans="8:8" ht="15" customHeight="1" x14ac:dyDescent="0.2">
      <c r="H7231" s="19">
        <v>-4.9693524159731498E-3</v>
      </c>
    </row>
    <row r="7232" spans="8:8" ht="15" customHeight="1" x14ac:dyDescent="0.2">
      <c r="H7232" s="19">
        <v>1.0223201531614099E-2</v>
      </c>
    </row>
    <row r="7233" spans="8:8" ht="15" customHeight="1" x14ac:dyDescent="0.2">
      <c r="H7233" s="19">
        <v>-8.8265267628084496E-3</v>
      </c>
    </row>
    <row r="7234" spans="8:8" ht="15" customHeight="1" x14ac:dyDescent="0.2">
      <c r="H7234" s="19">
        <v>-2.8749252618869101E-3</v>
      </c>
    </row>
    <row r="7235" spans="8:8" ht="15" customHeight="1" x14ac:dyDescent="0.2">
      <c r="H7235" s="19">
        <v>-1.458399576729E-4</v>
      </c>
    </row>
    <row r="7236" spans="8:8" ht="15" customHeight="1" x14ac:dyDescent="0.2">
      <c r="H7236" s="19">
        <v>4.0793966699360796E-3</v>
      </c>
    </row>
    <row r="7237" spans="8:8" ht="15" customHeight="1" x14ac:dyDescent="0.2">
      <c r="H7237" s="19">
        <v>1.81052269500811E-3</v>
      </c>
    </row>
    <row r="7238" spans="8:8" ht="15" customHeight="1" x14ac:dyDescent="0.2">
      <c r="H7238" s="19">
        <v>4.1047434287753001E-3</v>
      </c>
    </row>
    <row r="7239" spans="8:8" ht="15" customHeight="1" x14ac:dyDescent="0.2">
      <c r="H7239" s="19">
        <v>-6.3273118462517904E-3</v>
      </c>
    </row>
    <row r="7240" spans="8:8" ht="15" customHeight="1" x14ac:dyDescent="0.2">
      <c r="H7240" s="19">
        <v>1.62440488061194E-3</v>
      </c>
    </row>
    <row r="7241" spans="8:8" ht="15" customHeight="1" x14ac:dyDescent="0.2">
      <c r="H7241" s="19">
        <v>-1.4151404495769199E-2</v>
      </c>
    </row>
    <row r="7242" spans="8:8" ht="15" customHeight="1" x14ac:dyDescent="0.2">
      <c r="H7242" s="19">
        <v>1.4738384314450499E-3</v>
      </c>
    </row>
    <row r="7243" spans="8:8" ht="15" customHeight="1" x14ac:dyDescent="0.2">
      <c r="H7243" s="19">
        <v>-1.7139045010369398E-2</v>
      </c>
    </row>
    <row r="7244" spans="8:8" ht="15" customHeight="1" x14ac:dyDescent="0.2">
      <c r="H7244" s="19">
        <v>7.5122348813399902E-3</v>
      </c>
    </row>
    <row r="7245" spans="8:8" ht="15" customHeight="1" x14ac:dyDescent="0.2">
      <c r="H7245" s="19">
        <v>6.7033164952543401E-3</v>
      </c>
    </row>
    <row r="7246" spans="8:8" ht="15" customHeight="1" x14ac:dyDescent="0.2">
      <c r="H7246" s="19">
        <v>5.8225378944881797E-3</v>
      </c>
    </row>
    <row r="7247" spans="8:8" ht="15" customHeight="1" x14ac:dyDescent="0.2">
      <c r="H7247" s="19">
        <v>1.31310844738963E-2</v>
      </c>
    </row>
    <row r="7248" spans="8:8" ht="15" customHeight="1" x14ac:dyDescent="0.2">
      <c r="H7248" s="19">
        <v>-8.0160513260284401E-3</v>
      </c>
    </row>
    <row r="7249" spans="8:8" ht="15" customHeight="1" x14ac:dyDescent="0.2">
      <c r="H7249" s="19">
        <v>6.0179954628480602E-3</v>
      </c>
    </row>
    <row r="7250" spans="8:8" ht="15" customHeight="1" x14ac:dyDescent="0.2">
      <c r="H7250" s="19">
        <v>8.9732312492577706E-3</v>
      </c>
    </row>
    <row r="7251" spans="8:8" ht="15" customHeight="1" x14ac:dyDescent="0.2">
      <c r="H7251" s="19">
        <v>1.64040040265484E-3</v>
      </c>
    </row>
    <row r="7252" spans="8:8" ht="15" customHeight="1" x14ac:dyDescent="0.2">
      <c r="H7252" s="19">
        <v>-9.8215853532473401E-3</v>
      </c>
    </row>
    <row r="7253" spans="8:8" ht="15" customHeight="1" x14ac:dyDescent="0.2">
      <c r="H7253" s="19">
        <v>4.4627893679876404E-3</v>
      </c>
    </row>
    <row r="7254" spans="8:8" ht="15" customHeight="1" x14ac:dyDescent="0.2">
      <c r="H7254" s="19">
        <v>-6.7464848072748898E-3</v>
      </c>
    </row>
    <row r="7255" spans="8:8" ht="15" customHeight="1" x14ac:dyDescent="0.2">
      <c r="H7255" s="19">
        <v>-2.2572175581193599E-3</v>
      </c>
    </row>
    <row r="7256" spans="8:8" ht="15" customHeight="1" x14ac:dyDescent="0.2">
      <c r="H7256" s="19">
        <v>-5.1531558799101998E-3</v>
      </c>
    </row>
    <row r="7257" spans="8:8" ht="15" customHeight="1" x14ac:dyDescent="0.2">
      <c r="H7257" s="19">
        <v>-5.2147374271167498E-4</v>
      </c>
    </row>
    <row r="7258" spans="8:8" ht="15" customHeight="1" x14ac:dyDescent="0.2">
      <c r="H7258" s="19">
        <v>3.2414648147314098E-3</v>
      </c>
    </row>
    <row r="7259" spans="8:8" ht="15" customHeight="1" x14ac:dyDescent="0.2">
      <c r="H7259" s="19">
        <v>1.5526982015060699E-2</v>
      </c>
    </row>
    <row r="7260" spans="8:8" ht="15" customHeight="1" x14ac:dyDescent="0.2">
      <c r="H7260" s="19">
        <v>-7.25356186849765E-3</v>
      </c>
    </row>
    <row r="7261" spans="8:8" ht="15" customHeight="1" x14ac:dyDescent="0.2">
      <c r="H7261" s="19">
        <v>3.9303265891283603E-3</v>
      </c>
    </row>
    <row r="7262" spans="8:8" ht="15" customHeight="1" x14ac:dyDescent="0.2">
      <c r="H7262" s="19">
        <v>-9.3498660384941402E-3</v>
      </c>
    </row>
    <row r="7263" spans="8:8" ht="15" customHeight="1" x14ac:dyDescent="0.2">
      <c r="H7263" s="19">
        <v>9.3497687749531898E-3</v>
      </c>
    </row>
    <row r="7264" spans="8:8" ht="15" customHeight="1" x14ac:dyDescent="0.2">
      <c r="H7264" s="19">
        <v>-4.7078273867961599E-5</v>
      </c>
    </row>
    <row r="7265" spans="8:8" ht="15" customHeight="1" x14ac:dyDescent="0.2">
      <c r="H7265" s="19">
        <v>1.33774820956365E-2</v>
      </c>
    </row>
    <row r="7266" spans="8:8" ht="15" customHeight="1" x14ac:dyDescent="0.2">
      <c r="H7266" s="19">
        <v>9.1614446433163198E-4</v>
      </c>
    </row>
    <row r="7267" spans="8:8" ht="15" customHeight="1" x14ac:dyDescent="0.2">
      <c r="H7267" s="19">
        <v>8.1281500183069001E-3</v>
      </c>
    </row>
    <row r="7268" spans="8:8" ht="15" customHeight="1" x14ac:dyDescent="0.2">
      <c r="H7268" s="19">
        <v>1.7095271667073999E-2</v>
      </c>
    </row>
    <row r="7269" spans="8:8" ht="15" customHeight="1" x14ac:dyDescent="0.2">
      <c r="H7269" s="19">
        <v>-1.1309092994230399E-2</v>
      </c>
    </row>
    <row r="7270" spans="8:8" ht="15" customHeight="1" x14ac:dyDescent="0.2">
      <c r="H7270" s="19">
        <v>-1.16737086326105E-2</v>
      </c>
    </row>
    <row r="7271" spans="8:8" ht="15" customHeight="1" x14ac:dyDescent="0.2">
      <c r="H7271" s="19">
        <v>-2.4641541453848102E-3</v>
      </c>
    </row>
    <row r="7272" spans="8:8" ht="15" customHeight="1" x14ac:dyDescent="0.2">
      <c r="H7272" s="19">
        <v>-1.82751406029107E-3</v>
      </c>
    </row>
    <row r="7273" spans="8:8" ht="15" customHeight="1" x14ac:dyDescent="0.2">
      <c r="H7273" s="19">
        <v>1.61563603425622E-3</v>
      </c>
    </row>
    <row r="7274" spans="8:8" ht="15" customHeight="1" x14ac:dyDescent="0.2">
      <c r="H7274" s="19">
        <v>1.49273118182253E-2</v>
      </c>
    </row>
    <row r="7275" spans="8:8" ht="15" customHeight="1" x14ac:dyDescent="0.2">
      <c r="H7275" s="19">
        <v>1.65685822047834E-3</v>
      </c>
    </row>
    <row r="7276" spans="8:8" ht="15" customHeight="1" x14ac:dyDescent="0.2">
      <c r="H7276" s="19">
        <v>9.2091492562578793E-3</v>
      </c>
    </row>
    <row r="7277" spans="8:8" ht="15" customHeight="1" x14ac:dyDescent="0.2">
      <c r="H7277" s="19">
        <v>4.3270282878987501E-3</v>
      </c>
    </row>
    <row r="7278" spans="8:8" ht="15" customHeight="1" x14ac:dyDescent="0.2">
      <c r="H7278" s="19">
        <v>-3.6740889122899101E-3</v>
      </c>
    </row>
    <row r="7279" spans="8:8" ht="15" customHeight="1" x14ac:dyDescent="0.2">
      <c r="H7279" s="19">
        <v>-1.15626910316056E-2</v>
      </c>
    </row>
    <row r="7280" spans="8:8" ht="15" customHeight="1" x14ac:dyDescent="0.2">
      <c r="H7280" s="19">
        <v>5.8843441930546796E-3</v>
      </c>
    </row>
    <row r="7281" spans="8:8" ht="15" customHeight="1" x14ac:dyDescent="0.2">
      <c r="H7281" s="19">
        <v>-1.37270338395219E-2</v>
      </c>
    </row>
    <row r="7282" spans="8:8" ht="15" customHeight="1" x14ac:dyDescent="0.2">
      <c r="H7282" s="19">
        <v>1.3040574978357099E-2</v>
      </c>
    </row>
    <row r="7283" spans="8:8" ht="15" customHeight="1" x14ac:dyDescent="0.2">
      <c r="H7283" s="19">
        <v>-1.8194846566445199E-3</v>
      </c>
    </row>
    <row r="7284" spans="8:8" ht="15" customHeight="1" x14ac:dyDescent="0.2">
      <c r="H7284" s="19">
        <v>-4.5125576881209504E-3</v>
      </c>
    </row>
    <row r="7285" spans="8:8" ht="15" customHeight="1" x14ac:dyDescent="0.2">
      <c r="H7285" s="19">
        <v>-5.4277396393901702E-3</v>
      </c>
    </row>
    <row r="7286" spans="8:8" ht="15" customHeight="1" x14ac:dyDescent="0.2">
      <c r="H7286" s="19">
        <v>6.9814827972522302E-3</v>
      </c>
    </row>
    <row r="7287" spans="8:8" ht="15" customHeight="1" x14ac:dyDescent="0.2">
      <c r="H7287" s="19">
        <v>-1.5325401273765899E-2</v>
      </c>
    </row>
    <row r="7288" spans="8:8" ht="15" customHeight="1" x14ac:dyDescent="0.2">
      <c r="H7288" s="19">
        <v>1.44124057428483E-2</v>
      </c>
    </row>
    <row r="7289" spans="8:8" ht="15" customHeight="1" x14ac:dyDescent="0.2">
      <c r="H7289" s="19">
        <v>-4.5283585311435802E-3</v>
      </c>
    </row>
    <row r="7290" spans="8:8" ht="15" customHeight="1" x14ac:dyDescent="0.2">
      <c r="H7290" s="19">
        <v>8.3499825469778098E-4</v>
      </c>
    </row>
    <row r="7291" spans="8:8" ht="15" customHeight="1" x14ac:dyDescent="0.2">
      <c r="H7291" s="19">
        <v>1.1942398711339199E-2</v>
      </c>
    </row>
    <row r="7292" spans="8:8" ht="15" customHeight="1" x14ac:dyDescent="0.2">
      <c r="H7292" s="19">
        <v>2.6974777079150202E-3</v>
      </c>
    </row>
    <row r="7293" spans="8:8" ht="15" customHeight="1" x14ac:dyDescent="0.2">
      <c r="H7293" s="19">
        <v>-2.2219901319424501E-2</v>
      </c>
    </row>
    <row r="7294" spans="8:8" ht="15" customHeight="1" x14ac:dyDescent="0.2">
      <c r="H7294" s="19">
        <v>1.00656446085421E-3</v>
      </c>
    </row>
    <row r="7295" spans="8:8" ht="15" customHeight="1" x14ac:dyDescent="0.2">
      <c r="H7295" s="19">
        <v>-6.77004948031509E-3</v>
      </c>
    </row>
    <row r="7296" spans="8:8" ht="15" customHeight="1" x14ac:dyDescent="0.2">
      <c r="H7296" s="19">
        <v>-2.0422945187573999E-3</v>
      </c>
    </row>
    <row r="7297" spans="8:8" ht="15" customHeight="1" x14ac:dyDescent="0.2">
      <c r="H7297" s="19">
        <v>-7.1325313198168597E-3</v>
      </c>
    </row>
    <row r="7298" spans="8:8" ht="15" customHeight="1" x14ac:dyDescent="0.2">
      <c r="H7298" s="19">
        <v>-4.5780576607651301E-3</v>
      </c>
    </row>
    <row r="7299" spans="8:8" ht="15" customHeight="1" x14ac:dyDescent="0.2">
      <c r="H7299" s="19">
        <v>3.8922187589228198E-3</v>
      </c>
    </row>
    <row r="7300" spans="8:8" ht="15" customHeight="1" x14ac:dyDescent="0.2">
      <c r="H7300" s="19">
        <v>2.7388534751401198E-3</v>
      </c>
    </row>
    <row r="7301" spans="8:8" ht="15" customHeight="1" x14ac:dyDescent="0.2">
      <c r="H7301" s="19">
        <v>-1.95516593670175E-3</v>
      </c>
    </row>
    <row r="7302" spans="8:8" ht="15" customHeight="1" x14ac:dyDescent="0.2">
      <c r="H7302" s="19">
        <v>7.51106695165632E-3</v>
      </c>
    </row>
    <row r="7303" spans="8:8" ht="15" customHeight="1" x14ac:dyDescent="0.2">
      <c r="H7303" s="19">
        <v>5.1898291871709202E-3</v>
      </c>
    </row>
    <row r="7304" spans="8:8" ht="15" customHeight="1" x14ac:dyDescent="0.2">
      <c r="H7304" s="19">
        <v>-1.48200884222897E-2</v>
      </c>
    </row>
    <row r="7305" spans="8:8" ht="15" customHeight="1" x14ac:dyDescent="0.2">
      <c r="H7305" s="19">
        <v>2.2522562052282698E-2</v>
      </c>
    </row>
    <row r="7306" spans="8:8" ht="15" customHeight="1" x14ac:dyDescent="0.2">
      <c r="H7306" s="19">
        <v>1.10791748091982E-2</v>
      </c>
    </row>
    <row r="7307" spans="8:8" ht="15" customHeight="1" x14ac:dyDescent="0.2">
      <c r="H7307" s="19">
        <v>-6.7933357036546E-3</v>
      </c>
    </row>
    <row r="7308" spans="8:8" ht="15" customHeight="1" x14ac:dyDescent="0.2">
      <c r="H7308" s="19">
        <v>-9.1173285215781306E-3</v>
      </c>
    </row>
    <row r="7309" spans="8:8" ht="15" customHeight="1" x14ac:dyDescent="0.2">
      <c r="H7309" s="19">
        <v>7.7385360067210402E-3</v>
      </c>
    </row>
    <row r="7310" spans="8:8" ht="15" customHeight="1" x14ac:dyDescent="0.2">
      <c r="H7310" s="19">
        <v>4.82089306491489E-3</v>
      </c>
    </row>
    <row r="7311" spans="8:8" ht="15" customHeight="1" x14ac:dyDescent="0.2">
      <c r="H7311" s="19">
        <v>-9.6965203364687107E-3</v>
      </c>
    </row>
    <row r="7312" spans="8:8" ht="15" customHeight="1" x14ac:dyDescent="0.2">
      <c r="H7312" s="19">
        <v>-2.9083752188274101E-3</v>
      </c>
    </row>
    <row r="7313" spans="8:8" ht="15" customHeight="1" x14ac:dyDescent="0.2">
      <c r="H7313" s="19">
        <v>8.4240114294764391E-3</v>
      </c>
    </row>
    <row r="7314" spans="8:8" ht="15" customHeight="1" x14ac:dyDescent="0.2">
      <c r="H7314" s="19">
        <v>-2.0351334778792702E-3</v>
      </c>
    </row>
    <row r="7315" spans="8:8" ht="15" customHeight="1" x14ac:dyDescent="0.2">
      <c r="H7315" s="19">
        <v>-1.8704364344613699E-3</v>
      </c>
    </row>
    <row r="7316" spans="8:8" ht="15" customHeight="1" x14ac:dyDescent="0.2">
      <c r="H7316" s="19">
        <v>-1.5966791599100999E-2</v>
      </c>
    </row>
    <row r="7317" spans="8:8" ht="15" customHeight="1" x14ac:dyDescent="0.2">
      <c r="H7317" s="19">
        <v>4.8786082830990299E-3</v>
      </c>
    </row>
    <row r="7318" spans="8:8" ht="15" customHeight="1" x14ac:dyDescent="0.2">
      <c r="H7318" s="19">
        <v>-1.7108244422932E-2</v>
      </c>
    </row>
    <row r="7319" spans="8:8" ht="15" customHeight="1" x14ac:dyDescent="0.2">
      <c r="H7319" s="19">
        <v>6.8049947131691501E-5</v>
      </c>
    </row>
    <row r="7320" spans="8:8" ht="15" customHeight="1" x14ac:dyDescent="0.2">
      <c r="H7320" s="19">
        <v>1.20712542553837E-2</v>
      </c>
    </row>
    <row r="7321" spans="8:8" ht="15" customHeight="1" x14ac:dyDescent="0.2">
      <c r="H7321" s="19">
        <v>1.16882425436203E-2</v>
      </c>
    </row>
    <row r="7322" spans="8:8" ht="15" customHeight="1" x14ac:dyDescent="0.2">
      <c r="H7322" s="19">
        <v>1.1307607733652801E-2</v>
      </c>
    </row>
    <row r="7323" spans="8:8" ht="15" customHeight="1" x14ac:dyDescent="0.2">
      <c r="H7323" s="19">
        <v>1.1496614246843199E-2</v>
      </c>
    </row>
    <row r="7324" spans="8:8" ht="15" customHeight="1" x14ac:dyDescent="0.2">
      <c r="H7324" s="19">
        <v>6.0040711720668197E-3</v>
      </c>
    </row>
    <row r="7325" spans="8:8" ht="15" customHeight="1" x14ac:dyDescent="0.2">
      <c r="H7325" s="19">
        <v>-1.4399249373806201E-2</v>
      </c>
    </row>
    <row r="7326" spans="8:8" ht="15" customHeight="1" x14ac:dyDescent="0.2">
      <c r="H7326" s="19">
        <v>1.8316027266420301E-2</v>
      </c>
    </row>
    <row r="7327" spans="8:8" ht="15" customHeight="1" x14ac:dyDescent="0.2">
      <c r="H7327" s="19">
        <v>3.3797760528327301E-3</v>
      </c>
    </row>
    <row r="7328" spans="8:8" ht="15" customHeight="1" x14ac:dyDescent="0.2">
      <c r="H7328" s="19">
        <v>-2.63120495330872E-2</v>
      </c>
    </row>
    <row r="7329" spans="8:8" ht="15" customHeight="1" x14ac:dyDescent="0.2">
      <c r="H7329" s="19">
        <v>-1.12253273608111E-3</v>
      </c>
    </row>
    <row r="7330" spans="8:8" ht="15" customHeight="1" x14ac:dyDescent="0.2">
      <c r="H7330" s="19">
        <v>-6.3299071228781504E-3</v>
      </c>
    </row>
    <row r="7331" spans="8:8" ht="15" customHeight="1" x14ac:dyDescent="0.2">
      <c r="H7331" s="19">
        <v>-3.2511127370290801E-3</v>
      </c>
    </row>
    <row r="7332" spans="8:8" ht="15" customHeight="1" x14ac:dyDescent="0.2">
      <c r="H7332" s="19">
        <v>-8.80949787096914E-3</v>
      </c>
    </row>
    <row r="7333" spans="8:8" ht="15" customHeight="1" x14ac:dyDescent="0.2">
      <c r="H7333" s="19">
        <v>8.5671085322614107E-3</v>
      </c>
    </row>
    <row r="7334" spans="8:8" ht="15" customHeight="1" x14ac:dyDescent="0.2">
      <c r="H7334" s="19">
        <v>7.0239113690791102E-4</v>
      </c>
    </row>
    <row r="7335" spans="8:8" ht="15" customHeight="1" x14ac:dyDescent="0.2">
      <c r="H7335" s="19">
        <v>-1.3809188669726E-2</v>
      </c>
    </row>
    <row r="7336" spans="8:8" ht="15" customHeight="1" x14ac:dyDescent="0.2">
      <c r="H7336" s="19">
        <v>-1.14105895697572E-2</v>
      </c>
    </row>
    <row r="7337" spans="8:8" ht="15" customHeight="1" x14ac:dyDescent="0.2">
      <c r="H7337" s="19">
        <v>1.3166814762098299E-3</v>
      </c>
    </row>
    <row r="7338" spans="8:8" ht="15" customHeight="1" x14ac:dyDescent="0.2">
      <c r="H7338" s="19">
        <v>3.7410649555424001E-3</v>
      </c>
    </row>
    <row r="7339" spans="8:8" ht="15" customHeight="1" x14ac:dyDescent="0.2">
      <c r="H7339" s="19">
        <v>1.9972422426217499E-2</v>
      </c>
    </row>
    <row r="7340" spans="8:8" ht="15" customHeight="1" x14ac:dyDescent="0.2">
      <c r="H7340" s="19">
        <v>-1.1303246347784301E-2</v>
      </c>
    </row>
    <row r="7341" spans="8:8" ht="15" customHeight="1" x14ac:dyDescent="0.2">
      <c r="H7341" s="19">
        <v>1.01652461967513E-3</v>
      </c>
    </row>
    <row r="7342" spans="8:8" ht="15" customHeight="1" x14ac:dyDescent="0.2">
      <c r="H7342" s="19">
        <v>-9.9952656610166005E-3</v>
      </c>
    </row>
    <row r="7343" spans="8:8" ht="15" customHeight="1" x14ac:dyDescent="0.2">
      <c r="H7343" s="19">
        <v>-6.5108139585751497E-3</v>
      </c>
    </row>
    <row r="7344" spans="8:8" ht="15" customHeight="1" x14ac:dyDescent="0.2">
      <c r="H7344" s="19">
        <v>1.5899473530007399E-3</v>
      </c>
    </row>
    <row r="7345" spans="8:8" ht="15" customHeight="1" x14ac:dyDescent="0.2">
      <c r="H7345" s="19">
        <v>6.28902433552978E-3</v>
      </c>
    </row>
    <row r="7346" spans="8:8" ht="15" customHeight="1" x14ac:dyDescent="0.2">
      <c r="H7346" s="19">
        <v>-9.8833558991245508E-3</v>
      </c>
    </row>
    <row r="7347" spans="8:8" ht="15" customHeight="1" x14ac:dyDescent="0.2">
      <c r="H7347" s="19">
        <v>-4.6071839455878996E-3</v>
      </c>
    </row>
    <row r="7348" spans="8:8" ht="15" customHeight="1" x14ac:dyDescent="0.2">
      <c r="H7348" s="19">
        <v>-1.78124757116797E-3</v>
      </c>
    </row>
    <row r="7349" spans="8:8" ht="15" customHeight="1" x14ac:dyDescent="0.2">
      <c r="H7349" s="19">
        <v>-1.4113536980459701E-2</v>
      </c>
    </row>
    <row r="7350" spans="8:8" ht="15" customHeight="1" x14ac:dyDescent="0.2">
      <c r="H7350" s="19">
        <v>-7.8444250437188102E-3</v>
      </c>
    </row>
    <row r="7351" spans="8:8" ht="15" customHeight="1" x14ac:dyDescent="0.2">
      <c r="H7351" s="19">
        <v>6.6278945994259497E-4</v>
      </c>
    </row>
    <row r="7352" spans="8:8" ht="15" customHeight="1" x14ac:dyDescent="0.2">
      <c r="H7352" s="19">
        <v>-1.0962105229367801E-2</v>
      </c>
    </row>
    <row r="7353" spans="8:8" ht="15" customHeight="1" x14ac:dyDescent="0.2">
      <c r="H7353" s="19">
        <v>9.0985025501270304E-3</v>
      </c>
    </row>
    <row r="7354" spans="8:8" ht="15" customHeight="1" x14ac:dyDescent="0.2">
      <c r="H7354" s="19">
        <v>3.2765172132721001E-3</v>
      </c>
    </row>
    <row r="7355" spans="8:8" ht="15" customHeight="1" x14ac:dyDescent="0.2">
      <c r="H7355" s="19">
        <v>-1.9728118402072101E-2</v>
      </c>
    </row>
    <row r="7356" spans="8:8" ht="15" customHeight="1" x14ac:dyDescent="0.2">
      <c r="H7356" s="19">
        <v>-8.5868033992585397E-4</v>
      </c>
    </row>
    <row r="7357" spans="8:8" ht="15" customHeight="1" x14ac:dyDescent="0.2">
      <c r="H7357" s="19">
        <v>-1.1180756990196001E-3</v>
      </c>
    </row>
    <row r="7358" spans="8:8" ht="15" customHeight="1" x14ac:dyDescent="0.2">
      <c r="H7358" s="19">
        <v>7.7293132634425601E-3</v>
      </c>
    </row>
    <row r="7359" spans="8:8" ht="15" customHeight="1" x14ac:dyDescent="0.2">
      <c r="H7359" s="19">
        <v>1.2334726500798201E-2</v>
      </c>
    </row>
    <row r="7360" spans="8:8" ht="15" customHeight="1" x14ac:dyDescent="0.2">
      <c r="H7360" s="19">
        <v>1.17523862069996E-2</v>
      </c>
    </row>
    <row r="7361" spans="8:8" ht="15" customHeight="1" x14ac:dyDescent="0.2">
      <c r="H7361" s="19">
        <v>-1.02396955235836E-2</v>
      </c>
    </row>
    <row r="7362" spans="8:8" ht="15" customHeight="1" x14ac:dyDescent="0.2">
      <c r="H7362" s="19">
        <v>-6.3698784789082098E-3</v>
      </c>
    </row>
    <row r="7363" spans="8:8" ht="15" customHeight="1" x14ac:dyDescent="0.2">
      <c r="H7363" s="19">
        <v>4.23018304745474E-3</v>
      </c>
    </row>
    <row r="7364" spans="8:8" ht="15" customHeight="1" x14ac:dyDescent="0.2">
      <c r="H7364" s="19">
        <v>-8.4031041028039093E-3</v>
      </c>
    </row>
    <row r="7365" spans="8:8" ht="15" customHeight="1" x14ac:dyDescent="0.2">
      <c r="H7365" s="19">
        <v>-8.0193935595519999E-3</v>
      </c>
    </row>
    <row r="7366" spans="8:8" ht="15" customHeight="1" x14ac:dyDescent="0.2">
      <c r="H7366" s="19">
        <v>2.5316141278023898E-4</v>
      </c>
    </row>
    <row r="7367" spans="8:8" ht="15" customHeight="1" x14ac:dyDescent="0.2">
      <c r="H7367" s="19">
        <v>-4.5238856104862901E-3</v>
      </c>
    </row>
    <row r="7368" spans="8:8" ht="15" customHeight="1" x14ac:dyDescent="0.2">
      <c r="H7368" s="19">
        <v>4.7577963248361804E-3</v>
      </c>
    </row>
    <row r="7369" spans="8:8" ht="15" customHeight="1" x14ac:dyDescent="0.2">
      <c r="H7369" s="19">
        <v>-2.4964592881527299E-3</v>
      </c>
    </row>
    <row r="7370" spans="8:8" ht="15" customHeight="1" x14ac:dyDescent="0.2">
      <c r="H7370" s="19">
        <v>-4.2302551066528502E-3</v>
      </c>
    </row>
    <row r="7371" spans="8:8" ht="15" customHeight="1" x14ac:dyDescent="0.2">
      <c r="H7371" s="19">
        <v>-1.5874948739517201E-3</v>
      </c>
    </row>
    <row r="7372" spans="8:8" ht="15" customHeight="1" x14ac:dyDescent="0.2">
      <c r="H7372" s="19">
        <v>1.96974895264698E-2</v>
      </c>
    </row>
    <row r="7373" spans="8:8" ht="15" customHeight="1" x14ac:dyDescent="0.2">
      <c r="H7373" s="19">
        <v>-9.7632665228824405E-4</v>
      </c>
    </row>
    <row r="7374" spans="8:8" ht="15" customHeight="1" x14ac:dyDescent="0.2">
      <c r="H7374" s="19">
        <v>-1.13313977050203E-3</v>
      </c>
    </row>
    <row r="7375" spans="8:8" ht="15" customHeight="1" x14ac:dyDescent="0.2">
      <c r="H7375" s="19">
        <v>1.0043686711516E-2</v>
      </c>
    </row>
    <row r="7376" spans="8:8" ht="15" customHeight="1" x14ac:dyDescent="0.2">
      <c r="H7376" s="19">
        <v>-1.7218412706314599E-2</v>
      </c>
    </row>
    <row r="7377" spans="8:8" ht="15" customHeight="1" x14ac:dyDescent="0.2">
      <c r="H7377" s="19">
        <v>-2.35345826907087E-4</v>
      </c>
    </row>
    <row r="7378" spans="8:8" ht="15" customHeight="1" x14ac:dyDescent="0.2">
      <c r="H7378" s="19">
        <v>-1.48653503151136E-2</v>
      </c>
    </row>
    <row r="7379" spans="8:8" ht="15" customHeight="1" x14ac:dyDescent="0.2">
      <c r="H7379" s="19">
        <v>-6.11939641586639E-3</v>
      </c>
    </row>
    <row r="7380" spans="8:8" ht="15" customHeight="1" x14ac:dyDescent="0.2">
      <c r="H7380" s="19">
        <v>5.2605775097825701E-3</v>
      </c>
    </row>
    <row r="7381" spans="8:8" ht="15" customHeight="1" x14ac:dyDescent="0.2">
      <c r="H7381" s="19">
        <v>1.39078042897798E-3</v>
      </c>
    </row>
    <row r="7382" spans="8:8" ht="15" customHeight="1" x14ac:dyDescent="0.2">
      <c r="H7382" s="19">
        <v>2.48185591146509E-2</v>
      </c>
    </row>
    <row r="7383" spans="8:8" ht="15" customHeight="1" x14ac:dyDescent="0.2">
      <c r="H7383" s="19">
        <v>2.0417365874473899E-2</v>
      </c>
    </row>
    <row r="7384" spans="8:8" ht="15" customHeight="1" x14ac:dyDescent="0.2">
      <c r="H7384" s="19">
        <v>-1.52624718392343E-3</v>
      </c>
    </row>
    <row r="7385" spans="8:8" ht="15" customHeight="1" x14ac:dyDescent="0.2">
      <c r="H7385" s="19">
        <v>-2.4325446744873601E-3</v>
      </c>
    </row>
    <row r="7386" spans="8:8" ht="15" customHeight="1" x14ac:dyDescent="0.2">
      <c r="H7386" s="19">
        <v>-2.55681826004883E-2</v>
      </c>
    </row>
    <row r="7387" spans="8:8" ht="15" customHeight="1" x14ac:dyDescent="0.2">
      <c r="H7387" s="19">
        <v>-1.1940982773466301E-2</v>
      </c>
    </row>
    <row r="7388" spans="8:8" ht="15" customHeight="1" x14ac:dyDescent="0.2">
      <c r="H7388" s="19">
        <v>1.0388948315188801E-3</v>
      </c>
    </row>
    <row r="7389" spans="8:8" ht="15" customHeight="1" x14ac:dyDescent="0.2">
      <c r="H7389" s="19">
        <v>4.5181473231688902E-3</v>
      </c>
    </row>
    <row r="7390" spans="8:8" ht="15" customHeight="1" x14ac:dyDescent="0.2">
      <c r="H7390" s="19">
        <v>-1.01193213595978E-2</v>
      </c>
    </row>
    <row r="7391" spans="8:8" ht="15" customHeight="1" x14ac:dyDescent="0.2">
      <c r="H7391" s="19">
        <v>-5.5938167791871798E-3</v>
      </c>
    </row>
    <row r="7392" spans="8:8" ht="15" customHeight="1" x14ac:dyDescent="0.2">
      <c r="H7392" s="19">
        <v>1.90188141469727E-2</v>
      </c>
    </row>
    <row r="7393" spans="8:8" ht="15" customHeight="1" x14ac:dyDescent="0.2">
      <c r="H7393" s="19">
        <v>-9.9059106468619507E-4</v>
      </c>
    </row>
    <row r="7394" spans="8:8" ht="15" customHeight="1" x14ac:dyDescent="0.2">
      <c r="H7394" s="19">
        <v>2.0876299808122302E-3</v>
      </c>
    </row>
    <row r="7395" spans="8:8" ht="15" customHeight="1" x14ac:dyDescent="0.2">
      <c r="H7395" s="19">
        <v>-4.2427278174154903E-3</v>
      </c>
    </row>
    <row r="7396" spans="8:8" ht="15" customHeight="1" x14ac:dyDescent="0.2">
      <c r="H7396" s="19">
        <v>-1.35474340065087E-2</v>
      </c>
    </row>
    <row r="7397" spans="8:8" ht="15" customHeight="1" x14ac:dyDescent="0.2">
      <c r="H7397" s="19">
        <v>-2.5660365680779899E-3</v>
      </c>
    </row>
    <row r="7398" spans="8:8" ht="15" customHeight="1" x14ac:dyDescent="0.2">
      <c r="H7398" s="19">
        <v>-6.4403079102486899E-3</v>
      </c>
    </row>
    <row r="7399" spans="8:8" ht="15" customHeight="1" x14ac:dyDescent="0.2">
      <c r="H7399" s="19">
        <v>1.4883059765838399E-3</v>
      </c>
    </row>
    <row r="7400" spans="8:8" ht="15" customHeight="1" x14ac:dyDescent="0.2">
      <c r="H7400" s="19">
        <v>-9.8265391739007502E-3</v>
      </c>
    </row>
    <row r="7401" spans="8:8" ht="15" customHeight="1" x14ac:dyDescent="0.2">
      <c r="H7401" s="19">
        <v>1.79440720453588E-3</v>
      </c>
    </row>
    <row r="7402" spans="8:8" ht="15" customHeight="1" x14ac:dyDescent="0.2">
      <c r="H7402" s="19">
        <v>4.5905157756727603E-3</v>
      </c>
    </row>
    <row r="7403" spans="8:8" ht="15" customHeight="1" x14ac:dyDescent="0.2">
      <c r="H7403" s="19">
        <v>-9.7142563380741304E-3</v>
      </c>
    </row>
    <row r="7404" spans="8:8" ht="15" customHeight="1" x14ac:dyDescent="0.2">
      <c r="H7404" s="19">
        <v>-2.1945948498987701E-3</v>
      </c>
    </row>
    <row r="7405" spans="8:8" ht="15" customHeight="1" x14ac:dyDescent="0.2">
      <c r="H7405" s="19">
        <v>9.0384134828640494E-3</v>
      </c>
    </row>
    <row r="7406" spans="8:8" ht="15" customHeight="1" x14ac:dyDescent="0.2">
      <c r="H7406" s="19">
        <v>-6.6085680253971299E-4</v>
      </c>
    </row>
    <row r="7407" spans="8:8" ht="15" customHeight="1" x14ac:dyDescent="0.2">
      <c r="H7407" s="19">
        <v>4.1585349471820196E-3</v>
      </c>
    </row>
    <row r="7408" spans="8:8" ht="15" customHeight="1" x14ac:dyDescent="0.2">
      <c r="H7408" s="19">
        <v>8.4841719547033997E-4</v>
      </c>
    </row>
    <row r="7409" spans="8:8" ht="15" customHeight="1" x14ac:dyDescent="0.2">
      <c r="H7409" s="19">
        <v>-2.2118032594264599E-3</v>
      </c>
    </row>
    <row r="7410" spans="8:8" ht="15" customHeight="1" x14ac:dyDescent="0.2">
      <c r="H7410" s="19">
        <v>1.18769066482613E-2</v>
      </c>
    </row>
    <row r="7411" spans="8:8" ht="15" customHeight="1" x14ac:dyDescent="0.2">
      <c r="H7411" s="19">
        <v>-1.7500833723804302E-2</v>
      </c>
    </row>
    <row r="7412" spans="8:8" ht="15" customHeight="1" x14ac:dyDescent="0.2">
      <c r="H7412" s="19">
        <v>3.7015290706363499E-3</v>
      </c>
    </row>
    <row r="7413" spans="8:8" ht="15" customHeight="1" x14ac:dyDescent="0.2">
      <c r="H7413" s="19">
        <v>-1.2764604771058599E-2</v>
      </c>
    </row>
    <row r="7414" spans="8:8" ht="15" customHeight="1" x14ac:dyDescent="0.2">
      <c r="H7414" s="19">
        <v>-1.38189375036514E-2</v>
      </c>
    </row>
    <row r="7415" spans="8:8" ht="15" customHeight="1" x14ac:dyDescent="0.2">
      <c r="H7415" s="19">
        <v>-1.95275950623961E-3</v>
      </c>
    </row>
    <row r="7416" spans="8:8" ht="15" customHeight="1" x14ac:dyDescent="0.2">
      <c r="H7416" s="19">
        <v>-4.3072916811737402E-3</v>
      </c>
    </row>
    <row r="7417" spans="8:8" ht="15" customHeight="1" x14ac:dyDescent="0.2">
      <c r="H7417" s="19">
        <v>-3.1091424987308301E-3</v>
      </c>
    </row>
    <row r="7418" spans="8:8" ht="15" customHeight="1" x14ac:dyDescent="0.2">
      <c r="H7418" s="19">
        <v>1.00233722341375E-2</v>
      </c>
    </row>
    <row r="7419" spans="8:8" ht="15" customHeight="1" x14ac:dyDescent="0.2">
      <c r="H7419" s="19">
        <v>2.2211769862277202E-3</v>
      </c>
    </row>
    <row r="7420" spans="8:8" ht="15" customHeight="1" x14ac:dyDescent="0.2">
      <c r="H7420" s="19">
        <v>-2.1941646315059299E-4</v>
      </c>
    </row>
    <row r="7421" spans="8:8" ht="15" customHeight="1" x14ac:dyDescent="0.2">
      <c r="H7421" s="19">
        <v>3.8693242338231999E-3</v>
      </c>
    </row>
    <row r="7422" spans="8:8" ht="15" customHeight="1" x14ac:dyDescent="0.2">
      <c r="H7422" s="19">
        <v>-1.8561152362290698E-2</v>
      </c>
    </row>
    <row r="7423" spans="8:8" ht="15" customHeight="1" x14ac:dyDescent="0.2">
      <c r="H7423" s="19">
        <v>2.61436667653734E-3</v>
      </c>
    </row>
    <row r="7424" spans="8:8" ht="15" customHeight="1" x14ac:dyDescent="0.2">
      <c r="H7424" s="19">
        <v>2.0522256866340401E-2</v>
      </c>
    </row>
    <row r="7425" spans="8:8" ht="15" customHeight="1" x14ac:dyDescent="0.2">
      <c r="H7425" s="19">
        <v>1.1191293493164001E-2</v>
      </c>
    </row>
    <row r="7426" spans="8:8" ht="15" customHeight="1" x14ac:dyDescent="0.2">
      <c r="H7426" s="19">
        <v>-1.8264283562645801E-2</v>
      </c>
    </row>
    <row r="7427" spans="8:8" ht="15" customHeight="1" x14ac:dyDescent="0.2">
      <c r="H7427" s="19">
        <v>-2.1297989779599999E-3</v>
      </c>
    </row>
    <row r="7428" spans="8:8" ht="15" customHeight="1" x14ac:dyDescent="0.2">
      <c r="H7428" s="19">
        <v>3.43209190933719E-4</v>
      </c>
    </row>
    <row r="7429" spans="8:8" ht="15" customHeight="1" x14ac:dyDescent="0.2">
      <c r="H7429" s="19">
        <v>2.2555367483520299E-3</v>
      </c>
    </row>
    <row r="7430" spans="8:8" ht="15" customHeight="1" x14ac:dyDescent="0.2">
      <c r="H7430" s="19">
        <v>6.3303700787778003E-3</v>
      </c>
    </row>
    <row r="7431" spans="8:8" ht="15" customHeight="1" x14ac:dyDescent="0.2">
      <c r="H7431" s="19">
        <v>-1.40663391637785E-2</v>
      </c>
    </row>
    <row r="7432" spans="8:8" ht="15" customHeight="1" x14ac:dyDescent="0.2">
      <c r="H7432" s="19">
        <v>5.6138432682726496E-4</v>
      </c>
    </row>
    <row r="7433" spans="8:8" ht="15" customHeight="1" x14ac:dyDescent="0.2">
      <c r="H7433" s="19">
        <v>4.5193901550191597E-3</v>
      </c>
    </row>
    <row r="7434" spans="8:8" ht="15" customHeight="1" x14ac:dyDescent="0.2">
      <c r="H7434" s="19">
        <v>-2.2254077880729398E-3</v>
      </c>
    </row>
    <row r="7435" spans="8:8" ht="15" customHeight="1" x14ac:dyDescent="0.2">
      <c r="H7435" s="19">
        <v>1.10435143029058E-2</v>
      </c>
    </row>
    <row r="7436" spans="8:8" ht="15" customHeight="1" x14ac:dyDescent="0.2">
      <c r="H7436" s="19">
        <v>-1.32670778246795E-2</v>
      </c>
    </row>
    <row r="7437" spans="8:8" ht="15" customHeight="1" x14ac:dyDescent="0.2">
      <c r="H7437" s="19">
        <v>-1.4481361159915901E-3</v>
      </c>
    </row>
    <row r="7438" spans="8:8" ht="15" customHeight="1" x14ac:dyDescent="0.2">
      <c r="H7438" s="19">
        <v>-1.9976483264534601E-3</v>
      </c>
    </row>
    <row r="7439" spans="8:8" ht="15" customHeight="1" x14ac:dyDescent="0.2">
      <c r="H7439" s="19">
        <v>-3.3039909886677901E-3</v>
      </c>
    </row>
    <row r="7440" spans="8:8" ht="15" customHeight="1" x14ac:dyDescent="0.2">
      <c r="H7440" s="19">
        <v>7.8047119741939397E-3</v>
      </c>
    </row>
    <row r="7441" spans="8:8" ht="15" customHeight="1" x14ac:dyDescent="0.2">
      <c r="H7441" s="19">
        <v>-5.4993629548634E-3</v>
      </c>
    </row>
    <row r="7442" spans="8:8" ht="15" customHeight="1" x14ac:dyDescent="0.2">
      <c r="H7442" s="19">
        <v>9.1021593500784602E-4</v>
      </c>
    </row>
    <row r="7443" spans="8:8" ht="15" customHeight="1" x14ac:dyDescent="0.2">
      <c r="H7443" s="19">
        <v>-6.3933277623351202E-3</v>
      </c>
    </row>
    <row r="7444" spans="8:8" ht="15" customHeight="1" x14ac:dyDescent="0.2">
      <c r="H7444" s="19">
        <v>-2.2377373500105501E-2</v>
      </c>
    </row>
    <row r="7445" spans="8:8" ht="15" customHeight="1" x14ac:dyDescent="0.2">
      <c r="H7445" s="19">
        <v>3.9375581098484496E-3</v>
      </c>
    </row>
    <row r="7446" spans="8:8" ht="15" customHeight="1" x14ac:dyDescent="0.2">
      <c r="H7446" s="19">
        <v>1.4295501737728099E-2</v>
      </c>
    </row>
    <row r="7447" spans="8:8" ht="15" customHeight="1" x14ac:dyDescent="0.2">
      <c r="H7447" s="19">
        <v>2.1841988613055099E-2</v>
      </c>
    </row>
    <row r="7448" spans="8:8" ht="15" customHeight="1" x14ac:dyDescent="0.2">
      <c r="H7448" s="19">
        <v>-1.22953274239957E-3</v>
      </c>
    </row>
    <row r="7449" spans="8:8" ht="15" customHeight="1" x14ac:dyDescent="0.2">
      <c r="H7449" s="19">
        <v>2.28650445510526E-2</v>
      </c>
    </row>
    <row r="7450" spans="8:8" ht="15" customHeight="1" x14ac:dyDescent="0.2">
      <c r="H7450" s="19">
        <v>-1.1042904227529401E-2</v>
      </c>
    </row>
    <row r="7451" spans="8:8" ht="15" customHeight="1" x14ac:dyDescent="0.2">
      <c r="H7451" s="19">
        <v>-4.8171599203969701E-3</v>
      </c>
    </row>
    <row r="7452" spans="8:8" ht="15" customHeight="1" x14ac:dyDescent="0.2">
      <c r="H7452" s="19">
        <v>-4.6192564983612598E-3</v>
      </c>
    </row>
    <row r="7453" spans="8:8" ht="15" customHeight="1" x14ac:dyDescent="0.2">
      <c r="H7453" s="19">
        <v>-6.00703294563082E-3</v>
      </c>
    </row>
    <row r="7454" spans="8:8" ht="15" customHeight="1" x14ac:dyDescent="0.2">
      <c r="H7454" s="19">
        <v>2.1578233093057401E-2</v>
      </c>
    </row>
    <row r="7455" spans="8:8" ht="15" customHeight="1" x14ac:dyDescent="0.2">
      <c r="H7455" s="19">
        <v>3.9347061116208502E-3</v>
      </c>
    </row>
    <row r="7456" spans="8:8" ht="15" customHeight="1" x14ac:dyDescent="0.2">
      <c r="H7456" s="19">
        <v>4.99729112687302E-3</v>
      </c>
    </row>
    <row r="7457" spans="8:8" ht="15" customHeight="1" x14ac:dyDescent="0.2">
      <c r="H7457" s="19">
        <v>1.7373892416775501E-2</v>
      </c>
    </row>
    <row r="7458" spans="8:8" ht="15" customHeight="1" x14ac:dyDescent="0.2">
      <c r="H7458" s="19">
        <v>1.42987101562638E-2</v>
      </c>
    </row>
    <row r="7459" spans="8:8" ht="15" customHeight="1" x14ac:dyDescent="0.2">
      <c r="H7459" s="19">
        <v>3.8782315760239601E-4</v>
      </c>
    </row>
    <row r="7460" spans="8:8" ht="15" customHeight="1" x14ac:dyDescent="0.2">
      <c r="H7460" s="19">
        <v>1.27010047730552E-2</v>
      </c>
    </row>
    <row r="7461" spans="8:8" ht="15" customHeight="1" x14ac:dyDescent="0.2">
      <c r="H7461" s="19">
        <v>-9.9193715559512501E-3</v>
      </c>
    </row>
    <row r="7462" spans="8:8" ht="15" customHeight="1" x14ac:dyDescent="0.2">
      <c r="H7462" s="19">
        <v>8.4119964996830898E-3</v>
      </c>
    </row>
    <row r="7463" spans="8:8" ht="15" customHeight="1" x14ac:dyDescent="0.2">
      <c r="H7463" s="19">
        <v>5.8986242523873704E-3</v>
      </c>
    </row>
    <row r="7464" spans="8:8" ht="15" customHeight="1" x14ac:dyDescent="0.2">
      <c r="H7464" s="19">
        <v>2.2948624694154101E-3</v>
      </c>
    </row>
    <row r="7465" spans="8:8" ht="15" customHeight="1" x14ac:dyDescent="0.2">
      <c r="H7465" s="19">
        <v>1.3229898464067E-3</v>
      </c>
    </row>
    <row r="7466" spans="8:8" ht="15" customHeight="1" x14ac:dyDescent="0.2">
      <c r="H7466" s="19">
        <v>4.6888350342192001E-3</v>
      </c>
    </row>
    <row r="7467" spans="8:8" ht="15" customHeight="1" x14ac:dyDescent="0.2">
      <c r="H7467" s="19">
        <v>-2.3268190381044399E-2</v>
      </c>
    </row>
    <row r="7468" spans="8:8" ht="15" customHeight="1" x14ac:dyDescent="0.2">
      <c r="H7468" s="19">
        <v>2.4907205542245201E-3</v>
      </c>
    </row>
    <row r="7469" spans="8:8" ht="15" customHeight="1" x14ac:dyDescent="0.2">
      <c r="H7469" s="19">
        <v>-6.0220402512383801E-3</v>
      </c>
    </row>
    <row r="7470" spans="8:8" ht="15" customHeight="1" x14ac:dyDescent="0.2">
      <c r="H7470" s="19">
        <v>-4.5075989583957098E-3</v>
      </c>
    </row>
    <row r="7471" spans="8:8" ht="15" customHeight="1" x14ac:dyDescent="0.2">
      <c r="H7471" s="19">
        <v>-1.52050244497411E-2</v>
      </c>
    </row>
    <row r="7472" spans="8:8" ht="15" customHeight="1" x14ac:dyDescent="0.2">
      <c r="H7472" s="19">
        <v>-1.49796604902493E-2</v>
      </c>
    </row>
    <row r="7473" spans="8:8" ht="15" customHeight="1" x14ac:dyDescent="0.2">
      <c r="H7473" s="19">
        <v>-1.4461587288531199E-3</v>
      </c>
    </row>
    <row r="7474" spans="8:8" ht="15" customHeight="1" x14ac:dyDescent="0.2">
      <c r="H7474" s="19">
        <v>7.4865847009223403E-3</v>
      </c>
    </row>
    <row r="7475" spans="8:8" ht="15" customHeight="1" x14ac:dyDescent="0.2">
      <c r="H7475" s="19">
        <v>1.55778521528032E-2</v>
      </c>
    </row>
    <row r="7476" spans="8:8" ht="15" customHeight="1" x14ac:dyDescent="0.2">
      <c r="H7476" s="19">
        <v>-1.33655554878684E-2</v>
      </c>
    </row>
    <row r="7477" spans="8:8" ht="15" customHeight="1" x14ac:dyDescent="0.2">
      <c r="H7477" s="19">
        <v>5.6638342483036701E-4</v>
      </c>
    </row>
    <row r="7478" spans="8:8" ht="15" customHeight="1" x14ac:dyDescent="0.2">
      <c r="H7478" s="19">
        <v>1.8438866564575999E-2</v>
      </c>
    </row>
    <row r="7479" spans="8:8" ht="15" customHeight="1" x14ac:dyDescent="0.2">
      <c r="H7479" s="19">
        <v>-3.9809479914773398E-3</v>
      </c>
    </row>
    <row r="7480" spans="8:8" ht="15" customHeight="1" x14ac:dyDescent="0.2">
      <c r="H7480" s="19">
        <v>-2.01161279623023E-3</v>
      </c>
    </row>
    <row r="7481" spans="8:8" ht="15" customHeight="1" x14ac:dyDescent="0.2">
      <c r="H7481" s="19">
        <v>-1.02143991940178E-3</v>
      </c>
    </row>
    <row r="7482" spans="8:8" ht="15" customHeight="1" x14ac:dyDescent="0.2">
      <c r="H7482" s="19">
        <v>5.8326938157537596E-3</v>
      </c>
    </row>
    <row r="7483" spans="8:8" ht="15" customHeight="1" x14ac:dyDescent="0.2">
      <c r="H7483" s="19">
        <v>-6.4473590333032603E-4</v>
      </c>
    </row>
    <row r="7484" spans="8:8" ht="15" customHeight="1" x14ac:dyDescent="0.2">
      <c r="H7484" s="19">
        <v>-1.21260701064996E-2</v>
      </c>
    </row>
    <row r="7485" spans="8:8" ht="15" customHeight="1" x14ac:dyDescent="0.2">
      <c r="H7485" s="19">
        <v>4.7947578430909002E-3</v>
      </c>
    </row>
    <row r="7486" spans="8:8" ht="15" customHeight="1" x14ac:dyDescent="0.2">
      <c r="H7486" s="19">
        <v>-2.8595390929272001E-3</v>
      </c>
    </row>
    <row r="7487" spans="8:8" ht="15" customHeight="1" x14ac:dyDescent="0.2">
      <c r="H7487" s="19">
        <v>1.59561021966033E-3</v>
      </c>
    </row>
    <row r="7488" spans="8:8" ht="15" customHeight="1" x14ac:dyDescent="0.2">
      <c r="H7488" s="19">
        <v>-2.01258818645359E-3</v>
      </c>
    </row>
    <row r="7489" spans="8:8" ht="15" customHeight="1" x14ac:dyDescent="0.2">
      <c r="H7489" s="19">
        <v>-4.72987046557111E-3</v>
      </c>
    </row>
    <row r="7490" spans="8:8" ht="15" customHeight="1" x14ac:dyDescent="0.2">
      <c r="H7490" s="19">
        <v>-8.3067100861010709E-3</v>
      </c>
    </row>
    <row r="7491" spans="8:8" ht="15" customHeight="1" x14ac:dyDescent="0.2">
      <c r="H7491" s="19">
        <v>-1.1832661542524501E-2</v>
      </c>
    </row>
    <row r="7492" spans="8:8" ht="15" customHeight="1" x14ac:dyDescent="0.2">
      <c r="H7492" s="19">
        <v>-6.1599338623769401E-3</v>
      </c>
    </row>
    <row r="7493" spans="8:8" ht="15" customHeight="1" x14ac:dyDescent="0.2">
      <c r="H7493" s="19">
        <v>-4.7596985886518501E-3</v>
      </c>
    </row>
    <row r="7494" spans="8:8" ht="15" customHeight="1" x14ac:dyDescent="0.2">
      <c r="H7494" s="19">
        <v>-7.8022540841106904E-3</v>
      </c>
    </row>
    <row r="7495" spans="8:8" ht="15" customHeight="1" x14ac:dyDescent="0.2">
      <c r="H7495" s="19">
        <v>-1.0625370192062399E-2</v>
      </c>
    </row>
    <row r="7496" spans="8:8" ht="15" customHeight="1" x14ac:dyDescent="0.2">
      <c r="H7496" s="19">
        <v>-1.15042222855845E-2</v>
      </c>
    </row>
    <row r="7497" spans="8:8" ht="15" customHeight="1" x14ac:dyDescent="0.2">
      <c r="H7497" s="19">
        <v>1.7598240283982599E-2</v>
      </c>
    </row>
    <row r="7498" spans="8:8" ht="15" customHeight="1" x14ac:dyDescent="0.2">
      <c r="H7498" s="19">
        <v>-8.6988490630921802E-4</v>
      </c>
    </row>
    <row r="7499" spans="8:8" ht="15" customHeight="1" x14ac:dyDescent="0.2">
      <c r="H7499" s="19">
        <v>-1.21491588334135E-2</v>
      </c>
    </row>
    <row r="7500" spans="8:8" ht="15" customHeight="1" x14ac:dyDescent="0.2">
      <c r="H7500" s="19">
        <v>-3.84863338731659E-3</v>
      </c>
    </row>
    <row r="7501" spans="8:8" ht="15" customHeight="1" x14ac:dyDescent="0.2">
      <c r="H7501" s="19">
        <v>-1.0134734138315501E-2</v>
      </c>
    </row>
    <row r="7502" spans="8:8" ht="15" customHeight="1" x14ac:dyDescent="0.2">
      <c r="H7502" s="19">
        <v>2.1999023328425099E-2</v>
      </c>
    </row>
    <row r="7503" spans="8:8" ht="15" customHeight="1" x14ac:dyDescent="0.2">
      <c r="H7503" s="19">
        <v>-9.6992581793291493E-3</v>
      </c>
    </row>
    <row r="7504" spans="8:8" ht="15" customHeight="1" x14ac:dyDescent="0.2">
      <c r="H7504" s="19">
        <v>5.5711766774809603E-5</v>
      </c>
    </row>
    <row r="7505" spans="8:8" ht="15" customHeight="1" x14ac:dyDescent="0.2">
      <c r="H7505" s="19">
        <v>1.5262593081108699E-2</v>
      </c>
    </row>
    <row r="7506" spans="8:8" ht="15" customHeight="1" x14ac:dyDescent="0.2">
      <c r="H7506" s="19">
        <v>1.09541978502727E-2</v>
      </c>
    </row>
    <row r="7507" spans="8:8" ht="15" customHeight="1" x14ac:dyDescent="0.2">
      <c r="H7507" s="19">
        <v>-1.0418799545343299E-2</v>
      </c>
    </row>
    <row r="7508" spans="8:8" ht="15" customHeight="1" x14ac:dyDescent="0.2">
      <c r="H7508" s="19">
        <v>-1.20547584992622E-2</v>
      </c>
    </row>
    <row r="7509" spans="8:8" ht="15" customHeight="1" x14ac:dyDescent="0.2">
      <c r="H7509" s="19">
        <v>3.4948886513597099E-3</v>
      </c>
    </row>
    <row r="7510" spans="8:8" ht="15" customHeight="1" x14ac:dyDescent="0.2">
      <c r="H7510" s="19">
        <v>-1.3092925988831799E-2</v>
      </c>
    </row>
    <row r="7511" spans="8:8" ht="15" customHeight="1" x14ac:dyDescent="0.2">
      <c r="H7511" s="19">
        <v>7.4111199961949103E-3</v>
      </c>
    </row>
    <row r="7512" spans="8:8" ht="15" customHeight="1" x14ac:dyDescent="0.2">
      <c r="H7512" s="19">
        <v>-4.3881125379325201E-3</v>
      </c>
    </row>
    <row r="7513" spans="8:8" ht="15" customHeight="1" x14ac:dyDescent="0.2">
      <c r="H7513" s="19">
        <v>6.8990726412996297E-3</v>
      </c>
    </row>
    <row r="7514" spans="8:8" ht="15" customHeight="1" x14ac:dyDescent="0.2">
      <c r="H7514" s="19">
        <v>1.538652044162E-2</v>
      </c>
    </row>
    <row r="7515" spans="8:8" ht="15" customHeight="1" x14ac:dyDescent="0.2">
      <c r="H7515" s="19">
        <v>1.44036208456366E-3</v>
      </c>
    </row>
    <row r="7516" spans="8:8" ht="15" customHeight="1" x14ac:dyDescent="0.2">
      <c r="H7516" s="19">
        <v>3.3106061916174899E-3</v>
      </c>
    </row>
    <row r="7517" spans="8:8" ht="15" customHeight="1" x14ac:dyDescent="0.2">
      <c r="H7517" s="19">
        <v>-4.5182374797727003E-3</v>
      </c>
    </row>
    <row r="7518" spans="8:8" ht="15" customHeight="1" x14ac:dyDescent="0.2">
      <c r="H7518" s="19">
        <v>-4.9692429923529E-3</v>
      </c>
    </row>
    <row r="7519" spans="8:8" ht="15" customHeight="1" x14ac:dyDescent="0.2">
      <c r="H7519" s="19">
        <v>-2.2045629928678E-2</v>
      </c>
    </row>
    <row r="7520" spans="8:8" ht="15" customHeight="1" x14ac:dyDescent="0.2">
      <c r="H7520" s="19">
        <v>-3.68654636499624E-3</v>
      </c>
    </row>
    <row r="7521" spans="8:8" ht="15" customHeight="1" x14ac:dyDescent="0.2">
      <c r="H7521" s="19">
        <v>1.0454371284856E-2</v>
      </c>
    </row>
    <row r="7522" spans="8:8" ht="15" customHeight="1" x14ac:dyDescent="0.2">
      <c r="H7522" s="19">
        <v>4.22397709486594E-3</v>
      </c>
    </row>
    <row r="7523" spans="8:8" ht="15" customHeight="1" x14ac:dyDescent="0.2">
      <c r="H7523" s="19">
        <v>8.97137010799803E-3</v>
      </c>
    </row>
    <row r="7524" spans="8:8" ht="15" customHeight="1" x14ac:dyDescent="0.2">
      <c r="H7524" s="19">
        <v>1.36593874966222E-3</v>
      </c>
    </row>
    <row r="7525" spans="8:8" ht="15" customHeight="1" x14ac:dyDescent="0.2">
      <c r="H7525" s="19">
        <v>-7.9536475583170292E-3</v>
      </c>
    </row>
    <row r="7526" spans="8:8" ht="15" customHeight="1" x14ac:dyDescent="0.2">
      <c r="H7526" s="19">
        <v>2.3466271696752399E-2</v>
      </c>
    </row>
    <row r="7527" spans="8:8" ht="15" customHeight="1" x14ac:dyDescent="0.2">
      <c r="H7527" s="19">
        <v>-3.5428724017622401E-3</v>
      </c>
    </row>
    <row r="7528" spans="8:8" ht="15" customHeight="1" x14ac:dyDescent="0.2">
      <c r="H7528" s="19">
        <v>-3.6620994572217698E-3</v>
      </c>
    </row>
    <row r="7529" spans="8:8" ht="15" customHeight="1" x14ac:dyDescent="0.2">
      <c r="H7529" s="19">
        <v>-8.0374175762455997E-3</v>
      </c>
    </row>
    <row r="7530" spans="8:8" ht="15" customHeight="1" x14ac:dyDescent="0.2">
      <c r="H7530" s="19">
        <v>1.60024390553329E-3</v>
      </c>
    </row>
    <row r="7531" spans="8:8" ht="15" customHeight="1" x14ac:dyDescent="0.2">
      <c r="H7531" s="19">
        <v>2.0833495444159398E-3</v>
      </c>
    </row>
    <row r="7532" spans="8:8" ht="15" customHeight="1" x14ac:dyDescent="0.2">
      <c r="H7532" s="19">
        <v>-8.6017719970149405E-3</v>
      </c>
    </row>
    <row r="7533" spans="8:8" ht="15" customHeight="1" x14ac:dyDescent="0.2">
      <c r="H7533" s="19">
        <v>-1.42424492653791E-2</v>
      </c>
    </row>
    <row r="7534" spans="8:8" ht="15" customHeight="1" x14ac:dyDescent="0.2">
      <c r="H7534" s="19">
        <v>7.8921067497294394E-3</v>
      </c>
    </row>
    <row r="7535" spans="8:8" ht="15" customHeight="1" x14ac:dyDescent="0.2">
      <c r="H7535" s="19">
        <v>-2.0820196606102102E-2</v>
      </c>
    </row>
    <row r="7536" spans="8:8" ht="15" customHeight="1" x14ac:dyDescent="0.2">
      <c r="H7536" s="19">
        <v>5.6446780356195301E-3</v>
      </c>
    </row>
    <row r="7537" spans="8:8" ht="15" customHeight="1" x14ac:dyDescent="0.2">
      <c r="H7537" s="19">
        <v>-2.5657059697393098E-3</v>
      </c>
    </row>
    <row r="7538" spans="8:8" ht="15" customHeight="1" x14ac:dyDescent="0.2">
      <c r="H7538" s="19">
        <v>1.4050942996358499E-2</v>
      </c>
    </row>
    <row r="7539" spans="8:8" ht="15" customHeight="1" x14ac:dyDescent="0.2">
      <c r="H7539" s="19">
        <v>1.6488708875616698E-2</v>
      </c>
    </row>
    <row r="7540" spans="8:8" ht="15" customHeight="1" x14ac:dyDescent="0.2">
      <c r="H7540" s="19">
        <v>1.1350127334032499E-2</v>
      </c>
    </row>
    <row r="7541" spans="8:8" ht="15" customHeight="1" x14ac:dyDescent="0.2">
      <c r="H7541" s="19">
        <v>-1.34582781450654E-2</v>
      </c>
    </row>
    <row r="7542" spans="8:8" ht="15" customHeight="1" x14ac:dyDescent="0.2">
      <c r="H7542" s="19">
        <v>4.1661376192249798E-3</v>
      </c>
    </row>
    <row r="7543" spans="8:8" ht="15" customHeight="1" x14ac:dyDescent="0.2">
      <c r="H7543" s="19">
        <v>-6.8137715455019298E-3</v>
      </c>
    </row>
    <row r="7544" spans="8:8" ht="15" customHeight="1" x14ac:dyDescent="0.2">
      <c r="H7544" s="19">
        <v>3.4423923547431002E-3</v>
      </c>
    </row>
    <row r="7545" spans="8:8" ht="15" customHeight="1" x14ac:dyDescent="0.2">
      <c r="H7545" s="19">
        <v>2.63263287359463E-3</v>
      </c>
    </row>
    <row r="7546" spans="8:8" ht="15" customHeight="1" x14ac:dyDescent="0.2">
      <c r="H7546" s="19">
        <v>-7.0099349934412396E-3</v>
      </c>
    </row>
    <row r="7547" spans="8:8" ht="15" customHeight="1" x14ac:dyDescent="0.2">
      <c r="H7547" s="19">
        <v>7.5077714307154502E-3</v>
      </c>
    </row>
    <row r="7548" spans="8:8" ht="15" customHeight="1" x14ac:dyDescent="0.2">
      <c r="H7548" s="19">
        <v>-2.6295652492193699E-3</v>
      </c>
    </row>
    <row r="7549" spans="8:8" ht="15" customHeight="1" x14ac:dyDescent="0.2">
      <c r="H7549" s="19">
        <v>1.2714903523448499E-2</v>
      </c>
    </row>
    <row r="7550" spans="8:8" ht="15" customHeight="1" x14ac:dyDescent="0.2">
      <c r="H7550" s="19">
        <v>2.7030171316253901E-3</v>
      </c>
    </row>
    <row r="7551" spans="8:8" ht="15" customHeight="1" x14ac:dyDescent="0.2">
      <c r="H7551" s="19">
        <v>8.9607857138943002E-3</v>
      </c>
    </row>
    <row r="7552" spans="8:8" ht="15" customHeight="1" x14ac:dyDescent="0.2">
      <c r="H7552" s="19">
        <v>2.53638826818188E-2</v>
      </c>
    </row>
    <row r="7553" spans="8:8" ht="15" customHeight="1" x14ac:dyDescent="0.2">
      <c r="H7553" s="19">
        <v>-8.2583742598710003E-3</v>
      </c>
    </row>
    <row r="7554" spans="8:8" ht="15" customHeight="1" x14ac:dyDescent="0.2">
      <c r="H7554" s="19">
        <v>1.07942757292365E-2</v>
      </c>
    </row>
    <row r="7555" spans="8:8" ht="15" customHeight="1" x14ac:dyDescent="0.2">
      <c r="H7555" s="19">
        <v>-6.5995812415327202E-3</v>
      </c>
    </row>
    <row r="7556" spans="8:8" ht="15" customHeight="1" x14ac:dyDescent="0.2">
      <c r="H7556" s="19">
        <v>-2.3623128116339698E-2</v>
      </c>
    </row>
    <row r="7557" spans="8:8" ht="15" customHeight="1" x14ac:dyDescent="0.2">
      <c r="H7557" s="19">
        <v>1.6024426482440599E-3</v>
      </c>
    </row>
    <row r="7558" spans="8:8" ht="15" customHeight="1" x14ac:dyDescent="0.2">
      <c r="H7558" s="19">
        <v>3.4239795094469803E-2</v>
      </c>
    </row>
    <row r="7559" spans="8:8" ht="15" customHeight="1" x14ac:dyDescent="0.2">
      <c r="H7559" s="19">
        <v>-1.87085842346306E-3</v>
      </c>
    </row>
    <row r="7560" spans="8:8" ht="15" customHeight="1" x14ac:dyDescent="0.2">
      <c r="H7560" s="19">
        <v>-3.7667670086597E-3</v>
      </c>
    </row>
    <row r="7561" spans="8:8" ht="15" customHeight="1" x14ac:dyDescent="0.2">
      <c r="H7561" s="19">
        <v>-1.11411813768826E-2</v>
      </c>
    </row>
    <row r="7562" spans="8:8" ht="15" customHeight="1" x14ac:dyDescent="0.2">
      <c r="H7562" s="19">
        <v>1.5448688504944399E-2</v>
      </c>
    </row>
    <row r="7563" spans="8:8" ht="15" customHeight="1" x14ac:dyDescent="0.2">
      <c r="H7563" s="19">
        <v>-3.9410201318629901E-3</v>
      </c>
    </row>
    <row r="7564" spans="8:8" ht="15" customHeight="1" x14ac:dyDescent="0.2">
      <c r="H7564" s="19">
        <v>6.4464099229471598E-3</v>
      </c>
    </row>
    <row r="7565" spans="8:8" ht="15" customHeight="1" x14ac:dyDescent="0.2">
      <c r="H7565" s="19">
        <v>8.9405874696473504E-3</v>
      </c>
    </row>
    <row r="7566" spans="8:8" ht="15" customHeight="1" x14ac:dyDescent="0.2">
      <c r="H7566" s="19">
        <v>2.8440808419482001E-3</v>
      </c>
    </row>
    <row r="7567" spans="8:8" ht="15" customHeight="1" x14ac:dyDescent="0.2">
      <c r="H7567" s="19">
        <v>7.4440030400947099E-3</v>
      </c>
    </row>
    <row r="7568" spans="8:8" ht="15" customHeight="1" x14ac:dyDescent="0.2">
      <c r="H7568" s="19">
        <v>-1.29310319902804E-2</v>
      </c>
    </row>
    <row r="7569" spans="8:8" ht="15" customHeight="1" x14ac:dyDescent="0.2">
      <c r="H7569" s="19">
        <v>1.94757502754053E-3</v>
      </c>
    </row>
    <row r="7570" spans="8:8" ht="15" customHeight="1" x14ac:dyDescent="0.2">
      <c r="H7570" s="19">
        <v>4.8062350700957702E-3</v>
      </c>
    </row>
    <row r="7571" spans="8:8" ht="15" customHeight="1" x14ac:dyDescent="0.2">
      <c r="H7571" s="19">
        <v>1.3221303878835501E-3</v>
      </c>
    </row>
    <row r="7572" spans="8:8" ht="15" customHeight="1" x14ac:dyDescent="0.2">
      <c r="H7572" s="19">
        <v>-1.9203975142503701E-3</v>
      </c>
    </row>
    <row r="7573" spans="8:8" ht="15" customHeight="1" x14ac:dyDescent="0.2">
      <c r="H7573" s="19">
        <v>7.37725914290451E-3</v>
      </c>
    </row>
    <row r="7574" spans="8:8" ht="15" customHeight="1" x14ac:dyDescent="0.2">
      <c r="H7574" s="19">
        <v>2.6124476832512498E-3</v>
      </c>
    </row>
    <row r="7575" spans="8:8" ht="15" customHeight="1" x14ac:dyDescent="0.2">
      <c r="H7575" s="19">
        <v>-9.7185887227680592E-3</v>
      </c>
    </row>
    <row r="7576" spans="8:8" ht="15" customHeight="1" x14ac:dyDescent="0.2">
      <c r="H7576" s="19">
        <v>-5.9674296200187098E-3</v>
      </c>
    </row>
    <row r="7577" spans="8:8" ht="15" customHeight="1" x14ac:dyDescent="0.2">
      <c r="H7577" s="19">
        <v>-5.2346909084716696E-4</v>
      </c>
    </row>
    <row r="7578" spans="8:8" ht="15" customHeight="1" x14ac:dyDescent="0.2">
      <c r="H7578" s="19">
        <v>8.1456668788074792E-3</v>
      </c>
    </row>
    <row r="7579" spans="8:8" ht="15" customHeight="1" x14ac:dyDescent="0.2">
      <c r="H7579" s="19">
        <v>1.01982150652735E-3</v>
      </c>
    </row>
    <row r="7580" spans="8:8" ht="15" customHeight="1" x14ac:dyDescent="0.2">
      <c r="H7580" s="19">
        <v>2.1955708221591602E-3</v>
      </c>
    </row>
    <row r="7581" spans="8:8" ht="15" customHeight="1" x14ac:dyDescent="0.2">
      <c r="H7581" s="19">
        <v>4.4116759983944698E-3</v>
      </c>
    </row>
    <row r="7582" spans="8:8" ht="15" customHeight="1" x14ac:dyDescent="0.2">
      <c r="H7582" s="19">
        <v>-1.84581560717841E-3</v>
      </c>
    </row>
    <row r="7583" spans="8:8" ht="15" customHeight="1" x14ac:dyDescent="0.2">
      <c r="H7583" s="19">
        <v>4.4765047719079899E-3</v>
      </c>
    </row>
    <row r="7584" spans="8:8" ht="15" customHeight="1" x14ac:dyDescent="0.2">
      <c r="H7584" s="19">
        <v>7.7942077303170196E-3</v>
      </c>
    </row>
    <row r="7585" spans="8:8" ht="15" customHeight="1" x14ac:dyDescent="0.2">
      <c r="H7585" s="19">
        <v>6.2709840012116699E-3</v>
      </c>
    </row>
    <row r="7586" spans="8:8" ht="15" customHeight="1" x14ac:dyDescent="0.2">
      <c r="H7586" s="19">
        <v>1.51786892307428E-2</v>
      </c>
    </row>
    <row r="7587" spans="8:8" ht="15" customHeight="1" x14ac:dyDescent="0.2">
      <c r="H7587" s="19">
        <v>1.5880486663569799E-2</v>
      </c>
    </row>
    <row r="7588" spans="8:8" ht="15" customHeight="1" x14ac:dyDescent="0.2">
      <c r="H7588" s="19">
        <v>-1.9736159048156302E-3</v>
      </c>
    </row>
    <row r="7589" spans="8:8" ht="15" customHeight="1" x14ac:dyDescent="0.2">
      <c r="H7589" s="19">
        <v>-1.15240674693075E-3</v>
      </c>
    </row>
    <row r="7590" spans="8:8" ht="15" customHeight="1" x14ac:dyDescent="0.2">
      <c r="H7590" s="19">
        <v>-4.5374320886237499E-3</v>
      </c>
    </row>
    <row r="7591" spans="8:8" ht="15" customHeight="1" x14ac:dyDescent="0.2">
      <c r="H7591" s="19">
        <v>-2.5784258781359599E-2</v>
      </c>
    </row>
    <row r="7592" spans="8:8" ht="15" customHeight="1" x14ac:dyDescent="0.2">
      <c r="H7592" s="19">
        <v>-1.00032837882596E-2</v>
      </c>
    </row>
    <row r="7593" spans="8:8" ht="15" customHeight="1" x14ac:dyDescent="0.2">
      <c r="H7593" s="19">
        <v>-2.0614459280986798E-3</v>
      </c>
    </row>
    <row r="7594" spans="8:8" ht="15" customHeight="1" x14ac:dyDescent="0.2">
      <c r="H7594" s="19">
        <v>-4.0558087389038801E-3</v>
      </c>
    </row>
    <row r="7595" spans="8:8" ht="15" customHeight="1" x14ac:dyDescent="0.2">
      <c r="H7595" s="19">
        <v>-1.2024095087755701E-2</v>
      </c>
    </row>
    <row r="7596" spans="8:8" ht="15" customHeight="1" x14ac:dyDescent="0.2">
      <c r="H7596" s="19">
        <v>4.0927409665701296E-3</v>
      </c>
    </row>
    <row r="7597" spans="8:8" ht="15" customHeight="1" x14ac:dyDescent="0.2">
      <c r="H7597" s="19">
        <v>-1.4521582665469801E-3</v>
      </c>
    </row>
    <row r="7598" spans="8:8" ht="15" customHeight="1" x14ac:dyDescent="0.2">
      <c r="H7598" s="19">
        <v>9.2610438108697603E-3</v>
      </c>
    </row>
    <row r="7599" spans="8:8" ht="15" customHeight="1" x14ac:dyDescent="0.2">
      <c r="H7599" s="19">
        <v>8.8543020318441294E-3</v>
      </c>
    </row>
    <row r="7600" spans="8:8" ht="15" customHeight="1" x14ac:dyDescent="0.2">
      <c r="H7600" s="19">
        <v>1.19146902243313E-2</v>
      </c>
    </row>
    <row r="7601" spans="8:8" ht="15" customHeight="1" x14ac:dyDescent="0.2">
      <c r="H7601" s="19">
        <v>4.4861408875639802E-3</v>
      </c>
    </row>
    <row r="7602" spans="8:8" ht="15" customHeight="1" x14ac:dyDescent="0.2">
      <c r="H7602" s="19">
        <v>-7.0752712910958004E-3</v>
      </c>
    </row>
    <row r="7603" spans="8:8" ht="15" customHeight="1" x14ac:dyDescent="0.2">
      <c r="H7603" s="19">
        <v>2.5780752261345598E-3</v>
      </c>
    </row>
    <row r="7604" spans="8:8" ht="15" customHeight="1" x14ac:dyDescent="0.2">
      <c r="H7604" s="19">
        <v>-5.20197483683619E-4</v>
      </c>
    </row>
    <row r="7605" spans="8:8" ht="15" customHeight="1" x14ac:dyDescent="0.2">
      <c r="H7605" s="19">
        <v>-8.8655892705330405E-3</v>
      </c>
    </row>
    <row r="7606" spans="8:8" ht="15" customHeight="1" x14ac:dyDescent="0.2">
      <c r="H7606" s="19">
        <v>6.8629410439522802E-3</v>
      </c>
    </row>
    <row r="7607" spans="8:8" ht="15" customHeight="1" x14ac:dyDescent="0.2">
      <c r="H7607" s="19">
        <v>1.12887835557486E-2</v>
      </c>
    </row>
    <row r="7608" spans="8:8" ht="15" customHeight="1" x14ac:dyDescent="0.2">
      <c r="H7608" s="19">
        <v>1.3462533850816199E-2</v>
      </c>
    </row>
    <row r="7609" spans="8:8" ht="15" customHeight="1" x14ac:dyDescent="0.2">
      <c r="H7609" s="19">
        <v>2.4232354519462501E-3</v>
      </c>
    </row>
    <row r="7610" spans="8:8" ht="15" customHeight="1" x14ac:dyDescent="0.2">
      <c r="H7610" s="19">
        <v>6.2173458283946003E-3</v>
      </c>
    </row>
    <row r="7611" spans="8:8" ht="15" customHeight="1" x14ac:dyDescent="0.2">
      <c r="H7611" s="19">
        <v>-2.6620143656992E-3</v>
      </c>
    </row>
    <row r="7612" spans="8:8" ht="15" customHeight="1" x14ac:dyDescent="0.2">
      <c r="H7612" s="19">
        <v>1.8949409566655501E-2</v>
      </c>
    </row>
    <row r="7613" spans="8:8" ht="15" customHeight="1" x14ac:dyDescent="0.2">
      <c r="H7613" s="19">
        <v>-3.5720189888102999E-3</v>
      </c>
    </row>
    <row r="7614" spans="8:8" ht="15" customHeight="1" x14ac:dyDescent="0.2">
      <c r="H7614" s="19">
        <v>7.4102959910759998E-3</v>
      </c>
    </row>
    <row r="7615" spans="8:8" ht="15" customHeight="1" x14ac:dyDescent="0.2">
      <c r="H7615" s="19">
        <v>5.1894825967566298E-3</v>
      </c>
    </row>
    <row r="7616" spans="8:8" ht="15" customHeight="1" x14ac:dyDescent="0.2">
      <c r="H7616" s="19">
        <v>6.7135021253424201E-3</v>
      </c>
    </row>
    <row r="7617" spans="8:8" ht="15" customHeight="1" x14ac:dyDescent="0.2">
      <c r="H7617" s="19">
        <v>-2.0600589210860901E-2</v>
      </c>
    </row>
    <row r="7618" spans="8:8" ht="15" customHeight="1" x14ac:dyDescent="0.2">
      <c r="H7618" s="19">
        <v>5.0325356367954103E-4</v>
      </c>
    </row>
    <row r="7619" spans="8:8" ht="15" customHeight="1" x14ac:dyDescent="0.2">
      <c r="H7619" s="19">
        <v>2.0244670217947399E-2</v>
      </c>
    </row>
    <row r="7620" spans="8:8" ht="15" customHeight="1" x14ac:dyDescent="0.2">
      <c r="H7620" s="19">
        <v>-4.42142633986838E-3</v>
      </c>
    </row>
    <row r="7621" spans="8:8" ht="15" customHeight="1" x14ac:dyDescent="0.2">
      <c r="H7621" s="19">
        <v>4.3995203508093803E-3</v>
      </c>
    </row>
    <row r="7622" spans="8:8" ht="15" customHeight="1" x14ac:dyDescent="0.2">
      <c r="H7622" s="19">
        <v>2.6455422984693099E-3</v>
      </c>
    </row>
    <row r="7623" spans="8:8" ht="15" customHeight="1" x14ac:dyDescent="0.2">
      <c r="H7623" s="19">
        <v>-1.24652027536532E-2</v>
      </c>
    </row>
    <row r="7624" spans="8:8" ht="15" customHeight="1" x14ac:dyDescent="0.2">
      <c r="H7624" s="19">
        <v>8.0214249135129303E-5</v>
      </c>
    </row>
    <row r="7625" spans="8:8" ht="15" customHeight="1" x14ac:dyDescent="0.2">
      <c r="H7625" s="19">
        <v>-4.82515039042598E-3</v>
      </c>
    </row>
    <row r="7626" spans="8:8" ht="15" customHeight="1" x14ac:dyDescent="0.2">
      <c r="H7626" s="19">
        <v>3.04547299871736E-2</v>
      </c>
    </row>
    <row r="7627" spans="8:8" ht="15" customHeight="1" x14ac:dyDescent="0.2">
      <c r="H7627" s="19">
        <v>-2.08989858659857E-4</v>
      </c>
    </row>
    <row r="7628" spans="8:8" ht="15" customHeight="1" x14ac:dyDescent="0.2">
      <c r="H7628" s="19">
        <v>-6.9281668072044399E-3</v>
      </c>
    </row>
    <row r="7629" spans="8:8" ht="15" customHeight="1" x14ac:dyDescent="0.2">
      <c r="H7629" s="19">
        <v>-1.6130987635962001E-2</v>
      </c>
    </row>
    <row r="7630" spans="8:8" ht="15" customHeight="1" x14ac:dyDescent="0.2">
      <c r="H7630" s="19">
        <v>9.4435695410048908E-3</v>
      </c>
    </row>
    <row r="7631" spans="8:8" ht="15" customHeight="1" x14ac:dyDescent="0.2">
      <c r="H7631" s="19">
        <v>6.4951379744897196E-3</v>
      </c>
    </row>
    <row r="7632" spans="8:8" ht="15" customHeight="1" x14ac:dyDescent="0.2">
      <c r="H7632" s="19">
        <v>1.7651926074310699E-3</v>
      </c>
    </row>
    <row r="7633" spans="8:8" ht="15" customHeight="1" x14ac:dyDescent="0.2">
      <c r="H7633" s="19">
        <v>-8.2510369119555404E-3</v>
      </c>
    </row>
    <row r="7634" spans="8:8" ht="15" customHeight="1" x14ac:dyDescent="0.2">
      <c r="H7634" s="19">
        <v>1.9414382565185299E-3</v>
      </c>
    </row>
    <row r="7635" spans="8:8" ht="15" customHeight="1" x14ac:dyDescent="0.2">
      <c r="H7635" s="19">
        <v>-9.8301144739650799E-3</v>
      </c>
    </row>
    <row r="7636" spans="8:8" ht="15" customHeight="1" x14ac:dyDescent="0.2">
      <c r="H7636" s="19">
        <v>2.30970363317426E-2</v>
      </c>
    </row>
    <row r="7637" spans="8:8" ht="15" customHeight="1" x14ac:dyDescent="0.2">
      <c r="H7637" s="19">
        <v>1.6095223411619101E-3</v>
      </c>
    </row>
    <row r="7638" spans="8:8" ht="15" customHeight="1" x14ac:dyDescent="0.2">
      <c r="H7638" s="19">
        <v>-9.3529836315291701E-4</v>
      </c>
    </row>
    <row r="7639" spans="8:8" ht="15" customHeight="1" x14ac:dyDescent="0.2">
      <c r="H7639" s="19">
        <v>7.9554236706984201E-3</v>
      </c>
    </row>
    <row r="7640" spans="8:8" ht="15" customHeight="1" x14ac:dyDescent="0.2">
      <c r="H7640" s="19">
        <v>-1.0771040727996501E-2</v>
      </c>
    </row>
    <row r="7641" spans="8:8" ht="15" customHeight="1" x14ac:dyDescent="0.2">
      <c r="H7641" s="19">
        <v>-5.6388615255453097E-3</v>
      </c>
    </row>
    <row r="7642" spans="8:8" ht="15" customHeight="1" x14ac:dyDescent="0.2">
      <c r="H7642" s="19">
        <v>1.7170727833787499E-3</v>
      </c>
    </row>
    <row r="7643" spans="8:8" ht="15" customHeight="1" x14ac:dyDescent="0.2">
      <c r="H7643" s="19">
        <v>-1.09504164858629E-2</v>
      </c>
    </row>
    <row r="7644" spans="8:8" ht="15" customHeight="1" x14ac:dyDescent="0.2">
      <c r="H7644" s="19">
        <v>-1.20240123991036E-2</v>
      </c>
    </row>
    <row r="7645" spans="8:8" ht="15" customHeight="1" x14ac:dyDescent="0.2">
      <c r="H7645" s="19">
        <v>8.1754811374361597E-3</v>
      </c>
    </row>
    <row r="7646" spans="8:8" ht="15" customHeight="1" x14ac:dyDescent="0.2">
      <c r="H7646" s="19">
        <v>1.86339598036496E-2</v>
      </c>
    </row>
    <row r="7647" spans="8:8" ht="15" customHeight="1" x14ac:dyDescent="0.2">
      <c r="H7647" s="19">
        <v>3.1986326814692702E-3</v>
      </c>
    </row>
    <row r="7648" spans="8:8" ht="15" customHeight="1" x14ac:dyDescent="0.2">
      <c r="H7648" s="19">
        <v>-1.46197051512366E-2</v>
      </c>
    </row>
    <row r="7649" spans="8:8" ht="15" customHeight="1" x14ac:dyDescent="0.2">
      <c r="H7649" s="19">
        <v>5.5136330359337104E-3</v>
      </c>
    </row>
    <row r="7650" spans="8:8" ht="15" customHeight="1" x14ac:dyDescent="0.2">
      <c r="H7650" s="19">
        <v>-7.28272983981312E-3</v>
      </c>
    </row>
    <row r="7651" spans="8:8" ht="15" customHeight="1" x14ac:dyDescent="0.2">
      <c r="H7651" s="19">
        <v>-4.6835450177159701E-3</v>
      </c>
    </row>
    <row r="7652" spans="8:8" ht="15" customHeight="1" x14ac:dyDescent="0.2">
      <c r="H7652" s="19">
        <v>7.91246125846423E-3</v>
      </c>
    </row>
    <row r="7653" spans="8:8" ht="15" customHeight="1" x14ac:dyDescent="0.2">
      <c r="H7653" s="19">
        <v>-9.0269892361648793E-5</v>
      </c>
    </row>
    <row r="7654" spans="8:8" ht="15" customHeight="1" x14ac:dyDescent="0.2">
      <c r="H7654" s="19">
        <v>-1.76095010520781E-3</v>
      </c>
    </row>
    <row r="7655" spans="8:8" ht="15" customHeight="1" x14ac:dyDescent="0.2">
      <c r="H7655" s="19">
        <v>1.14512567332378E-2</v>
      </c>
    </row>
    <row r="7656" spans="8:8" ht="15" customHeight="1" x14ac:dyDescent="0.2">
      <c r="H7656" s="19">
        <v>-4.49006253361012E-3</v>
      </c>
    </row>
    <row r="7657" spans="8:8" ht="15" customHeight="1" x14ac:dyDescent="0.2">
      <c r="H7657" s="19">
        <v>-5.2454200609163299E-3</v>
      </c>
    </row>
    <row r="7658" spans="8:8" ht="15" customHeight="1" x14ac:dyDescent="0.2">
      <c r="H7658" s="19">
        <v>-7.3397534389588103E-3</v>
      </c>
    </row>
    <row r="7659" spans="8:8" ht="15" customHeight="1" x14ac:dyDescent="0.2">
      <c r="H7659" s="19">
        <v>-6.8924499727001098E-3</v>
      </c>
    </row>
    <row r="7660" spans="8:8" ht="15" customHeight="1" x14ac:dyDescent="0.2">
      <c r="H7660" s="19">
        <v>-2.4458285181801799E-2</v>
      </c>
    </row>
    <row r="7661" spans="8:8" ht="15" customHeight="1" x14ac:dyDescent="0.2">
      <c r="H7661" s="19">
        <v>-5.1159751640858396E-3</v>
      </c>
    </row>
    <row r="7662" spans="8:8" ht="15" customHeight="1" x14ac:dyDescent="0.2">
      <c r="H7662" s="19">
        <v>-2.8920688325002799E-3</v>
      </c>
    </row>
    <row r="7663" spans="8:8" ht="15" customHeight="1" x14ac:dyDescent="0.2">
      <c r="H7663" s="19">
        <v>-2.0448357665031901E-2</v>
      </c>
    </row>
    <row r="7664" spans="8:8" ht="15" customHeight="1" x14ac:dyDescent="0.2">
      <c r="H7664" s="19">
        <v>-2.24974459039736E-3</v>
      </c>
    </row>
    <row r="7665" spans="8:8" ht="15" customHeight="1" x14ac:dyDescent="0.2">
      <c r="H7665" s="19">
        <v>7.38849304368036E-3</v>
      </c>
    </row>
    <row r="7666" spans="8:8" ht="15" customHeight="1" x14ac:dyDescent="0.2">
      <c r="H7666" s="19">
        <v>1.7949609599806699E-2</v>
      </c>
    </row>
    <row r="7667" spans="8:8" ht="15" customHeight="1" x14ac:dyDescent="0.2">
      <c r="H7667" s="19">
        <v>1.5752377537182699E-2</v>
      </c>
    </row>
    <row r="7668" spans="8:8" ht="15" customHeight="1" x14ac:dyDescent="0.2">
      <c r="H7668" s="19">
        <v>5.7009697348646996E-3</v>
      </c>
    </row>
    <row r="7669" spans="8:8" ht="15" customHeight="1" x14ac:dyDescent="0.2">
      <c r="H7669" s="19">
        <v>1.22653534874051E-2</v>
      </c>
    </row>
    <row r="7670" spans="8:8" ht="15" customHeight="1" x14ac:dyDescent="0.2">
      <c r="H7670" s="19">
        <v>-9.7218498996753007E-3</v>
      </c>
    </row>
    <row r="7671" spans="8:8" ht="15" customHeight="1" x14ac:dyDescent="0.2">
      <c r="H7671" s="19">
        <v>1.0919103688900901E-3</v>
      </c>
    </row>
    <row r="7672" spans="8:8" ht="15" customHeight="1" x14ac:dyDescent="0.2">
      <c r="H7672" s="19">
        <v>9.5247053551299893E-3</v>
      </c>
    </row>
    <row r="7673" spans="8:8" ht="15" customHeight="1" x14ac:dyDescent="0.2">
      <c r="H7673" s="19">
        <v>-2.42500443691773E-3</v>
      </c>
    </row>
    <row r="7674" spans="8:8" ht="15" customHeight="1" x14ac:dyDescent="0.2">
      <c r="H7674" s="19">
        <v>1.11329863477489E-2</v>
      </c>
    </row>
    <row r="7675" spans="8:8" ht="15" customHeight="1" x14ac:dyDescent="0.2">
      <c r="H7675" s="19">
        <v>1.08987919737593E-2</v>
      </c>
    </row>
    <row r="7676" spans="8:8" ht="15" customHeight="1" x14ac:dyDescent="0.2">
      <c r="H7676" s="19">
        <v>-1.92789056997902E-3</v>
      </c>
    </row>
    <row r="7677" spans="8:8" ht="15" customHeight="1" x14ac:dyDescent="0.2">
      <c r="H7677" s="19">
        <v>-9.7721546043514195E-3</v>
      </c>
    </row>
    <row r="7678" spans="8:8" ht="15" customHeight="1" x14ac:dyDescent="0.2">
      <c r="H7678" s="19">
        <v>-1.0677209052024799E-2</v>
      </c>
    </row>
    <row r="7679" spans="8:8" ht="15" customHeight="1" x14ac:dyDescent="0.2">
      <c r="H7679" s="19">
        <v>1.20318892461826E-3</v>
      </c>
    </row>
    <row r="7680" spans="8:8" ht="15" customHeight="1" x14ac:dyDescent="0.2">
      <c r="H7680" s="19">
        <v>2.3696246264563601E-2</v>
      </c>
    </row>
    <row r="7681" spans="8:8" ht="15" customHeight="1" x14ac:dyDescent="0.2">
      <c r="H7681" s="19">
        <v>1.20737114299638E-2</v>
      </c>
    </row>
    <row r="7682" spans="8:8" ht="15" customHeight="1" x14ac:dyDescent="0.2">
      <c r="H7682" s="19">
        <v>-1.09460657624432E-2</v>
      </c>
    </row>
    <row r="7683" spans="8:8" ht="15" customHeight="1" x14ac:dyDescent="0.2">
      <c r="H7683" s="19">
        <v>4.2075486573102897E-3</v>
      </c>
    </row>
    <row r="7684" spans="8:8" ht="15" customHeight="1" x14ac:dyDescent="0.2">
      <c r="H7684" s="19">
        <v>1.45234667976061E-2</v>
      </c>
    </row>
    <row r="7685" spans="8:8" ht="15" customHeight="1" x14ac:dyDescent="0.2">
      <c r="H7685" s="19">
        <v>-4.32695037713804E-3</v>
      </c>
    </row>
    <row r="7686" spans="8:8" ht="15" customHeight="1" x14ac:dyDescent="0.2">
      <c r="H7686" s="19">
        <v>2.1477569449000599E-3</v>
      </c>
    </row>
    <row r="7687" spans="8:8" ht="15" customHeight="1" x14ac:dyDescent="0.2">
      <c r="H7687" s="19">
        <v>-5.57787919492968E-3</v>
      </c>
    </row>
    <row r="7688" spans="8:8" ht="15" customHeight="1" x14ac:dyDescent="0.2">
      <c r="H7688" s="19">
        <v>-1.1607599148079999E-2</v>
      </c>
    </row>
    <row r="7689" spans="8:8" ht="15" customHeight="1" x14ac:dyDescent="0.2">
      <c r="H7689" s="19">
        <v>1.1088574208037799E-2</v>
      </c>
    </row>
    <row r="7690" spans="8:8" ht="15" customHeight="1" x14ac:dyDescent="0.2">
      <c r="H7690" s="19">
        <v>1.07495876895133E-2</v>
      </c>
    </row>
    <row r="7691" spans="8:8" ht="15" customHeight="1" x14ac:dyDescent="0.2">
      <c r="H7691" s="19">
        <v>4.3596635951059998E-3</v>
      </c>
    </row>
    <row r="7692" spans="8:8" ht="15" customHeight="1" x14ac:dyDescent="0.2">
      <c r="H7692" s="19">
        <v>-1.2192047731239599E-2</v>
      </c>
    </row>
    <row r="7693" spans="8:8" ht="15" customHeight="1" x14ac:dyDescent="0.2">
      <c r="H7693" s="19">
        <v>3.23590509132959E-4</v>
      </c>
    </row>
    <row r="7694" spans="8:8" ht="15" customHeight="1" x14ac:dyDescent="0.2">
      <c r="H7694" s="19">
        <v>-1.6870571347325301E-3</v>
      </c>
    </row>
    <row r="7695" spans="8:8" ht="15" customHeight="1" x14ac:dyDescent="0.2">
      <c r="H7695" s="19">
        <v>-8.9246500305707206E-3</v>
      </c>
    </row>
    <row r="7696" spans="8:8" ht="15" customHeight="1" x14ac:dyDescent="0.2">
      <c r="H7696" s="19">
        <v>-5.2259420512917702E-3</v>
      </c>
    </row>
    <row r="7697" spans="8:8" ht="15" customHeight="1" x14ac:dyDescent="0.2">
      <c r="H7697" s="19">
        <v>3.2250274249372201E-3</v>
      </c>
    </row>
    <row r="7698" spans="8:8" ht="15" customHeight="1" x14ac:dyDescent="0.2">
      <c r="H7698" s="19">
        <v>-1.0756804550443E-2</v>
      </c>
    </row>
    <row r="7699" spans="8:8" ht="15" customHeight="1" x14ac:dyDescent="0.2">
      <c r="H7699" s="19">
        <v>2.1757661642560502E-3</v>
      </c>
    </row>
    <row r="7700" spans="8:8" ht="15" customHeight="1" x14ac:dyDescent="0.2">
      <c r="H7700" s="19">
        <v>4.18460998569183E-3</v>
      </c>
    </row>
    <row r="7701" spans="8:8" ht="15" customHeight="1" x14ac:dyDescent="0.2">
      <c r="H7701" s="19">
        <v>2.3603341746062101E-2</v>
      </c>
    </row>
    <row r="7702" spans="8:8" ht="15" customHeight="1" x14ac:dyDescent="0.2">
      <c r="H7702" s="19">
        <v>-9.17894424739258E-3</v>
      </c>
    </row>
    <row r="7703" spans="8:8" ht="15" customHeight="1" x14ac:dyDescent="0.2">
      <c r="H7703" s="19">
        <v>-1.72079521683608E-2</v>
      </c>
    </row>
    <row r="7704" spans="8:8" ht="15" customHeight="1" x14ac:dyDescent="0.2">
      <c r="H7704" s="19">
        <v>6.1474212671842696E-3</v>
      </c>
    </row>
    <row r="7705" spans="8:8" ht="15" customHeight="1" x14ac:dyDescent="0.2">
      <c r="H7705" s="19">
        <v>-1.60268345781116E-2</v>
      </c>
    </row>
    <row r="7706" spans="8:8" ht="15" customHeight="1" x14ac:dyDescent="0.2">
      <c r="H7706" s="19">
        <v>-1.4265754781957599E-3</v>
      </c>
    </row>
    <row r="7707" spans="8:8" ht="15" customHeight="1" x14ac:dyDescent="0.2">
      <c r="H7707" s="19">
        <v>-3.1382680423976199E-4</v>
      </c>
    </row>
    <row r="7708" spans="8:8" ht="15" customHeight="1" x14ac:dyDescent="0.2">
      <c r="H7708" s="19">
        <v>7.6940533658551597E-3</v>
      </c>
    </row>
    <row r="7709" spans="8:8" ht="15" customHeight="1" x14ac:dyDescent="0.2">
      <c r="H7709" s="19">
        <v>3.00988629593393E-3</v>
      </c>
    </row>
    <row r="7710" spans="8:8" ht="15" customHeight="1" x14ac:dyDescent="0.2">
      <c r="H7710" s="19">
        <v>-4.1261142317491999E-3</v>
      </c>
    </row>
    <row r="7711" spans="8:8" ht="15" customHeight="1" x14ac:dyDescent="0.2">
      <c r="H7711" s="19">
        <v>3.4988579801849698E-3</v>
      </c>
    </row>
    <row r="7712" spans="8:8" ht="15" customHeight="1" x14ac:dyDescent="0.2">
      <c r="H7712" s="19">
        <v>-5.2320624842065299E-3</v>
      </c>
    </row>
    <row r="7713" spans="8:8" ht="15" customHeight="1" x14ac:dyDescent="0.2">
      <c r="H7713" s="19">
        <v>-8.4068986046461607E-3</v>
      </c>
    </row>
    <row r="7714" spans="8:8" ht="15" customHeight="1" x14ac:dyDescent="0.2">
      <c r="H7714" s="19">
        <v>-6.8308037801745602E-3</v>
      </c>
    </row>
    <row r="7715" spans="8:8" ht="15" customHeight="1" x14ac:dyDescent="0.2">
      <c r="H7715" s="19">
        <v>-1.2162557885632801E-2</v>
      </c>
    </row>
    <row r="7716" spans="8:8" ht="15" customHeight="1" x14ac:dyDescent="0.2">
      <c r="H7716" s="19">
        <v>-7.4518312465807401E-3</v>
      </c>
    </row>
    <row r="7717" spans="8:8" ht="15" customHeight="1" x14ac:dyDescent="0.2">
      <c r="H7717" s="19">
        <v>3.08419089186462E-3</v>
      </c>
    </row>
    <row r="7718" spans="8:8" ht="15" customHeight="1" x14ac:dyDescent="0.2">
      <c r="H7718" s="19">
        <v>5.1541900431925696E-3</v>
      </c>
    </row>
    <row r="7719" spans="8:8" ht="15" customHeight="1" x14ac:dyDescent="0.2">
      <c r="H7719" s="19">
        <v>1.31339582111035E-2</v>
      </c>
    </row>
    <row r="7720" spans="8:8" ht="15" customHeight="1" x14ac:dyDescent="0.2">
      <c r="H7720" s="19">
        <v>-2.51711235379754E-3</v>
      </c>
    </row>
    <row r="7721" spans="8:8" ht="15" customHeight="1" x14ac:dyDescent="0.2">
      <c r="H7721" s="19">
        <v>-6.8396473089846399E-3</v>
      </c>
    </row>
    <row r="7722" spans="8:8" ht="15" customHeight="1" x14ac:dyDescent="0.2">
      <c r="H7722" s="19">
        <v>5.0477126970808802E-3</v>
      </c>
    </row>
    <row r="7723" spans="8:8" ht="15" customHeight="1" x14ac:dyDescent="0.2">
      <c r="H7723" s="19">
        <v>-2.14432031662516E-2</v>
      </c>
    </row>
    <row r="7724" spans="8:8" ht="15" customHeight="1" x14ac:dyDescent="0.2">
      <c r="H7724" s="19">
        <v>-8.9415946718878203E-3</v>
      </c>
    </row>
    <row r="7725" spans="8:8" ht="15" customHeight="1" x14ac:dyDescent="0.2">
      <c r="H7725" s="19">
        <v>-4.53507629007943E-3</v>
      </c>
    </row>
    <row r="7726" spans="8:8" ht="15" customHeight="1" x14ac:dyDescent="0.2">
      <c r="H7726" s="19">
        <v>-1.0765476706640799E-2</v>
      </c>
    </row>
    <row r="7727" spans="8:8" ht="15" customHeight="1" x14ac:dyDescent="0.2">
      <c r="H7727" s="19">
        <v>2.4297642318794601E-3</v>
      </c>
    </row>
    <row r="7728" spans="8:8" ht="15" customHeight="1" x14ac:dyDescent="0.2">
      <c r="H7728" s="19">
        <v>1.7091319017386701E-3</v>
      </c>
    </row>
    <row r="7729" spans="8:8" ht="15" customHeight="1" x14ac:dyDescent="0.2">
      <c r="H7729" s="19">
        <v>9.5619004172497104E-3</v>
      </c>
    </row>
    <row r="7730" spans="8:8" ht="15" customHeight="1" x14ac:dyDescent="0.2">
      <c r="H7730" s="19">
        <v>-6.6532104890520104E-3</v>
      </c>
    </row>
    <row r="7731" spans="8:8" ht="15" customHeight="1" x14ac:dyDescent="0.2">
      <c r="H7731" s="19">
        <v>5.7081380107395496E-3</v>
      </c>
    </row>
    <row r="7732" spans="8:8" ht="15" customHeight="1" x14ac:dyDescent="0.2">
      <c r="H7732" s="19">
        <v>-2.4574735108188299E-3</v>
      </c>
    </row>
    <row r="7733" spans="8:8" ht="15" customHeight="1" x14ac:dyDescent="0.2">
      <c r="H7733" s="19">
        <v>1.2473413980662301E-3</v>
      </c>
    </row>
    <row r="7734" spans="8:8" ht="15" customHeight="1" x14ac:dyDescent="0.2">
      <c r="H7734" s="19">
        <v>1.74166500730638E-2</v>
      </c>
    </row>
    <row r="7735" spans="8:8" ht="15" customHeight="1" x14ac:dyDescent="0.2">
      <c r="H7735" s="19">
        <v>2.1997206322746599E-2</v>
      </c>
    </row>
    <row r="7736" spans="8:8" ht="15" customHeight="1" x14ac:dyDescent="0.2">
      <c r="H7736" s="19">
        <v>8.4310646166898505E-3</v>
      </c>
    </row>
    <row r="7737" spans="8:8" ht="15" customHeight="1" x14ac:dyDescent="0.2">
      <c r="H7737" s="19">
        <v>1.2152818332819299E-2</v>
      </c>
    </row>
    <row r="7738" spans="8:8" ht="15" customHeight="1" x14ac:dyDescent="0.2">
      <c r="H7738" s="19">
        <v>1.32394693754721E-2</v>
      </c>
    </row>
    <row r="7739" spans="8:8" ht="15" customHeight="1" x14ac:dyDescent="0.2">
      <c r="H7739" s="19">
        <v>-7.1999520232584099E-3</v>
      </c>
    </row>
    <row r="7740" spans="8:8" ht="15" customHeight="1" x14ac:dyDescent="0.2">
      <c r="H7740" s="19">
        <v>3.2263257133202201E-3</v>
      </c>
    </row>
    <row r="7741" spans="8:8" ht="15" customHeight="1" x14ac:dyDescent="0.2">
      <c r="H7741" s="19">
        <v>8.9520544219574803E-3</v>
      </c>
    </row>
    <row r="7742" spans="8:8" ht="15" customHeight="1" x14ac:dyDescent="0.2">
      <c r="H7742" s="19">
        <v>1.46569824951693E-2</v>
      </c>
    </row>
    <row r="7743" spans="8:8" ht="15" customHeight="1" x14ac:dyDescent="0.2">
      <c r="H7743" s="19">
        <v>-1.85474310701663E-3</v>
      </c>
    </row>
    <row r="7744" spans="8:8" ht="15" customHeight="1" x14ac:dyDescent="0.2">
      <c r="H7744" s="19">
        <v>1.00000795088994E-2</v>
      </c>
    </row>
    <row r="7745" spans="8:8" ht="15" customHeight="1" x14ac:dyDescent="0.2">
      <c r="H7745" s="19">
        <v>-1.2667047263062701E-2</v>
      </c>
    </row>
    <row r="7746" spans="8:8" ht="15" customHeight="1" x14ac:dyDescent="0.2">
      <c r="H7746" s="19">
        <v>-1.8020730857385399E-3</v>
      </c>
    </row>
    <row r="7747" spans="8:8" ht="15" customHeight="1" x14ac:dyDescent="0.2">
      <c r="H7747" s="19">
        <v>2.0381352472018301E-2</v>
      </c>
    </row>
    <row r="7748" spans="8:8" ht="15" customHeight="1" x14ac:dyDescent="0.2">
      <c r="H7748" s="19">
        <v>6.6614768963255497E-3</v>
      </c>
    </row>
    <row r="7749" spans="8:8" ht="15" customHeight="1" x14ac:dyDescent="0.2">
      <c r="H7749" s="19">
        <v>8.2744129502972906E-3</v>
      </c>
    </row>
    <row r="7750" spans="8:8" ht="15" customHeight="1" x14ac:dyDescent="0.2">
      <c r="H7750" s="19">
        <v>5.5274251946622402E-3</v>
      </c>
    </row>
    <row r="7751" spans="8:8" ht="15" customHeight="1" x14ac:dyDescent="0.2">
      <c r="H7751" s="19">
        <v>7.9744652788712993E-3</v>
      </c>
    </row>
    <row r="7752" spans="8:8" ht="15" customHeight="1" x14ac:dyDescent="0.2">
      <c r="H7752" s="19">
        <v>1.19957103312804E-2</v>
      </c>
    </row>
    <row r="7753" spans="8:8" ht="15" customHeight="1" x14ac:dyDescent="0.2">
      <c r="H7753" s="19">
        <v>1.79619415133949E-4</v>
      </c>
    </row>
    <row r="7754" spans="8:8" ht="15" customHeight="1" x14ac:dyDescent="0.2">
      <c r="H7754" s="19">
        <v>2.2786347253692298E-3</v>
      </c>
    </row>
    <row r="7755" spans="8:8" ht="15" customHeight="1" x14ac:dyDescent="0.2">
      <c r="H7755" s="19">
        <v>-9.1553783130575907E-3</v>
      </c>
    </row>
    <row r="7756" spans="8:8" ht="15" customHeight="1" x14ac:dyDescent="0.2">
      <c r="H7756" s="19">
        <v>9.9513600389403E-3</v>
      </c>
    </row>
    <row r="7757" spans="8:8" ht="15" customHeight="1" x14ac:dyDescent="0.2">
      <c r="H7757" s="19">
        <v>1.36219003726883E-2</v>
      </c>
    </row>
    <row r="7758" spans="8:8" ht="15" customHeight="1" x14ac:dyDescent="0.2">
      <c r="H7758" s="19">
        <v>1.5969823468712399E-3</v>
      </c>
    </row>
    <row r="7759" spans="8:8" ht="15" customHeight="1" x14ac:dyDescent="0.2">
      <c r="H7759" s="19">
        <v>-2.4324541457873002E-2</v>
      </c>
    </row>
    <row r="7760" spans="8:8" ht="15" customHeight="1" x14ac:dyDescent="0.2">
      <c r="H7760" s="19">
        <v>3.5432754574578201E-3</v>
      </c>
    </row>
    <row r="7761" spans="8:8" ht="15" customHeight="1" x14ac:dyDescent="0.2">
      <c r="H7761" s="19">
        <v>-5.4311244382822203E-3</v>
      </c>
    </row>
    <row r="7762" spans="8:8" ht="15" customHeight="1" x14ac:dyDescent="0.2">
      <c r="H7762" s="19">
        <v>8.7615426608516397E-3</v>
      </c>
    </row>
    <row r="7763" spans="8:8" ht="15" customHeight="1" x14ac:dyDescent="0.2">
      <c r="H7763" s="19">
        <v>4.5020267553307E-3</v>
      </c>
    </row>
    <row r="7764" spans="8:8" ht="15" customHeight="1" x14ac:dyDescent="0.2">
      <c r="H7764" s="19">
        <v>-8.7844803667661599E-3</v>
      </c>
    </row>
    <row r="7765" spans="8:8" ht="15" customHeight="1" x14ac:dyDescent="0.2">
      <c r="H7765" s="19">
        <v>-1.17686486709034E-2</v>
      </c>
    </row>
    <row r="7766" spans="8:8" ht="15" customHeight="1" x14ac:dyDescent="0.2">
      <c r="H7766" s="19">
        <v>2.33670865059371E-2</v>
      </c>
    </row>
    <row r="7767" spans="8:8" ht="15" customHeight="1" x14ac:dyDescent="0.2">
      <c r="H7767" s="19">
        <v>1.20669331489949E-2</v>
      </c>
    </row>
    <row r="7768" spans="8:8" ht="15" customHeight="1" x14ac:dyDescent="0.2">
      <c r="H7768" s="19">
        <v>-8.8686845204003699E-4</v>
      </c>
    </row>
    <row r="7769" spans="8:8" ht="15" customHeight="1" x14ac:dyDescent="0.2">
      <c r="H7769" s="19">
        <v>2.1343216609123999E-2</v>
      </c>
    </row>
    <row r="7770" spans="8:8" ht="15" customHeight="1" x14ac:dyDescent="0.2">
      <c r="H7770" s="19">
        <v>-1.06868146922099E-2</v>
      </c>
    </row>
    <row r="7771" spans="8:8" ht="15" customHeight="1" x14ac:dyDescent="0.2">
      <c r="H7771" s="19">
        <v>-9.0673294046482306E-3</v>
      </c>
    </row>
    <row r="7772" spans="8:8" ht="15" customHeight="1" x14ac:dyDescent="0.2">
      <c r="H7772" s="19">
        <v>-3.06113904924812E-3</v>
      </c>
    </row>
    <row r="7773" spans="8:8" ht="15" customHeight="1" x14ac:dyDescent="0.2">
      <c r="H7773" s="19">
        <v>-1.7912226332694901E-3</v>
      </c>
    </row>
    <row r="7774" spans="8:8" ht="15" customHeight="1" x14ac:dyDescent="0.2">
      <c r="H7774" s="19">
        <v>1.0859204521205E-2</v>
      </c>
    </row>
    <row r="7775" spans="8:8" ht="15" customHeight="1" x14ac:dyDescent="0.2">
      <c r="H7775" s="19">
        <v>-1.10074336838184E-2</v>
      </c>
    </row>
    <row r="7776" spans="8:8" ht="15" customHeight="1" x14ac:dyDescent="0.2">
      <c r="H7776" s="19">
        <v>-3.9096545858820202E-3</v>
      </c>
    </row>
    <row r="7777" spans="8:8" ht="15" customHeight="1" x14ac:dyDescent="0.2">
      <c r="H7777" s="19">
        <v>7.7635057718284297E-3</v>
      </c>
    </row>
    <row r="7778" spans="8:8" ht="15" customHeight="1" x14ac:dyDescent="0.2">
      <c r="H7778" s="19">
        <v>1.26040995200059E-2</v>
      </c>
    </row>
    <row r="7779" spans="8:8" ht="15" customHeight="1" x14ac:dyDescent="0.2">
      <c r="H7779" s="19">
        <v>2.1660696658840901E-3</v>
      </c>
    </row>
    <row r="7780" spans="8:8" ht="15" customHeight="1" x14ac:dyDescent="0.2">
      <c r="H7780" s="19">
        <v>1.3098068242987799E-2</v>
      </c>
    </row>
    <row r="7781" spans="8:8" ht="15" customHeight="1" x14ac:dyDescent="0.2">
      <c r="H7781" s="19">
        <v>1.8015820021562799E-2</v>
      </c>
    </row>
    <row r="7782" spans="8:8" ht="15" customHeight="1" x14ac:dyDescent="0.2">
      <c r="H7782" s="19">
        <v>-1.8596644280850401E-2</v>
      </c>
    </row>
    <row r="7783" spans="8:8" ht="15" customHeight="1" x14ac:dyDescent="0.2">
      <c r="H7783" s="19">
        <v>-1.4739855107961399E-3</v>
      </c>
    </row>
    <row r="7784" spans="8:8" ht="15" customHeight="1" x14ac:dyDescent="0.2">
      <c r="H7784" s="19">
        <v>-2.04225689962096E-2</v>
      </c>
    </row>
    <row r="7785" spans="8:8" ht="15" customHeight="1" x14ac:dyDescent="0.2">
      <c r="H7785" s="19">
        <v>7.6474645115460899E-3</v>
      </c>
    </row>
    <row r="7786" spans="8:8" ht="15" customHeight="1" x14ac:dyDescent="0.2">
      <c r="H7786" s="19">
        <v>-9.7257054900736703E-3</v>
      </c>
    </row>
    <row r="7787" spans="8:8" ht="15" customHeight="1" x14ac:dyDescent="0.2">
      <c r="H7787" s="19">
        <v>1.4247943065654299E-4</v>
      </c>
    </row>
    <row r="7788" spans="8:8" ht="15" customHeight="1" x14ac:dyDescent="0.2">
      <c r="H7788" s="19">
        <v>-7.5303938688991998E-3</v>
      </c>
    </row>
    <row r="7789" spans="8:8" ht="15" customHeight="1" x14ac:dyDescent="0.2">
      <c r="H7789" s="19">
        <v>-1.59066438903652E-2</v>
      </c>
    </row>
    <row r="7790" spans="8:8" ht="15" customHeight="1" x14ac:dyDescent="0.2">
      <c r="H7790" s="19">
        <v>-2.8595506959022102E-3</v>
      </c>
    </row>
    <row r="7791" spans="8:8" ht="15" customHeight="1" x14ac:dyDescent="0.2">
      <c r="H7791" s="19">
        <v>-9.3079648898880506E-3</v>
      </c>
    </row>
    <row r="7792" spans="8:8" ht="15" customHeight="1" x14ac:dyDescent="0.2">
      <c r="H7792" s="19">
        <v>-7.8759227553149395E-3</v>
      </c>
    </row>
    <row r="7793" spans="8:8" ht="15" customHeight="1" x14ac:dyDescent="0.2">
      <c r="H7793" s="19">
        <v>-4.0080768255473702E-3</v>
      </c>
    </row>
    <row r="7794" spans="8:8" ht="15" customHeight="1" x14ac:dyDescent="0.2">
      <c r="H7794" s="19">
        <v>-1.7871760495365801E-2</v>
      </c>
    </row>
    <row r="7795" spans="8:8" ht="15" customHeight="1" x14ac:dyDescent="0.2">
      <c r="H7795" s="19">
        <v>-1.0943116064431701E-2</v>
      </c>
    </row>
    <row r="7796" spans="8:8" ht="15" customHeight="1" x14ac:dyDescent="0.2">
      <c r="H7796" s="19">
        <v>5.0917935991347703E-3</v>
      </c>
    </row>
    <row r="7797" spans="8:8" ht="15" customHeight="1" x14ac:dyDescent="0.2">
      <c r="H7797" s="19">
        <v>-6.9861451224703698E-3</v>
      </c>
    </row>
    <row r="7798" spans="8:8" ht="15" customHeight="1" x14ac:dyDescent="0.2">
      <c r="H7798" s="19">
        <v>-2.23638712072385E-3</v>
      </c>
    </row>
    <row r="7799" spans="8:8" ht="15" customHeight="1" x14ac:dyDescent="0.2">
      <c r="H7799" s="19">
        <v>-1.13076177526538E-3</v>
      </c>
    </row>
    <row r="7800" spans="8:8" ht="15" customHeight="1" x14ac:dyDescent="0.2">
      <c r="H7800" s="19">
        <v>-2.0721987731207502E-2</v>
      </c>
    </row>
    <row r="7801" spans="8:8" ht="15" customHeight="1" x14ac:dyDescent="0.2">
      <c r="H7801" s="19">
        <v>1.21113304823322E-2</v>
      </c>
    </row>
    <row r="7802" spans="8:8" ht="15" customHeight="1" x14ac:dyDescent="0.2">
      <c r="H7802" s="19">
        <v>-1.92790834164113E-3</v>
      </c>
    </row>
    <row r="7803" spans="8:8" ht="15" customHeight="1" x14ac:dyDescent="0.2">
      <c r="H7803" s="19">
        <v>2.5110710271256599E-6</v>
      </c>
    </row>
    <row r="7804" spans="8:8" ht="15" customHeight="1" x14ac:dyDescent="0.2">
      <c r="H7804" s="19">
        <v>1.0860567836842701E-2</v>
      </c>
    </row>
    <row r="7805" spans="8:8" ht="15" customHeight="1" x14ac:dyDescent="0.2">
      <c r="H7805" s="19">
        <v>-1.4607040667735101E-3</v>
      </c>
    </row>
    <row r="7806" spans="8:8" ht="15" customHeight="1" x14ac:dyDescent="0.2">
      <c r="H7806" s="19">
        <v>-8.3738072091424191E-3</v>
      </c>
    </row>
    <row r="7807" spans="8:8" ht="15" customHeight="1" x14ac:dyDescent="0.2">
      <c r="H7807" s="19">
        <v>-5.3997854464721802E-3</v>
      </c>
    </row>
    <row r="7808" spans="8:8" ht="15" customHeight="1" x14ac:dyDescent="0.2">
      <c r="H7808" s="19">
        <v>-1.8076098853926099E-2</v>
      </c>
    </row>
    <row r="7809" spans="8:8" ht="15" customHeight="1" x14ac:dyDescent="0.2">
      <c r="H7809" s="19">
        <v>1.13210645258644E-3</v>
      </c>
    </row>
    <row r="7810" spans="8:8" ht="15" customHeight="1" x14ac:dyDescent="0.2">
      <c r="H7810" s="19">
        <v>-7.6216440662676401E-3</v>
      </c>
    </row>
    <row r="7811" spans="8:8" ht="15" customHeight="1" x14ac:dyDescent="0.2">
      <c r="H7811" s="19">
        <v>2.5517042469900999E-3</v>
      </c>
    </row>
    <row r="7812" spans="8:8" ht="15" customHeight="1" x14ac:dyDescent="0.2">
      <c r="H7812" s="19">
        <v>-5.1267309110831502E-3</v>
      </c>
    </row>
    <row r="7813" spans="8:8" ht="15" customHeight="1" x14ac:dyDescent="0.2">
      <c r="H7813" s="19">
        <v>-1.5297361602426399E-2</v>
      </c>
    </row>
    <row r="7814" spans="8:8" ht="15" customHeight="1" x14ac:dyDescent="0.2">
      <c r="H7814" s="19">
        <v>-1.0299947953218799E-2</v>
      </c>
    </row>
    <row r="7815" spans="8:8" ht="15" customHeight="1" x14ac:dyDescent="0.2">
      <c r="H7815" s="19">
        <v>1.32364731597138E-2</v>
      </c>
    </row>
    <row r="7816" spans="8:8" ht="15" customHeight="1" x14ac:dyDescent="0.2">
      <c r="H7816" s="19">
        <v>-4.7183953093367396E-3</v>
      </c>
    </row>
    <row r="7817" spans="8:8" ht="15" customHeight="1" x14ac:dyDescent="0.2">
      <c r="H7817" s="19">
        <v>9.4854233829618599E-3</v>
      </c>
    </row>
    <row r="7818" spans="8:8" ht="15" customHeight="1" x14ac:dyDescent="0.2">
      <c r="H7818" s="19">
        <v>-1.17659120370486E-2</v>
      </c>
    </row>
    <row r="7819" spans="8:8" ht="15" customHeight="1" x14ac:dyDescent="0.2">
      <c r="H7819" s="19">
        <v>1.41409932555327E-2</v>
      </c>
    </row>
    <row r="7820" spans="8:8" ht="15" customHeight="1" x14ac:dyDescent="0.2">
      <c r="H7820" s="19">
        <v>-1.9074641804293298E-2</v>
      </c>
    </row>
    <row r="7821" spans="8:8" ht="15" customHeight="1" x14ac:dyDescent="0.2">
      <c r="H7821" s="19">
        <v>1.41452568399116E-2</v>
      </c>
    </row>
    <row r="7822" spans="8:8" ht="15" customHeight="1" x14ac:dyDescent="0.2">
      <c r="H7822" s="19">
        <v>1.4467083059949501E-2</v>
      </c>
    </row>
    <row r="7823" spans="8:8" ht="15" customHeight="1" x14ac:dyDescent="0.2">
      <c r="H7823" s="19">
        <v>3.8731755840465802E-3</v>
      </c>
    </row>
    <row r="7824" spans="8:8" ht="15" customHeight="1" x14ac:dyDescent="0.2">
      <c r="H7824" s="19">
        <v>-2.90045566758466E-3</v>
      </c>
    </row>
    <row r="7825" spans="8:8" ht="15" customHeight="1" x14ac:dyDescent="0.2">
      <c r="H7825" s="19">
        <v>9.8073320766257606E-4</v>
      </c>
    </row>
    <row r="7826" spans="8:8" ht="15" customHeight="1" x14ac:dyDescent="0.2">
      <c r="H7826" s="19">
        <v>-1.2392022496937299E-2</v>
      </c>
    </row>
    <row r="7827" spans="8:8" ht="15" customHeight="1" x14ac:dyDescent="0.2">
      <c r="H7827" s="19">
        <v>-5.8497132104092901E-3</v>
      </c>
    </row>
    <row r="7828" spans="8:8" ht="15" customHeight="1" x14ac:dyDescent="0.2">
      <c r="H7828" s="19">
        <v>2.5999484140203699E-2</v>
      </c>
    </row>
    <row r="7829" spans="8:8" ht="15" customHeight="1" x14ac:dyDescent="0.2">
      <c r="H7829" s="19">
        <v>-1.16780497208236E-2</v>
      </c>
    </row>
    <row r="7830" spans="8:8" ht="15" customHeight="1" x14ac:dyDescent="0.2">
      <c r="H7830" s="19">
        <v>-7.5321786961777904E-3</v>
      </c>
    </row>
    <row r="7831" spans="8:8" ht="15" customHeight="1" x14ac:dyDescent="0.2">
      <c r="H7831" s="19">
        <v>1.82421854779423E-3</v>
      </c>
    </row>
    <row r="7832" spans="8:8" ht="15" customHeight="1" x14ac:dyDescent="0.2">
      <c r="H7832" s="19">
        <v>4.2189753696144101E-3</v>
      </c>
    </row>
    <row r="7833" spans="8:8" ht="15" customHeight="1" x14ac:dyDescent="0.2">
      <c r="H7833" s="19">
        <v>-6.41286250083013E-3</v>
      </c>
    </row>
    <row r="7834" spans="8:8" ht="15" customHeight="1" x14ac:dyDescent="0.2">
      <c r="H7834" s="19">
        <v>-1.26423629682909E-2</v>
      </c>
    </row>
    <row r="7835" spans="8:8" ht="15" customHeight="1" x14ac:dyDescent="0.2">
      <c r="H7835" s="19">
        <v>1.73417608089463E-3</v>
      </c>
    </row>
    <row r="7836" spans="8:8" ht="15" customHeight="1" x14ac:dyDescent="0.2">
      <c r="H7836" s="19">
        <v>-8.5697768822629392E-3</v>
      </c>
    </row>
    <row r="7837" spans="8:8" ht="15" customHeight="1" x14ac:dyDescent="0.2">
      <c r="H7837" s="19">
        <v>-4.1961313386752898E-4</v>
      </c>
    </row>
    <row r="7838" spans="8:8" ht="15" customHeight="1" x14ac:dyDescent="0.2">
      <c r="H7838" s="19">
        <v>2.2655404786345399E-3</v>
      </c>
    </row>
    <row r="7839" spans="8:8" ht="15" customHeight="1" x14ac:dyDescent="0.2">
      <c r="H7839" s="19">
        <v>-3.3598694754410598E-4</v>
      </c>
    </row>
    <row r="7840" spans="8:8" ht="15" customHeight="1" x14ac:dyDescent="0.2">
      <c r="H7840" s="19">
        <v>-1.2547306832869001E-2</v>
      </c>
    </row>
    <row r="7841" spans="8:8" ht="15" customHeight="1" x14ac:dyDescent="0.2">
      <c r="H7841" s="19">
        <v>5.9137935705396499E-3</v>
      </c>
    </row>
    <row r="7842" spans="8:8" ht="15" customHeight="1" x14ac:dyDescent="0.2">
      <c r="H7842" s="19">
        <v>1.30088211342564E-2</v>
      </c>
    </row>
    <row r="7843" spans="8:8" ht="15" customHeight="1" x14ac:dyDescent="0.2">
      <c r="H7843" s="19">
        <v>3.6072277559567002E-3</v>
      </c>
    </row>
    <row r="7844" spans="8:8" ht="15" customHeight="1" x14ac:dyDescent="0.2">
      <c r="H7844" s="19">
        <v>-1.3395661914085901E-3</v>
      </c>
    </row>
    <row r="7845" spans="8:8" ht="15" customHeight="1" x14ac:dyDescent="0.2">
      <c r="H7845" s="19">
        <v>6.3982894586277397E-3</v>
      </c>
    </row>
    <row r="7846" spans="8:8" ht="15" customHeight="1" x14ac:dyDescent="0.2">
      <c r="H7846" s="19">
        <v>5.70573292800685E-3</v>
      </c>
    </row>
    <row r="7847" spans="8:8" ht="15" customHeight="1" x14ac:dyDescent="0.2">
      <c r="H7847" s="19">
        <v>9.58794267647569E-3</v>
      </c>
    </row>
    <row r="7848" spans="8:8" ht="15" customHeight="1" x14ac:dyDescent="0.2">
      <c r="H7848" s="19">
        <v>1.2184315127996099E-2</v>
      </c>
    </row>
    <row r="7849" spans="8:8" ht="15" customHeight="1" x14ac:dyDescent="0.2">
      <c r="H7849" s="19">
        <v>2.1141920026621999E-3</v>
      </c>
    </row>
    <row r="7850" spans="8:8" ht="15" customHeight="1" x14ac:dyDescent="0.2">
      <c r="H7850" s="19">
        <v>1.2196544433062E-2</v>
      </c>
    </row>
    <row r="7851" spans="8:8" ht="15" customHeight="1" x14ac:dyDescent="0.2">
      <c r="H7851" s="19">
        <v>-5.6477693968144498E-3</v>
      </c>
    </row>
    <row r="7852" spans="8:8" ht="15" customHeight="1" x14ac:dyDescent="0.2">
      <c r="H7852" s="19">
        <v>7.8239377247517807E-3</v>
      </c>
    </row>
    <row r="7853" spans="8:8" ht="15" customHeight="1" x14ac:dyDescent="0.2">
      <c r="H7853" s="19">
        <v>6.8859622633334503E-3</v>
      </c>
    </row>
    <row r="7854" spans="8:8" ht="15" customHeight="1" x14ac:dyDescent="0.2">
      <c r="H7854" s="19">
        <v>-3.9708674858098102E-3</v>
      </c>
    </row>
    <row r="7855" spans="8:8" ht="15" customHeight="1" x14ac:dyDescent="0.2">
      <c r="H7855" s="19">
        <v>6.2519392947801399E-4</v>
      </c>
    </row>
    <row r="7856" spans="8:8" ht="15" customHeight="1" x14ac:dyDescent="0.2">
      <c r="H7856" s="19">
        <v>1.5698332854410899E-2</v>
      </c>
    </row>
    <row r="7857" spans="8:8" ht="15" customHeight="1" x14ac:dyDescent="0.2">
      <c r="H7857" s="19">
        <v>-2.0812668273618402E-2</v>
      </c>
    </row>
    <row r="7858" spans="8:8" ht="15" customHeight="1" x14ac:dyDescent="0.2">
      <c r="H7858" s="19">
        <v>1.21477698856228E-2</v>
      </c>
    </row>
    <row r="7859" spans="8:8" ht="15" customHeight="1" x14ac:dyDescent="0.2">
      <c r="H7859" s="19">
        <v>3.2670101541241599E-5</v>
      </c>
    </row>
    <row r="7860" spans="8:8" ht="15" customHeight="1" x14ac:dyDescent="0.2">
      <c r="H7860" s="19">
        <v>-2.9816215612209099E-3</v>
      </c>
    </row>
    <row r="7861" spans="8:8" ht="15" customHeight="1" x14ac:dyDescent="0.2">
      <c r="H7861" s="19">
        <v>-6.0949510017585598E-3</v>
      </c>
    </row>
    <row r="7862" spans="8:8" ht="15" customHeight="1" x14ac:dyDescent="0.2">
      <c r="H7862" s="19">
        <v>6.1788227455433298E-3</v>
      </c>
    </row>
    <row r="7863" spans="8:8" ht="15" customHeight="1" x14ac:dyDescent="0.2">
      <c r="H7863" s="19">
        <v>7.2566440851855101E-3</v>
      </c>
    </row>
    <row r="7864" spans="8:8" ht="15" customHeight="1" x14ac:dyDescent="0.2">
      <c r="H7864" s="19">
        <v>-4.2246846201415998E-3</v>
      </c>
    </row>
    <row r="7865" spans="8:8" ht="15" customHeight="1" x14ac:dyDescent="0.2">
      <c r="H7865" s="19">
        <v>6.2740642520597197E-3</v>
      </c>
    </row>
    <row r="7866" spans="8:8" ht="15" customHeight="1" x14ac:dyDescent="0.2">
      <c r="H7866" s="19">
        <v>7.2446787160297997E-3</v>
      </c>
    </row>
    <row r="7867" spans="8:8" ht="15" customHeight="1" x14ac:dyDescent="0.2">
      <c r="H7867" s="19">
        <v>-1.46825484253641E-2</v>
      </c>
    </row>
    <row r="7868" spans="8:8" ht="15" customHeight="1" x14ac:dyDescent="0.2">
      <c r="H7868" s="19">
        <v>-4.5721999057728203E-3</v>
      </c>
    </row>
    <row r="7869" spans="8:8" ht="15" customHeight="1" x14ac:dyDescent="0.2">
      <c r="H7869" s="19">
        <v>4.3697420476066602E-3</v>
      </c>
    </row>
    <row r="7870" spans="8:8" ht="15" customHeight="1" x14ac:dyDescent="0.2">
      <c r="H7870" s="19">
        <v>-5.1875281840893898E-3</v>
      </c>
    </row>
    <row r="7871" spans="8:8" ht="15" customHeight="1" x14ac:dyDescent="0.2">
      <c r="H7871" s="19">
        <v>7.21024278198284E-3</v>
      </c>
    </row>
    <row r="7872" spans="8:8" ht="15" customHeight="1" x14ac:dyDescent="0.2">
      <c r="H7872" s="19">
        <v>-1.02470356892182E-2</v>
      </c>
    </row>
    <row r="7873" spans="8:8" ht="15" customHeight="1" x14ac:dyDescent="0.2">
      <c r="H7873" s="19">
        <v>3.19182742249956E-3</v>
      </c>
    </row>
    <row r="7874" spans="8:8" ht="15" customHeight="1" x14ac:dyDescent="0.2">
      <c r="H7874" s="19">
        <v>1.1577067126230699E-2</v>
      </c>
    </row>
    <row r="7875" spans="8:8" ht="15" customHeight="1" x14ac:dyDescent="0.2">
      <c r="H7875" s="19">
        <v>-1.44535228213886E-3</v>
      </c>
    </row>
    <row r="7876" spans="8:8" ht="15" customHeight="1" x14ac:dyDescent="0.2">
      <c r="H7876" s="19">
        <v>-1.0182822841409999E-3</v>
      </c>
    </row>
    <row r="7877" spans="8:8" ht="15" customHeight="1" x14ac:dyDescent="0.2">
      <c r="H7877" s="19">
        <v>7.4702331066508797E-3</v>
      </c>
    </row>
    <row r="7878" spans="8:8" ht="15" customHeight="1" x14ac:dyDescent="0.2">
      <c r="H7878" s="19">
        <v>-1.41937485384632E-3</v>
      </c>
    </row>
    <row r="7879" spans="8:8" ht="15" customHeight="1" x14ac:dyDescent="0.2">
      <c r="H7879" s="19">
        <v>7.3753255334988096E-3</v>
      </c>
    </row>
    <row r="7880" spans="8:8" ht="15" customHeight="1" x14ac:dyDescent="0.2">
      <c r="H7880" s="19">
        <v>1.6238859718098E-3</v>
      </c>
    </row>
    <row r="7881" spans="8:8" ht="15" customHeight="1" x14ac:dyDescent="0.2">
      <c r="H7881" s="19">
        <v>1.7594341654271601E-3</v>
      </c>
    </row>
    <row r="7882" spans="8:8" ht="15" customHeight="1" x14ac:dyDescent="0.2">
      <c r="H7882" s="19">
        <v>6.42397646005783E-3</v>
      </c>
    </row>
    <row r="7883" spans="8:8" ht="15" customHeight="1" x14ac:dyDescent="0.2">
      <c r="H7883" s="19">
        <v>3.5673797199920702E-3</v>
      </c>
    </row>
    <row r="7884" spans="8:8" ht="15" customHeight="1" x14ac:dyDescent="0.2">
      <c r="H7884" s="19">
        <v>5.4510860129601E-3</v>
      </c>
    </row>
    <row r="7885" spans="8:8" ht="15" customHeight="1" x14ac:dyDescent="0.2">
      <c r="H7885" s="19">
        <v>8.7936118711953604E-3</v>
      </c>
    </row>
    <row r="7886" spans="8:8" ht="15" customHeight="1" x14ac:dyDescent="0.2">
      <c r="H7886" s="19">
        <v>3.5836217496047901E-3</v>
      </c>
    </row>
    <row r="7887" spans="8:8" ht="15" customHeight="1" x14ac:dyDescent="0.2">
      <c r="H7887" s="19">
        <v>1.4264929476339499E-4</v>
      </c>
    </row>
    <row r="7888" spans="8:8" ht="15" customHeight="1" x14ac:dyDescent="0.2">
      <c r="H7888" s="19">
        <v>1.23596662433046E-2</v>
      </c>
    </row>
    <row r="7889" spans="8:8" ht="15" customHeight="1" x14ac:dyDescent="0.2">
      <c r="H7889" s="19">
        <v>2.88646281402875E-3</v>
      </c>
    </row>
    <row r="7890" spans="8:8" ht="15" customHeight="1" x14ac:dyDescent="0.2">
      <c r="H7890" s="19">
        <v>8.9377056783048504E-3</v>
      </c>
    </row>
    <row r="7891" spans="8:8" ht="15" customHeight="1" x14ac:dyDescent="0.2">
      <c r="H7891" s="19">
        <v>-2.7852484195259098E-3</v>
      </c>
    </row>
    <row r="7892" spans="8:8" ht="15" customHeight="1" x14ac:dyDescent="0.2">
      <c r="H7892" s="19">
        <v>2.0731568732288999E-2</v>
      </c>
    </row>
    <row r="7893" spans="8:8" ht="15" customHeight="1" x14ac:dyDescent="0.2">
      <c r="H7893" s="19">
        <v>3.3326938682430602E-3</v>
      </c>
    </row>
    <row r="7894" spans="8:8" ht="15" customHeight="1" x14ac:dyDescent="0.2">
      <c r="H7894" s="19">
        <v>5.0135283274087197E-4</v>
      </c>
    </row>
    <row r="7895" spans="8:8" ht="15" customHeight="1" x14ac:dyDescent="0.2">
      <c r="H7895" s="19">
        <v>2.8240699025719701E-3</v>
      </c>
    </row>
    <row r="7896" spans="8:8" ht="15" customHeight="1" x14ac:dyDescent="0.2">
      <c r="H7896" s="19">
        <v>2.47383251451785E-2</v>
      </c>
    </row>
    <row r="7897" spans="8:8" ht="15" customHeight="1" x14ac:dyDescent="0.2">
      <c r="H7897" s="19">
        <v>8.2355710915480301E-3</v>
      </c>
    </row>
    <row r="7898" spans="8:8" ht="15" customHeight="1" x14ac:dyDescent="0.2">
      <c r="H7898" s="19">
        <v>4.27848830175275E-3</v>
      </c>
    </row>
    <row r="7899" spans="8:8" ht="15" customHeight="1" x14ac:dyDescent="0.2">
      <c r="H7899" s="19">
        <v>-6.8392635180470202E-3</v>
      </c>
    </row>
    <row r="7900" spans="8:8" ht="15" customHeight="1" x14ac:dyDescent="0.2">
      <c r="H7900" s="19">
        <v>1.72183222227991E-2</v>
      </c>
    </row>
    <row r="7901" spans="8:8" ht="15" customHeight="1" x14ac:dyDescent="0.2">
      <c r="H7901" s="19">
        <v>1.12684229574009E-2</v>
      </c>
    </row>
    <row r="7902" spans="8:8" ht="15" customHeight="1" x14ac:dyDescent="0.2">
      <c r="H7902" s="19">
        <v>-1.0357246360055499E-3</v>
      </c>
    </row>
    <row r="7903" spans="8:8" ht="15" customHeight="1" x14ac:dyDescent="0.2">
      <c r="H7903" s="19">
        <v>1.11873599130386E-2</v>
      </c>
    </row>
    <row r="7904" spans="8:8" ht="15" customHeight="1" x14ac:dyDescent="0.2">
      <c r="H7904" s="19">
        <v>8.0417854649420797E-4</v>
      </c>
    </row>
    <row r="7905" spans="8:8" ht="15" customHeight="1" x14ac:dyDescent="0.2">
      <c r="H7905" s="19">
        <v>-1.54772637000835E-2</v>
      </c>
    </row>
    <row r="7906" spans="8:8" ht="15" customHeight="1" x14ac:dyDescent="0.2">
      <c r="H7906" s="19">
        <v>-4.5409207866886504E-3</v>
      </c>
    </row>
    <row r="7907" spans="8:8" ht="15" customHeight="1" x14ac:dyDescent="0.2">
      <c r="H7907" s="19">
        <v>5.3525372608950799E-3</v>
      </c>
    </row>
    <row r="7908" spans="8:8" ht="15" customHeight="1" x14ac:dyDescent="0.2">
      <c r="H7908" s="19">
        <v>-1.6089030986632401E-2</v>
      </c>
    </row>
    <row r="7909" spans="8:8" ht="15" customHeight="1" x14ac:dyDescent="0.2">
      <c r="H7909" s="19">
        <v>-6.5127878754150199E-3</v>
      </c>
    </row>
    <row r="7910" spans="8:8" ht="15" customHeight="1" x14ac:dyDescent="0.2">
      <c r="H7910" s="19">
        <v>7.8291971558163195E-3</v>
      </c>
    </row>
    <row r="7911" spans="8:8" ht="15" customHeight="1" x14ac:dyDescent="0.2">
      <c r="H7911" s="19">
        <v>-2.4467247222680001E-3</v>
      </c>
    </row>
    <row r="7912" spans="8:8" ht="15" customHeight="1" x14ac:dyDescent="0.2">
      <c r="H7912" s="19">
        <v>-1.38221121188986E-2</v>
      </c>
    </row>
    <row r="7913" spans="8:8" ht="15" customHeight="1" x14ac:dyDescent="0.2">
      <c r="H7913" s="19">
        <v>9.6586852699573102E-3</v>
      </c>
    </row>
    <row r="7914" spans="8:8" ht="15" customHeight="1" x14ac:dyDescent="0.2">
      <c r="H7914" s="19">
        <v>-4.6022599223314803E-3</v>
      </c>
    </row>
    <row r="7915" spans="8:8" ht="15" customHeight="1" x14ac:dyDescent="0.2">
      <c r="H7915" s="19">
        <v>3.8276061370034601E-3</v>
      </c>
    </row>
    <row r="7916" spans="8:8" ht="15" customHeight="1" x14ac:dyDescent="0.2">
      <c r="H7916" s="19">
        <v>-2.4028561211354802E-3</v>
      </c>
    </row>
    <row r="7917" spans="8:8" ht="15" customHeight="1" x14ac:dyDescent="0.2">
      <c r="H7917" s="19">
        <v>1.88530022398121E-3</v>
      </c>
    </row>
    <row r="7918" spans="8:8" ht="15" customHeight="1" x14ac:dyDescent="0.2">
      <c r="H7918" s="19">
        <v>3.36424308490069E-3</v>
      </c>
    </row>
    <row r="7919" spans="8:8" ht="15" customHeight="1" x14ac:dyDescent="0.2">
      <c r="H7919" s="19">
        <v>1.9007146369250199E-2</v>
      </c>
    </row>
    <row r="7920" spans="8:8" ht="15" customHeight="1" x14ac:dyDescent="0.2">
      <c r="H7920" s="19">
        <v>2.3670956183105001E-3</v>
      </c>
    </row>
    <row r="7921" spans="8:8" ht="15" customHeight="1" x14ac:dyDescent="0.2">
      <c r="H7921" s="19">
        <v>6.07166803523703E-3</v>
      </c>
    </row>
    <row r="7922" spans="8:8" ht="15" customHeight="1" x14ac:dyDescent="0.2">
      <c r="H7922" s="19">
        <v>-2.6114758143889398E-3</v>
      </c>
    </row>
    <row r="7923" spans="8:8" ht="15" customHeight="1" x14ac:dyDescent="0.2">
      <c r="H7923" s="19">
        <v>-1.0380274157680299E-2</v>
      </c>
    </row>
    <row r="7924" spans="8:8" ht="15" customHeight="1" x14ac:dyDescent="0.2">
      <c r="H7924" s="19">
        <v>1.22601017425424E-2</v>
      </c>
    </row>
    <row r="7925" spans="8:8" ht="15" customHeight="1" x14ac:dyDescent="0.2">
      <c r="H7925" s="19">
        <v>7.4369950623552903E-3</v>
      </c>
    </row>
    <row r="7926" spans="8:8" ht="15" customHeight="1" x14ac:dyDescent="0.2">
      <c r="H7926" s="19">
        <v>-4.1100849847914003E-3</v>
      </c>
    </row>
    <row r="7927" spans="8:8" ht="15" customHeight="1" x14ac:dyDescent="0.2">
      <c r="H7927" s="19">
        <v>7.4916391466869304E-3</v>
      </c>
    </row>
    <row r="7928" spans="8:8" ht="15" customHeight="1" x14ac:dyDescent="0.2">
      <c r="H7928" s="19">
        <v>3.4609714770803798E-4</v>
      </c>
    </row>
    <row r="7929" spans="8:8" ht="15" customHeight="1" x14ac:dyDescent="0.2">
      <c r="H7929" s="19">
        <v>2.07224934184305E-2</v>
      </c>
    </row>
    <row r="7930" spans="8:8" ht="15" customHeight="1" x14ac:dyDescent="0.2">
      <c r="H7930" s="19">
        <v>-2.1647107738556999E-2</v>
      </c>
    </row>
    <row r="7931" spans="8:8" ht="15" customHeight="1" x14ac:dyDescent="0.2">
      <c r="H7931" s="19">
        <v>-5.9827066074710604E-3</v>
      </c>
    </row>
    <row r="7932" spans="8:8" ht="15" customHeight="1" x14ac:dyDescent="0.2">
      <c r="H7932" s="19">
        <v>1.16287583554553E-2</v>
      </c>
    </row>
    <row r="7933" spans="8:8" ht="15" customHeight="1" x14ac:dyDescent="0.2">
      <c r="H7933" s="19">
        <v>7.6238346414500601E-3</v>
      </c>
    </row>
    <row r="7934" spans="8:8" ht="15" customHeight="1" x14ac:dyDescent="0.2">
      <c r="H7934" s="19">
        <v>-9.0527113069097597E-4</v>
      </c>
    </row>
    <row r="7935" spans="8:8" ht="15" customHeight="1" x14ac:dyDescent="0.2">
      <c r="H7935" s="19">
        <v>-1.7521603863106499E-3</v>
      </c>
    </row>
    <row r="7936" spans="8:8" ht="15" customHeight="1" x14ac:dyDescent="0.2">
      <c r="H7936" s="19">
        <v>-5.7162596917784596E-3</v>
      </c>
    </row>
    <row r="7937" spans="8:8" ht="15" customHeight="1" x14ac:dyDescent="0.2">
      <c r="H7937" s="19">
        <v>-5.3788016658033802E-3</v>
      </c>
    </row>
    <row r="7938" spans="8:8" ht="15" customHeight="1" x14ac:dyDescent="0.2">
      <c r="H7938" s="19">
        <v>-4.2950170208482796E-3</v>
      </c>
    </row>
    <row r="7939" spans="8:8" ht="15" customHeight="1" x14ac:dyDescent="0.2">
      <c r="H7939" s="19">
        <v>-1.22608233370444E-2</v>
      </c>
    </row>
    <row r="7940" spans="8:8" ht="15" customHeight="1" x14ac:dyDescent="0.2">
      <c r="H7940" s="19">
        <v>9.8495402228436901E-3</v>
      </c>
    </row>
    <row r="7941" spans="8:8" ht="15" customHeight="1" x14ac:dyDescent="0.2">
      <c r="H7941" s="19">
        <v>9.1068260937423092E-3</v>
      </c>
    </row>
    <row r="7942" spans="8:8" ht="15" customHeight="1" x14ac:dyDescent="0.2">
      <c r="H7942" s="19">
        <v>-1.02048707958982E-3</v>
      </c>
    </row>
    <row r="7943" spans="8:8" ht="15" customHeight="1" x14ac:dyDescent="0.2">
      <c r="H7943" s="19">
        <v>1.00953293086591E-3</v>
      </c>
    </row>
    <row r="7944" spans="8:8" ht="15" customHeight="1" x14ac:dyDescent="0.2">
      <c r="H7944" s="19">
        <v>6.1314613805503503E-3</v>
      </c>
    </row>
    <row r="7945" spans="8:8" ht="15" customHeight="1" x14ac:dyDescent="0.2">
      <c r="H7945" s="19">
        <v>-3.1592401417956501E-3</v>
      </c>
    </row>
    <row r="7946" spans="8:8" ht="15" customHeight="1" x14ac:dyDescent="0.2">
      <c r="H7946" s="19">
        <v>-1.8576022518023701E-3</v>
      </c>
    </row>
    <row r="7947" spans="8:8" ht="15" customHeight="1" x14ac:dyDescent="0.2">
      <c r="H7947" s="19">
        <v>-7.1729240828194299E-3</v>
      </c>
    </row>
    <row r="7948" spans="8:8" ht="15" customHeight="1" x14ac:dyDescent="0.2">
      <c r="H7948" s="19">
        <v>-4.5257706675886902E-3</v>
      </c>
    </row>
    <row r="7949" spans="8:8" ht="15" customHeight="1" x14ac:dyDescent="0.2">
      <c r="H7949" s="19">
        <v>-6.7501157843547696E-3</v>
      </c>
    </row>
    <row r="7950" spans="8:8" ht="15" customHeight="1" x14ac:dyDescent="0.2">
      <c r="H7950" s="19">
        <v>-2.10317541383527E-3</v>
      </c>
    </row>
    <row r="7951" spans="8:8" ht="15" customHeight="1" x14ac:dyDescent="0.2">
      <c r="H7951" s="19">
        <v>1.07878397506225E-3</v>
      </c>
    </row>
    <row r="7952" spans="8:8" ht="15" customHeight="1" x14ac:dyDescent="0.2">
      <c r="H7952" s="19">
        <v>-9.5178115213750503E-4</v>
      </c>
    </row>
    <row r="7953" spans="8:8" ht="15" customHeight="1" x14ac:dyDescent="0.2">
      <c r="H7953" s="19">
        <v>-4.9159438841067798E-3</v>
      </c>
    </row>
    <row r="7954" spans="8:8" ht="15" customHeight="1" x14ac:dyDescent="0.2">
      <c r="H7954" s="19">
        <v>1.8668340897172599E-2</v>
      </c>
    </row>
    <row r="7955" spans="8:8" ht="15" customHeight="1" x14ac:dyDescent="0.2">
      <c r="H7955" s="19">
        <v>3.2099550206618802E-4</v>
      </c>
    </row>
    <row r="7956" spans="8:8" ht="15" customHeight="1" x14ac:dyDescent="0.2">
      <c r="H7956" s="19">
        <v>1.11395975070259E-2</v>
      </c>
    </row>
    <row r="7957" spans="8:8" ht="15" customHeight="1" x14ac:dyDescent="0.2">
      <c r="H7957" s="19">
        <v>7.10412354657213E-3</v>
      </c>
    </row>
    <row r="7958" spans="8:8" ht="15" customHeight="1" x14ac:dyDescent="0.2">
      <c r="H7958" s="19">
        <v>-2.2466195186145901E-3</v>
      </c>
    </row>
    <row r="7959" spans="8:8" ht="15" customHeight="1" x14ac:dyDescent="0.2">
      <c r="H7959" s="19">
        <v>5.5263595170921996E-3</v>
      </c>
    </row>
    <row r="7960" spans="8:8" ht="15" customHeight="1" x14ac:dyDescent="0.2">
      <c r="H7960" s="19">
        <v>-1.2199615374235699E-3</v>
      </c>
    </row>
    <row r="7961" spans="8:8" ht="15" customHeight="1" x14ac:dyDescent="0.2">
      <c r="H7961" s="19">
        <v>8.5423141856205906E-3</v>
      </c>
    </row>
    <row r="7962" spans="8:8" ht="15" customHeight="1" x14ac:dyDescent="0.2">
      <c r="H7962" s="19">
        <v>-6.3479729112649399E-4</v>
      </c>
    </row>
    <row r="7963" spans="8:8" ht="15" customHeight="1" x14ac:dyDescent="0.2">
      <c r="H7963" s="19">
        <v>-3.9524337632502998E-3</v>
      </c>
    </row>
    <row r="7964" spans="8:8" ht="15" customHeight="1" x14ac:dyDescent="0.2">
      <c r="H7964" s="19">
        <v>-6.3772239593309398E-3</v>
      </c>
    </row>
    <row r="7965" spans="8:8" ht="15" customHeight="1" x14ac:dyDescent="0.2">
      <c r="H7965" s="19">
        <v>1.1648422996446599E-2</v>
      </c>
    </row>
    <row r="7966" spans="8:8" ht="15" customHeight="1" x14ac:dyDescent="0.2">
      <c r="H7966" s="19">
        <v>-2.4137317143475999E-3</v>
      </c>
    </row>
    <row r="7967" spans="8:8" ht="15" customHeight="1" x14ac:dyDescent="0.2">
      <c r="H7967" s="19">
        <v>-2.4099601646794702E-3</v>
      </c>
    </row>
    <row r="7968" spans="8:8" ht="15" customHeight="1" x14ac:dyDescent="0.2">
      <c r="H7968" s="19">
        <v>5.7368840783199801E-3</v>
      </c>
    </row>
    <row r="7969" spans="8:8" ht="15" customHeight="1" x14ac:dyDescent="0.2">
      <c r="H7969" s="19">
        <v>-1.34380238508282E-2</v>
      </c>
    </row>
    <row r="7970" spans="8:8" ht="15" customHeight="1" x14ac:dyDescent="0.2">
      <c r="H7970" s="19">
        <v>1.01755980287503E-3</v>
      </c>
    </row>
    <row r="7971" spans="8:8" ht="15" customHeight="1" x14ac:dyDescent="0.2">
      <c r="H7971" s="19">
        <v>1.95465740406245E-3</v>
      </c>
    </row>
    <row r="7972" spans="8:8" ht="15" customHeight="1" x14ac:dyDescent="0.2">
      <c r="H7972" s="19">
        <v>1.13592348490263E-3</v>
      </c>
    </row>
    <row r="7973" spans="8:8" ht="15" customHeight="1" x14ac:dyDescent="0.2">
      <c r="H7973" s="19">
        <v>-1.40924770799473E-2</v>
      </c>
    </row>
    <row r="7974" spans="8:8" ht="15" customHeight="1" x14ac:dyDescent="0.2">
      <c r="H7974" s="19">
        <v>-2.7816498035357902E-3</v>
      </c>
    </row>
    <row r="7975" spans="8:8" ht="15" customHeight="1" x14ac:dyDescent="0.2">
      <c r="H7975" s="19">
        <v>6.1013175292015604E-3</v>
      </c>
    </row>
    <row r="7976" spans="8:8" ht="15" customHeight="1" x14ac:dyDescent="0.2">
      <c r="H7976" s="19">
        <v>-4.5945611406172501E-3</v>
      </c>
    </row>
    <row r="7977" spans="8:8" ht="15" customHeight="1" x14ac:dyDescent="0.2">
      <c r="H7977" s="19">
        <v>1.5549503261746801E-2</v>
      </c>
    </row>
    <row r="7978" spans="8:8" ht="15" customHeight="1" x14ac:dyDescent="0.2">
      <c r="H7978" s="19">
        <v>-1.1456653486177E-2</v>
      </c>
    </row>
    <row r="7979" spans="8:8" ht="15" customHeight="1" x14ac:dyDescent="0.2">
      <c r="H7979" s="19">
        <v>-1.27809815911601E-2</v>
      </c>
    </row>
    <row r="7980" spans="8:8" ht="15" customHeight="1" x14ac:dyDescent="0.2">
      <c r="H7980" s="19">
        <v>2.69746703400671E-3</v>
      </c>
    </row>
    <row r="7981" spans="8:8" ht="15" customHeight="1" x14ac:dyDescent="0.2">
      <c r="H7981" s="19">
        <v>-2.0017881288660999E-2</v>
      </c>
    </row>
    <row r="7982" spans="8:8" ht="15" customHeight="1" x14ac:dyDescent="0.2">
      <c r="H7982" s="19">
        <v>-4.5986090127264996E-3</v>
      </c>
    </row>
    <row r="7983" spans="8:8" ht="15" customHeight="1" x14ac:dyDescent="0.2">
      <c r="H7983" s="19">
        <v>2.67171828619997E-3</v>
      </c>
    </row>
    <row r="7984" spans="8:8" ht="15" customHeight="1" x14ac:dyDescent="0.2">
      <c r="H7984" s="19">
        <v>-4.6035433851216003E-3</v>
      </c>
    </row>
    <row r="7985" spans="8:8" ht="15" customHeight="1" x14ac:dyDescent="0.2">
      <c r="H7985" s="19">
        <v>-3.3228836675328603E-5</v>
      </c>
    </row>
    <row r="7986" spans="8:8" ht="15" customHeight="1" x14ac:dyDescent="0.2">
      <c r="H7986" s="19">
        <v>1.14493086415857E-2</v>
      </c>
    </row>
    <row r="7987" spans="8:8" ht="15" customHeight="1" x14ac:dyDescent="0.2">
      <c r="H7987" s="19">
        <v>1.2261371580954999E-2</v>
      </c>
    </row>
    <row r="7988" spans="8:8" ht="15" customHeight="1" x14ac:dyDescent="0.2">
      <c r="H7988" s="19">
        <v>-1.42674304309443E-3</v>
      </c>
    </row>
    <row r="7989" spans="8:8" ht="15" customHeight="1" x14ac:dyDescent="0.2">
      <c r="H7989" s="19">
        <v>-2.14607712765893E-3</v>
      </c>
    </row>
    <row r="7990" spans="8:8" ht="15" customHeight="1" x14ac:dyDescent="0.2">
      <c r="H7990" s="19">
        <v>1.0375915702258201E-2</v>
      </c>
    </row>
    <row r="7991" spans="8:8" ht="15" customHeight="1" x14ac:dyDescent="0.2">
      <c r="H7991" s="19">
        <v>7.00716342436381E-3</v>
      </c>
    </row>
    <row r="7992" spans="8:8" ht="15" customHeight="1" x14ac:dyDescent="0.2">
      <c r="H7992" s="19">
        <v>1.21109361027839E-2</v>
      </c>
    </row>
    <row r="7993" spans="8:8" ht="15" customHeight="1" x14ac:dyDescent="0.2">
      <c r="H7993" s="19">
        <v>-6.3047720494950202E-3</v>
      </c>
    </row>
    <row r="7994" spans="8:8" ht="15" customHeight="1" x14ac:dyDescent="0.2">
      <c r="H7994" s="19">
        <v>5.7973508052652101E-3</v>
      </c>
    </row>
    <row r="7995" spans="8:8" ht="15" customHeight="1" x14ac:dyDescent="0.2">
      <c r="H7995" s="19">
        <v>1.4174693297744999E-2</v>
      </c>
    </row>
    <row r="7996" spans="8:8" ht="15" customHeight="1" x14ac:dyDescent="0.2">
      <c r="H7996" s="19">
        <v>5.1014128757685695E-4</v>
      </c>
    </row>
    <row r="7997" spans="8:8" ht="15" customHeight="1" x14ac:dyDescent="0.2">
      <c r="H7997" s="19">
        <v>-1.73851259160848E-2</v>
      </c>
    </row>
    <row r="7998" spans="8:8" ht="15" customHeight="1" x14ac:dyDescent="0.2">
      <c r="H7998" s="19">
        <v>1.01737773569626E-2</v>
      </c>
    </row>
    <row r="7999" spans="8:8" ht="15" customHeight="1" x14ac:dyDescent="0.2">
      <c r="H7999" s="19">
        <v>-4.1484519923685199E-3</v>
      </c>
    </row>
    <row r="8000" spans="8:8" ht="15" customHeight="1" x14ac:dyDescent="0.2">
      <c r="H8000" s="19">
        <v>1.0635217204232199E-2</v>
      </c>
    </row>
    <row r="8001" spans="8:8" ht="15" customHeight="1" x14ac:dyDescent="0.2">
      <c r="H8001" s="19">
        <v>6.3237322271905497E-3</v>
      </c>
    </row>
    <row r="8002" spans="8:8" ht="15" customHeight="1" x14ac:dyDescent="0.2">
      <c r="H8002" s="19">
        <v>-2.42879902798052E-3</v>
      </c>
    </row>
    <row r="8003" spans="8:8" ht="15" customHeight="1" x14ac:dyDescent="0.2">
      <c r="H8003" s="19">
        <v>3.5559309473939E-3</v>
      </c>
    </row>
    <row r="8004" spans="8:8" ht="15" customHeight="1" x14ac:dyDescent="0.2">
      <c r="H8004" s="19">
        <v>2.1371542240605602E-2</v>
      </c>
    </row>
    <row r="8005" spans="8:8" ht="15" customHeight="1" x14ac:dyDescent="0.2">
      <c r="H8005" s="19">
        <v>1.9159784796998799E-2</v>
      </c>
    </row>
    <row r="8006" spans="8:8" ht="15" customHeight="1" x14ac:dyDescent="0.2">
      <c r="H8006" s="19">
        <v>1.7605270723635699E-2</v>
      </c>
    </row>
    <row r="8007" spans="8:8" ht="15" customHeight="1" x14ac:dyDescent="0.2">
      <c r="H8007" s="19">
        <v>7.8052114149103598E-3</v>
      </c>
    </row>
    <row r="8008" spans="8:8" ht="15" customHeight="1" x14ac:dyDescent="0.2">
      <c r="H8008" s="19">
        <v>-5.8031954003780004E-3</v>
      </c>
    </row>
    <row r="8009" spans="8:8" ht="15" customHeight="1" x14ac:dyDescent="0.2">
      <c r="H8009" s="19">
        <v>5.9609414681368001E-3</v>
      </c>
    </row>
    <row r="8010" spans="8:8" ht="15" customHeight="1" x14ac:dyDescent="0.2">
      <c r="H8010" s="19">
        <v>-4.1769563057233198E-3</v>
      </c>
    </row>
    <row r="8011" spans="8:8" ht="15" customHeight="1" x14ac:dyDescent="0.2">
      <c r="H8011" s="19">
        <v>-7.8486499653433999E-3</v>
      </c>
    </row>
    <row r="8012" spans="8:8" ht="15" customHeight="1" x14ac:dyDescent="0.2">
      <c r="H8012" s="19">
        <v>-7.9809133789081506E-3</v>
      </c>
    </row>
    <row r="8013" spans="8:8" ht="15" customHeight="1" x14ac:dyDescent="0.2">
      <c r="H8013" s="19">
        <v>8.9880602897519195E-3</v>
      </c>
    </row>
    <row r="8014" spans="8:8" ht="15" customHeight="1" x14ac:dyDescent="0.2">
      <c r="H8014" s="19">
        <v>5.3891129167082698E-3</v>
      </c>
    </row>
    <row r="8015" spans="8:8" ht="15" customHeight="1" x14ac:dyDescent="0.2">
      <c r="H8015" s="19">
        <v>8.5077963755277094E-3</v>
      </c>
    </row>
    <row r="8016" spans="8:8" ht="15" customHeight="1" x14ac:dyDescent="0.2">
      <c r="H8016" s="19">
        <v>1.2266935080330701E-3</v>
      </c>
    </row>
    <row r="8017" spans="8:8" ht="15" customHeight="1" x14ac:dyDescent="0.2">
      <c r="H8017" s="19">
        <v>1.31518973545492E-2</v>
      </c>
    </row>
    <row r="8018" spans="8:8" ht="15" customHeight="1" x14ac:dyDescent="0.2">
      <c r="H8018" s="19">
        <v>-1.1051039604415201E-2</v>
      </c>
    </row>
    <row r="8019" spans="8:8" ht="15" customHeight="1" x14ac:dyDescent="0.2">
      <c r="H8019" s="19">
        <v>8.8173586353678599E-3</v>
      </c>
    </row>
    <row r="8020" spans="8:8" ht="15" customHeight="1" x14ac:dyDescent="0.2">
      <c r="H8020" s="19">
        <v>-8.5007005524395593E-3</v>
      </c>
    </row>
    <row r="8021" spans="8:8" ht="15" customHeight="1" x14ac:dyDescent="0.2">
      <c r="H8021" s="19">
        <v>8.3761776986689806E-3</v>
      </c>
    </row>
    <row r="8022" spans="8:8" ht="15" customHeight="1" x14ac:dyDescent="0.2">
      <c r="H8022" s="19">
        <v>-2.0098288471600102E-2</v>
      </c>
    </row>
    <row r="8023" spans="8:8" ht="15" customHeight="1" x14ac:dyDescent="0.2">
      <c r="H8023" s="19">
        <v>1.3185456515457101E-2</v>
      </c>
    </row>
    <row r="8024" spans="8:8" ht="15" customHeight="1" x14ac:dyDescent="0.2">
      <c r="H8024" s="19">
        <v>7.5831753402563198E-3</v>
      </c>
    </row>
    <row r="8025" spans="8:8" ht="15" customHeight="1" x14ac:dyDescent="0.2">
      <c r="H8025" s="19">
        <v>2.2604703154942399E-2</v>
      </c>
    </row>
    <row r="8026" spans="8:8" ht="15" customHeight="1" x14ac:dyDescent="0.2">
      <c r="H8026" s="19">
        <v>-5.6861227832680997E-3</v>
      </c>
    </row>
    <row r="8027" spans="8:8" ht="15" customHeight="1" x14ac:dyDescent="0.2">
      <c r="H8027" s="19">
        <v>-2.5543403044496898E-2</v>
      </c>
    </row>
    <row r="8028" spans="8:8" ht="15" customHeight="1" x14ac:dyDescent="0.2">
      <c r="H8028" s="19">
        <v>3.0704663785470401E-3</v>
      </c>
    </row>
    <row r="8029" spans="8:8" ht="15" customHeight="1" x14ac:dyDescent="0.2">
      <c r="H8029" s="19">
        <v>1.2664985873164E-2</v>
      </c>
    </row>
    <row r="8030" spans="8:8" ht="15" customHeight="1" x14ac:dyDescent="0.2">
      <c r="H8030" s="19">
        <v>4.3345697407037396E-3</v>
      </c>
    </row>
    <row r="8031" spans="8:8" ht="15" customHeight="1" x14ac:dyDescent="0.2">
      <c r="H8031" s="19">
        <v>-4.0367710042318403E-3</v>
      </c>
    </row>
    <row r="8032" spans="8:8" ht="15" customHeight="1" x14ac:dyDescent="0.2">
      <c r="H8032" s="19">
        <v>-8.2600892020887693E-3</v>
      </c>
    </row>
    <row r="8033" spans="8:8" ht="15" customHeight="1" x14ac:dyDescent="0.2">
      <c r="H8033" s="19">
        <v>5.9887615382691398E-3</v>
      </c>
    </row>
    <row r="8034" spans="8:8" ht="15" customHeight="1" x14ac:dyDescent="0.2">
      <c r="H8034" s="19">
        <v>9.0291366146478796E-3</v>
      </c>
    </row>
    <row r="8035" spans="8:8" ht="15" customHeight="1" x14ac:dyDescent="0.2">
      <c r="H8035" s="19">
        <v>-1.09249617388587E-2</v>
      </c>
    </row>
    <row r="8036" spans="8:8" ht="15" customHeight="1" x14ac:dyDescent="0.2">
      <c r="H8036" s="19">
        <v>-1.5461561745376599E-2</v>
      </c>
    </row>
    <row r="8037" spans="8:8" ht="15" customHeight="1" x14ac:dyDescent="0.2">
      <c r="H8037" s="19">
        <v>1.04026557746391E-2</v>
      </c>
    </row>
    <row r="8038" spans="8:8" ht="15" customHeight="1" x14ac:dyDescent="0.2">
      <c r="H8038" s="19">
        <v>3.9792178141636004E-3</v>
      </c>
    </row>
    <row r="8039" spans="8:8" ht="15" customHeight="1" x14ac:dyDescent="0.2">
      <c r="H8039" s="19">
        <v>4.0107677601737297E-3</v>
      </c>
    </row>
    <row r="8040" spans="8:8" ht="15" customHeight="1" x14ac:dyDescent="0.2">
      <c r="H8040" s="19">
        <v>-5.47268601777602E-6</v>
      </c>
    </row>
    <row r="8041" spans="8:8" ht="15" customHeight="1" x14ac:dyDescent="0.2">
      <c r="H8041" s="19">
        <v>1.06759145426156E-2</v>
      </c>
    </row>
    <row r="8042" spans="8:8" ht="15" customHeight="1" x14ac:dyDescent="0.2">
      <c r="H8042" s="19">
        <v>-8.0321867421417406E-3</v>
      </c>
    </row>
    <row r="8043" spans="8:8" ht="15" customHeight="1" x14ac:dyDescent="0.2">
      <c r="H8043" s="19">
        <v>-2.6155569590919198E-3</v>
      </c>
    </row>
    <row r="8044" spans="8:8" ht="15" customHeight="1" x14ac:dyDescent="0.2">
      <c r="H8044" s="19">
        <v>3.7111341091610899E-3</v>
      </c>
    </row>
    <row r="8045" spans="8:8" ht="15" customHeight="1" x14ac:dyDescent="0.2">
      <c r="H8045" s="19">
        <v>3.0023825353951001E-2</v>
      </c>
    </row>
    <row r="8046" spans="8:8" ht="15" customHeight="1" x14ac:dyDescent="0.2">
      <c r="H8046" s="19">
        <v>-3.9641189144302702E-3</v>
      </c>
    </row>
    <row r="8047" spans="8:8" ht="15" customHeight="1" x14ac:dyDescent="0.2">
      <c r="H8047" s="19">
        <v>1.22165817272723E-2</v>
      </c>
    </row>
    <row r="8048" spans="8:8" ht="15" customHeight="1" x14ac:dyDescent="0.2">
      <c r="H8048" s="19">
        <v>1.7521603380884002E-2</v>
      </c>
    </row>
    <row r="8049" spans="8:8" ht="15" customHeight="1" x14ac:dyDescent="0.2">
      <c r="H8049" s="19">
        <v>5.1220655931464298E-3</v>
      </c>
    </row>
    <row r="8050" spans="8:8" ht="15" customHeight="1" x14ac:dyDescent="0.2">
      <c r="H8050" s="19">
        <v>9.7798330134306593E-3</v>
      </c>
    </row>
    <row r="8051" spans="8:8" ht="15" customHeight="1" x14ac:dyDescent="0.2">
      <c r="H8051" s="19">
        <v>-9.2057850126732298E-3</v>
      </c>
    </row>
    <row r="8052" spans="8:8" ht="15" customHeight="1" x14ac:dyDescent="0.2">
      <c r="H8052" s="19">
        <v>1.79410666314909E-2</v>
      </c>
    </row>
    <row r="8053" spans="8:8" ht="15" customHeight="1" x14ac:dyDescent="0.2">
      <c r="H8053" s="19">
        <v>4.7006012883799402E-3</v>
      </c>
    </row>
    <row r="8054" spans="8:8" ht="15" customHeight="1" x14ac:dyDescent="0.2">
      <c r="H8054" s="19">
        <v>9.8887908424125492E-3</v>
      </c>
    </row>
    <row r="8055" spans="8:8" ht="15" customHeight="1" x14ac:dyDescent="0.2">
      <c r="H8055" s="19">
        <v>7.3020858114101698E-3</v>
      </c>
    </row>
    <row r="8056" spans="8:8" ht="15" customHeight="1" x14ac:dyDescent="0.2">
      <c r="H8056" s="19">
        <v>-5.7860946527412804E-4</v>
      </c>
    </row>
    <row r="8057" spans="8:8" ht="15" customHeight="1" x14ac:dyDescent="0.2">
      <c r="H8057" s="19">
        <v>1.0800026514573499E-2</v>
      </c>
    </row>
    <row r="8058" spans="8:8" ht="15" customHeight="1" x14ac:dyDescent="0.2">
      <c r="H8058" s="19">
        <v>-1.2191487222951301E-2</v>
      </c>
    </row>
    <row r="8059" spans="8:8" ht="15" customHeight="1" x14ac:dyDescent="0.2">
      <c r="H8059" s="19">
        <v>1.0477307542983901E-2</v>
      </c>
    </row>
    <row r="8060" spans="8:8" ht="15" customHeight="1" x14ac:dyDescent="0.2">
      <c r="H8060" s="19">
        <v>-9.0715900028212799E-4</v>
      </c>
    </row>
    <row r="8061" spans="8:8" ht="15" customHeight="1" x14ac:dyDescent="0.2">
      <c r="H8061" s="19">
        <v>2.3006962864171799E-2</v>
      </c>
    </row>
    <row r="8062" spans="8:8" ht="15" customHeight="1" x14ac:dyDescent="0.2">
      <c r="H8062" s="19">
        <v>-2.79138085057954E-3</v>
      </c>
    </row>
    <row r="8063" spans="8:8" ht="15" customHeight="1" x14ac:dyDescent="0.2">
      <c r="H8063" s="19">
        <v>-5.6184799326656403E-4</v>
      </c>
    </row>
    <row r="8064" spans="8:8" ht="15" customHeight="1" x14ac:dyDescent="0.2">
      <c r="H8064" s="19">
        <v>-3.29546662779806E-3</v>
      </c>
    </row>
    <row r="8065" spans="8:8" ht="15" customHeight="1" x14ac:dyDescent="0.2">
      <c r="H8065" s="19">
        <v>3.4909666964222899E-3</v>
      </c>
    </row>
    <row r="8066" spans="8:8" ht="15" customHeight="1" x14ac:dyDescent="0.2">
      <c r="H8066" s="19">
        <v>1.5890486944212402E-2</v>
      </c>
    </row>
    <row r="8067" spans="8:8" ht="15" customHeight="1" x14ac:dyDescent="0.2">
      <c r="H8067" s="19">
        <v>-1.2427958288869199E-3</v>
      </c>
    </row>
    <row r="8068" spans="8:8" ht="15" customHeight="1" x14ac:dyDescent="0.2">
      <c r="H8068" s="19">
        <v>-7.4026463328937496E-3</v>
      </c>
    </row>
    <row r="8069" spans="8:8" ht="15" customHeight="1" x14ac:dyDescent="0.2">
      <c r="H8069" s="19">
        <v>6.8928571340481802E-3</v>
      </c>
    </row>
    <row r="8070" spans="8:8" ht="15" customHeight="1" x14ac:dyDescent="0.2">
      <c r="H8070" s="19">
        <v>-1.7315155549267498E-2</v>
      </c>
    </row>
    <row r="8071" spans="8:8" ht="15" customHeight="1" x14ac:dyDescent="0.2">
      <c r="H8071" s="19">
        <v>1.85853994798533E-3</v>
      </c>
    </row>
    <row r="8072" spans="8:8" ht="15" customHeight="1" x14ac:dyDescent="0.2">
      <c r="H8072" s="19">
        <v>-4.9736634062531402E-3</v>
      </c>
    </row>
    <row r="8073" spans="8:8" ht="15" customHeight="1" x14ac:dyDescent="0.2">
      <c r="H8073" s="19">
        <v>-8.2600788051468005E-3</v>
      </c>
    </row>
    <row r="8074" spans="8:8" ht="15" customHeight="1" x14ac:dyDescent="0.2">
      <c r="H8074" s="19">
        <v>-1.01763439226994E-2</v>
      </c>
    </row>
    <row r="8075" spans="8:8" ht="15" customHeight="1" x14ac:dyDescent="0.2">
      <c r="H8075" s="19">
        <v>4.7559435064988796E-3</v>
      </c>
    </row>
    <row r="8076" spans="8:8" ht="15" customHeight="1" x14ac:dyDescent="0.2">
      <c r="H8076" s="19">
        <v>8.3250924043431103E-3</v>
      </c>
    </row>
    <row r="8077" spans="8:8" ht="15" customHeight="1" x14ac:dyDescent="0.2">
      <c r="H8077" s="19">
        <v>-2.3643188628595601E-3</v>
      </c>
    </row>
    <row r="8078" spans="8:8" ht="15" customHeight="1" x14ac:dyDescent="0.2">
      <c r="H8078" s="19">
        <v>-2.3045767672431102E-3</v>
      </c>
    </row>
    <row r="8079" spans="8:8" ht="15" customHeight="1" x14ac:dyDescent="0.2">
      <c r="H8079" s="19">
        <v>-9.1242538071632205E-3</v>
      </c>
    </row>
    <row r="8080" spans="8:8" ht="15" customHeight="1" x14ac:dyDescent="0.2">
      <c r="H8080" s="19">
        <v>-5.2503248503153396E-4</v>
      </c>
    </row>
    <row r="8081" spans="8:8" ht="15" customHeight="1" x14ac:dyDescent="0.2">
      <c r="H8081" s="19">
        <v>6.6084352684818298E-3</v>
      </c>
    </row>
    <row r="8082" spans="8:8" ht="15" customHeight="1" x14ac:dyDescent="0.2">
      <c r="H8082" s="19">
        <v>-4.0086439623570301E-3</v>
      </c>
    </row>
    <row r="8083" spans="8:8" ht="15" customHeight="1" x14ac:dyDescent="0.2">
      <c r="H8083" s="19">
        <v>9.3355359420208908E-3</v>
      </c>
    </row>
    <row r="8084" spans="8:8" ht="15" customHeight="1" x14ac:dyDescent="0.2">
      <c r="H8084" s="19">
        <v>-1.5561712247243601E-2</v>
      </c>
    </row>
    <row r="8085" spans="8:8" ht="15" customHeight="1" x14ac:dyDescent="0.2">
      <c r="H8085" s="19">
        <v>-3.25659260828264E-4</v>
      </c>
    </row>
    <row r="8086" spans="8:8" ht="15" customHeight="1" x14ac:dyDescent="0.2">
      <c r="H8086" s="19">
        <v>-1.31836204988234E-3</v>
      </c>
    </row>
    <row r="8087" spans="8:8" ht="15" customHeight="1" x14ac:dyDescent="0.2">
      <c r="H8087" s="19">
        <v>-3.1625356640776402E-4</v>
      </c>
    </row>
    <row r="8088" spans="8:8" ht="15" customHeight="1" x14ac:dyDescent="0.2">
      <c r="H8088" s="19">
        <v>1.08056686474001E-2</v>
      </c>
    </row>
    <row r="8089" spans="8:8" ht="15" customHeight="1" x14ac:dyDescent="0.2">
      <c r="H8089" s="19">
        <v>-5.5310519504160899E-3</v>
      </c>
    </row>
    <row r="8090" spans="8:8" ht="15" customHeight="1" x14ac:dyDescent="0.2">
      <c r="H8090" s="19">
        <v>1.5416143620007299E-2</v>
      </c>
    </row>
    <row r="8091" spans="8:8" ht="15" customHeight="1" x14ac:dyDescent="0.2">
      <c r="H8091" s="19">
        <v>5.9185736348821901E-3</v>
      </c>
    </row>
    <row r="8092" spans="8:8" ht="15" customHeight="1" x14ac:dyDescent="0.2">
      <c r="H8092" s="19">
        <v>6.6842479817954999E-3</v>
      </c>
    </row>
    <row r="8093" spans="8:8" ht="15" customHeight="1" x14ac:dyDescent="0.2">
      <c r="H8093" s="19">
        <v>-1.5925002492650601E-2</v>
      </c>
    </row>
    <row r="8094" spans="8:8" ht="15" customHeight="1" x14ac:dyDescent="0.2">
      <c r="H8094" s="19">
        <v>-3.0879125701741101E-3</v>
      </c>
    </row>
    <row r="8095" spans="8:8" ht="15" customHeight="1" x14ac:dyDescent="0.2">
      <c r="H8095" s="19">
        <v>1.09933923714593E-2</v>
      </c>
    </row>
    <row r="8096" spans="8:8" ht="15" customHeight="1" x14ac:dyDescent="0.2">
      <c r="H8096" s="19">
        <v>9.7276902871123701E-4</v>
      </c>
    </row>
    <row r="8097" spans="8:8" ht="15" customHeight="1" x14ac:dyDescent="0.2">
      <c r="H8097" s="19">
        <v>4.9377604640384199E-3</v>
      </c>
    </row>
    <row r="8098" spans="8:8" ht="15" customHeight="1" x14ac:dyDescent="0.2">
      <c r="H8098" s="19">
        <v>-8.5208810027525492E-3</v>
      </c>
    </row>
    <row r="8099" spans="8:8" ht="15" customHeight="1" x14ac:dyDescent="0.2">
      <c r="H8099" s="19">
        <v>8.4985755538625699E-3</v>
      </c>
    </row>
    <row r="8100" spans="8:8" ht="15" customHeight="1" x14ac:dyDescent="0.2">
      <c r="H8100" s="19">
        <v>-2.6917577832363399E-3</v>
      </c>
    </row>
    <row r="8101" spans="8:8" ht="15" customHeight="1" x14ac:dyDescent="0.2">
      <c r="H8101" s="19">
        <v>-1.3529103793217499E-2</v>
      </c>
    </row>
    <row r="8102" spans="8:8" ht="15" customHeight="1" x14ac:dyDescent="0.2">
      <c r="H8102" s="19">
        <v>-5.14375579430109E-3</v>
      </c>
    </row>
    <row r="8103" spans="8:8" ht="15" customHeight="1" x14ac:dyDescent="0.2">
      <c r="H8103" s="19">
        <v>1.1842136159137699E-2</v>
      </c>
    </row>
    <row r="8104" spans="8:8" ht="15" customHeight="1" x14ac:dyDescent="0.2">
      <c r="H8104" s="19">
        <v>-1.37948390839534E-2</v>
      </c>
    </row>
    <row r="8105" spans="8:8" ht="15" customHeight="1" x14ac:dyDescent="0.2">
      <c r="H8105" s="19">
        <v>-9.0704447127801704E-3</v>
      </c>
    </row>
    <row r="8106" spans="8:8" ht="15" customHeight="1" x14ac:dyDescent="0.2">
      <c r="H8106" s="19">
        <v>1.9522202191689202E-2</v>
      </c>
    </row>
    <row r="8107" spans="8:8" ht="15" customHeight="1" x14ac:dyDescent="0.2">
      <c r="H8107" s="19">
        <v>-4.9592395462638803E-3</v>
      </c>
    </row>
    <row r="8108" spans="8:8" ht="15" customHeight="1" x14ac:dyDescent="0.2">
      <c r="H8108" s="19">
        <v>5.1114512432225796E-3</v>
      </c>
    </row>
    <row r="8109" spans="8:8" ht="15" customHeight="1" x14ac:dyDescent="0.2">
      <c r="H8109" s="19">
        <v>5.4496735394645602E-3</v>
      </c>
    </row>
    <row r="8110" spans="8:8" ht="15" customHeight="1" x14ac:dyDescent="0.2">
      <c r="H8110" s="19">
        <v>-1.00832940946194E-2</v>
      </c>
    </row>
    <row r="8111" spans="8:8" ht="15" customHeight="1" x14ac:dyDescent="0.2">
      <c r="H8111" s="19">
        <v>5.7797756271587798E-3</v>
      </c>
    </row>
    <row r="8112" spans="8:8" ht="15" customHeight="1" x14ac:dyDescent="0.2">
      <c r="H8112" s="19">
        <v>1.63517417088939E-3</v>
      </c>
    </row>
    <row r="8113" spans="8:8" ht="15" customHeight="1" x14ac:dyDescent="0.2">
      <c r="H8113" s="19">
        <v>-1.37720628547888E-2</v>
      </c>
    </row>
    <row r="8114" spans="8:8" ht="15" customHeight="1" x14ac:dyDescent="0.2">
      <c r="H8114" s="19">
        <v>-1.0783198118601899E-4</v>
      </c>
    </row>
    <row r="8115" spans="8:8" ht="15" customHeight="1" x14ac:dyDescent="0.2">
      <c r="H8115" s="19">
        <v>9.1864169840674293E-3</v>
      </c>
    </row>
    <row r="8116" spans="8:8" ht="15" customHeight="1" x14ac:dyDescent="0.2">
      <c r="H8116" s="19">
        <v>-1.1519901073793299E-3</v>
      </c>
    </row>
    <row r="8117" spans="8:8" ht="15" customHeight="1" x14ac:dyDescent="0.2">
      <c r="H8117" s="19">
        <v>1.3761092969886001E-3</v>
      </c>
    </row>
    <row r="8118" spans="8:8" ht="15" customHeight="1" x14ac:dyDescent="0.2">
      <c r="H8118" s="19">
        <v>1.9099183088048501E-2</v>
      </c>
    </row>
    <row r="8119" spans="8:8" ht="15" customHeight="1" x14ac:dyDescent="0.2">
      <c r="H8119" s="19">
        <v>-4.5334746339913802E-3</v>
      </c>
    </row>
    <row r="8120" spans="8:8" ht="15" customHeight="1" x14ac:dyDescent="0.2">
      <c r="H8120" s="19">
        <v>-2.1093358712545598E-2</v>
      </c>
    </row>
    <row r="8121" spans="8:8" ht="15" customHeight="1" x14ac:dyDescent="0.2">
      <c r="H8121" s="19">
        <v>8.9051430701574206E-3</v>
      </c>
    </row>
    <row r="8122" spans="8:8" ht="15" customHeight="1" x14ac:dyDescent="0.2">
      <c r="H8122" s="19">
        <v>-1.38576283971146E-2</v>
      </c>
    </row>
    <row r="8123" spans="8:8" ht="15" customHeight="1" x14ac:dyDescent="0.2">
      <c r="H8123" s="19">
        <v>-9.1120286796494098E-4</v>
      </c>
    </row>
    <row r="8124" spans="8:8" ht="15" customHeight="1" x14ac:dyDescent="0.2">
      <c r="H8124" s="19">
        <v>5.0196530064736504E-3</v>
      </c>
    </row>
    <row r="8125" spans="8:8" ht="15" customHeight="1" x14ac:dyDescent="0.2">
      <c r="H8125" s="19">
        <v>-1.2104107092248699E-2</v>
      </c>
    </row>
    <row r="8126" spans="8:8" ht="15" customHeight="1" x14ac:dyDescent="0.2">
      <c r="H8126" s="19">
        <v>-2.5311178260106599E-3</v>
      </c>
    </row>
    <row r="8127" spans="8:8" ht="15" customHeight="1" x14ac:dyDescent="0.2">
      <c r="H8127" s="19">
        <v>-8.6191661170400401E-3</v>
      </c>
    </row>
    <row r="8128" spans="8:8" ht="15" customHeight="1" x14ac:dyDescent="0.2">
      <c r="H8128" s="19">
        <v>-1.7549990107121E-3</v>
      </c>
    </row>
    <row r="8129" spans="8:8" ht="15" customHeight="1" x14ac:dyDescent="0.2">
      <c r="H8129" s="19">
        <v>1.20032149274593E-2</v>
      </c>
    </row>
    <row r="8130" spans="8:8" ht="15" customHeight="1" x14ac:dyDescent="0.2">
      <c r="H8130" s="19">
        <v>-3.7442522729289802E-3</v>
      </c>
    </row>
    <row r="8131" spans="8:8" ht="15" customHeight="1" x14ac:dyDescent="0.2">
      <c r="H8131" s="19">
        <v>1.86073889571109E-3</v>
      </c>
    </row>
    <row r="8132" spans="8:8" ht="15" customHeight="1" x14ac:dyDescent="0.2">
      <c r="H8132" s="19">
        <v>8.3321431836505897E-3</v>
      </c>
    </row>
    <row r="8133" spans="8:8" ht="15" customHeight="1" x14ac:dyDescent="0.2">
      <c r="H8133" s="19">
        <v>3.97361810968917E-3</v>
      </c>
    </row>
    <row r="8134" spans="8:8" ht="15" customHeight="1" x14ac:dyDescent="0.2">
      <c r="H8134" s="19">
        <v>-1.0583670601585699E-3</v>
      </c>
    </row>
    <row r="8135" spans="8:8" ht="15" customHeight="1" x14ac:dyDescent="0.2">
      <c r="H8135" s="19">
        <v>-1.08671049105891E-3</v>
      </c>
    </row>
    <row r="8136" spans="8:8" ht="15" customHeight="1" x14ac:dyDescent="0.2">
      <c r="H8136" s="19">
        <v>1.6917998248019699E-2</v>
      </c>
    </row>
    <row r="8137" spans="8:8" ht="15" customHeight="1" x14ac:dyDescent="0.2">
      <c r="H8137" s="19">
        <v>1.1345025719612101E-2</v>
      </c>
    </row>
    <row r="8138" spans="8:8" ht="15" customHeight="1" x14ac:dyDescent="0.2">
      <c r="H8138" s="19">
        <v>7.1607086427771301E-3</v>
      </c>
    </row>
    <row r="8139" spans="8:8" ht="15" customHeight="1" x14ac:dyDescent="0.2">
      <c r="H8139" s="19">
        <v>-6.1883345605906999E-3</v>
      </c>
    </row>
    <row r="8140" spans="8:8" ht="15" customHeight="1" x14ac:dyDescent="0.2">
      <c r="H8140" s="19">
        <v>1.31516094776701E-3</v>
      </c>
    </row>
    <row r="8141" spans="8:8" ht="15" customHeight="1" x14ac:dyDescent="0.2">
      <c r="H8141" s="19">
        <v>-4.0745298785652903E-3</v>
      </c>
    </row>
    <row r="8142" spans="8:8" ht="15" customHeight="1" x14ac:dyDescent="0.2">
      <c r="H8142" s="19">
        <v>-5.9946896517068301E-3</v>
      </c>
    </row>
    <row r="8143" spans="8:8" ht="15" customHeight="1" x14ac:dyDescent="0.2">
      <c r="H8143" s="19">
        <v>1.51169775519198E-2</v>
      </c>
    </row>
    <row r="8144" spans="8:8" ht="15" customHeight="1" x14ac:dyDescent="0.2">
      <c r="H8144" s="19">
        <v>1.39483479494369E-2</v>
      </c>
    </row>
    <row r="8145" spans="8:8" ht="15" customHeight="1" x14ac:dyDescent="0.2">
      <c r="H8145" s="19">
        <v>-5.7218462838947003E-3</v>
      </c>
    </row>
    <row r="8146" spans="8:8" ht="15" customHeight="1" x14ac:dyDescent="0.2">
      <c r="H8146" s="19">
        <v>-1.39470261734178E-3</v>
      </c>
    </row>
    <row r="8147" spans="8:8" ht="15" customHeight="1" x14ac:dyDescent="0.2">
      <c r="H8147" s="19">
        <v>5.6237283023788803E-3</v>
      </c>
    </row>
    <row r="8148" spans="8:8" ht="15" customHeight="1" x14ac:dyDescent="0.2">
      <c r="H8148" s="19">
        <v>-5.9583385812349799E-3</v>
      </c>
    </row>
    <row r="8149" spans="8:8" ht="15" customHeight="1" x14ac:dyDescent="0.2">
      <c r="H8149" s="19">
        <v>-1.8263595946595599E-4</v>
      </c>
    </row>
    <row r="8150" spans="8:8" ht="15" customHeight="1" x14ac:dyDescent="0.2">
      <c r="H8150" s="19">
        <v>6.5352600358744798E-3</v>
      </c>
    </row>
    <row r="8151" spans="8:8" ht="15" customHeight="1" x14ac:dyDescent="0.2">
      <c r="H8151" s="19">
        <v>-4.4051052671696799E-3</v>
      </c>
    </row>
    <row r="8152" spans="8:8" ht="15" customHeight="1" x14ac:dyDescent="0.2">
      <c r="H8152" s="19">
        <v>-8.0599074141784396E-3</v>
      </c>
    </row>
    <row r="8153" spans="8:8" ht="15" customHeight="1" x14ac:dyDescent="0.2">
      <c r="H8153" s="19">
        <v>-1.6091441106204599E-3</v>
      </c>
    </row>
    <row r="8154" spans="8:8" ht="15" customHeight="1" x14ac:dyDescent="0.2">
      <c r="H8154" s="19">
        <v>-1.8465485803018399E-3</v>
      </c>
    </row>
    <row r="8155" spans="8:8" ht="15" customHeight="1" x14ac:dyDescent="0.2">
      <c r="H8155" s="19">
        <v>-3.3542076157708003E-2</v>
      </c>
    </row>
    <row r="8156" spans="8:8" ht="15" customHeight="1" x14ac:dyDescent="0.2">
      <c r="H8156" s="19">
        <v>9.1140625674416102E-3</v>
      </c>
    </row>
    <row r="8157" spans="8:8" ht="15" customHeight="1" x14ac:dyDescent="0.2">
      <c r="H8157" s="19">
        <v>1.08895264452067E-2</v>
      </c>
    </row>
    <row r="8158" spans="8:8" ht="15" customHeight="1" x14ac:dyDescent="0.2">
      <c r="H8158" s="19">
        <v>-4.8783038360187599E-3</v>
      </c>
    </row>
    <row r="8159" spans="8:8" ht="15" customHeight="1" x14ac:dyDescent="0.2">
      <c r="H8159" s="19">
        <v>-4.7108085832498004E-3</v>
      </c>
    </row>
    <row r="8160" spans="8:8" ht="15" customHeight="1" x14ac:dyDescent="0.2">
      <c r="H8160" s="19">
        <v>1.61089820310975E-2</v>
      </c>
    </row>
    <row r="8161" spans="8:8" ht="15" customHeight="1" x14ac:dyDescent="0.2">
      <c r="H8161" s="19">
        <v>8.1308644626248601E-3</v>
      </c>
    </row>
    <row r="8162" spans="8:8" ht="15" customHeight="1" x14ac:dyDescent="0.2">
      <c r="H8162" s="19">
        <v>-1.1201356706016701E-2</v>
      </c>
    </row>
    <row r="8163" spans="8:8" ht="15" customHeight="1" x14ac:dyDescent="0.2">
      <c r="H8163" s="19">
        <v>-1.9904663936459299E-2</v>
      </c>
    </row>
    <row r="8164" spans="8:8" ht="15" customHeight="1" x14ac:dyDescent="0.2">
      <c r="H8164" s="19">
        <v>-2.0642141877439098E-3</v>
      </c>
    </row>
    <row r="8165" spans="8:8" ht="15" customHeight="1" x14ac:dyDescent="0.2">
      <c r="H8165" s="19">
        <v>1.1030282172794499E-3</v>
      </c>
    </row>
    <row r="8166" spans="8:8" ht="15" customHeight="1" x14ac:dyDescent="0.2">
      <c r="H8166" s="19">
        <v>-6.0321809003405797E-3</v>
      </c>
    </row>
    <row r="8167" spans="8:8" ht="15" customHeight="1" x14ac:dyDescent="0.2">
      <c r="H8167" s="19">
        <v>3.7190175217808701E-3</v>
      </c>
    </row>
    <row r="8168" spans="8:8" ht="15" customHeight="1" x14ac:dyDescent="0.2">
      <c r="H8168" s="19">
        <v>-1.6695112356364301E-2</v>
      </c>
    </row>
    <row r="8169" spans="8:8" ht="15" customHeight="1" x14ac:dyDescent="0.2">
      <c r="H8169" s="19">
        <v>1.00621122984095E-2</v>
      </c>
    </row>
    <row r="8170" spans="8:8" ht="15" customHeight="1" x14ac:dyDescent="0.2">
      <c r="H8170" s="19">
        <v>-1.64663273152951E-3</v>
      </c>
    </row>
    <row r="8171" spans="8:8" ht="15" customHeight="1" x14ac:dyDescent="0.2">
      <c r="H8171" s="19">
        <v>8.5756703946495792E-3</v>
      </c>
    </row>
    <row r="8172" spans="8:8" ht="15" customHeight="1" x14ac:dyDescent="0.2">
      <c r="H8172" s="19">
        <v>2.9687847658297901E-3</v>
      </c>
    </row>
    <row r="8173" spans="8:8" ht="15" customHeight="1" x14ac:dyDescent="0.2">
      <c r="H8173" s="19">
        <v>1.0447999753625599E-3</v>
      </c>
    </row>
    <row r="8174" spans="8:8" ht="15" customHeight="1" x14ac:dyDescent="0.2">
      <c r="H8174" s="19">
        <v>-2.1910624938872698E-2</v>
      </c>
    </row>
    <row r="8175" spans="8:8" ht="15" customHeight="1" x14ac:dyDescent="0.2">
      <c r="H8175" s="19">
        <v>7.6506882179149197E-3</v>
      </c>
    </row>
    <row r="8176" spans="8:8" ht="15" customHeight="1" x14ac:dyDescent="0.2">
      <c r="H8176" s="19">
        <v>-1.19872036808429E-2</v>
      </c>
    </row>
    <row r="8177" spans="8:8" ht="15" customHeight="1" x14ac:dyDescent="0.2">
      <c r="H8177" s="19">
        <v>1.06119556433403E-2</v>
      </c>
    </row>
    <row r="8178" spans="8:8" ht="15" customHeight="1" x14ac:dyDescent="0.2">
      <c r="H8178" s="19">
        <v>-3.45854237404605E-3</v>
      </c>
    </row>
    <row r="8179" spans="8:8" ht="15" customHeight="1" x14ac:dyDescent="0.2">
      <c r="H8179" s="19">
        <v>4.7625780800899901E-3</v>
      </c>
    </row>
    <row r="8180" spans="8:8" ht="15" customHeight="1" x14ac:dyDescent="0.2">
      <c r="H8180" s="19">
        <v>6.3495273090365002E-3</v>
      </c>
    </row>
    <row r="8181" spans="8:8" ht="15" customHeight="1" x14ac:dyDescent="0.2">
      <c r="H8181" s="19">
        <v>-6.3177350328250904E-3</v>
      </c>
    </row>
    <row r="8182" spans="8:8" ht="15" customHeight="1" x14ac:dyDescent="0.2">
      <c r="H8182" s="19">
        <v>7.6966227675384299E-4</v>
      </c>
    </row>
    <row r="8183" spans="8:8" ht="15" customHeight="1" x14ac:dyDescent="0.2">
      <c r="H8183" s="19">
        <v>-2.1025640264006499E-2</v>
      </c>
    </row>
    <row r="8184" spans="8:8" ht="15" customHeight="1" x14ac:dyDescent="0.2">
      <c r="H8184" s="19">
        <v>-1.5835022359415699E-2</v>
      </c>
    </row>
    <row r="8185" spans="8:8" ht="15" customHeight="1" x14ac:dyDescent="0.2">
      <c r="H8185" s="19">
        <v>4.09648987099283E-3</v>
      </c>
    </row>
    <row r="8186" spans="8:8" ht="15" customHeight="1" x14ac:dyDescent="0.2">
      <c r="H8186" s="19">
        <v>8.0563082172093493E-3</v>
      </c>
    </row>
    <row r="8187" spans="8:8" ht="15" customHeight="1" x14ac:dyDescent="0.2">
      <c r="H8187" s="19">
        <v>1.1954278179587E-2</v>
      </c>
    </row>
    <row r="8188" spans="8:8" ht="15" customHeight="1" x14ac:dyDescent="0.2">
      <c r="H8188" s="19">
        <v>9.9285995781842606E-3</v>
      </c>
    </row>
    <row r="8189" spans="8:8" ht="15" customHeight="1" x14ac:dyDescent="0.2">
      <c r="H8189" s="19">
        <v>1.3100442456765201E-2</v>
      </c>
    </row>
    <row r="8190" spans="8:8" ht="15" customHeight="1" x14ac:dyDescent="0.2">
      <c r="H8190" s="19">
        <v>-1.41324816533833E-4</v>
      </c>
    </row>
    <row r="8191" spans="8:8" ht="15" customHeight="1" x14ac:dyDescent="0.2">
      <c r="H8191" s="19">
        <v>-1.24506225178206E-5</v>
      </c>
    </row>
    <row r="8192" spans="8:8" ht="15" customHeight="1" x14ac:dyDescent="0.2">
      <c r="H8192" s="19">
        <v>2.0709977785693799E-4</v>
      </c>
    </row>
    <row r="8193" spans="8:8" ht="15" customHeight="1" x14ac:dyDescent="0.2">
      <c r="H8193" s="19">
        <v>5.6130932839271799E-3</v>
      </c>
    </row>
    <row r="8194" spans="8:8" ht="15" customHeight="1" x14ac:dyDescent="0.2">
      <c r="H8194" s="19">
        <v>1.1205219946776101E-2</v>
      </c>
    </row>
    <row r="8195" spans="8:8" ht="15" customHeight="1" x14ac:dyDescent="0.2">
      <c r="H8195" s="19">
        <v>1.44152953252459E-2</v>
      </c>
    </row>
    <row r="8196" spans="8:8" ht="15" customHeight="1" x14ac:dyDescent="0.2">
      <c r="H8196" s="19">
        <v>1.4114559841395501E-2</v>
      </c>
    </row>
    <row r="8197" spans="8:8" ht="15" customHeight="1" x14ac:dyDescent="0.2">
      <c r="H8197" s="19">
        <v>2.3703530968231801E-2</v>
      </c>
    </row>
    <row r="8198" spans="8:8" ht="15" customHeight="1" x14ac:dyDescent="0.2">
      <c r="H8198" s="19">
        <v>-1.8095578782145001E-3</v>
      </c>
    </row>
    <row r="8199" spans="8:8" ht="15" customHeight="1" x14ac:dyDescent="0.2">
      <c r="H8199" s="19">
        <v>-1.9448300292923E-3</v>
      </c>
    </row>
    <row r="8200" spans="8:8" ht="15" customHeight="1" x14ac:dyDescent="0.2">
      <c r="H8200" s="19">
        <v>7.7418198856918398E-3</v>
      </c>
    </row>
    <row r="8201" spans="8:8" ht="15" customHeight="1" x14ac:dyDescent="0.2">
      <c r="H8201" s="19">
        <v>1.6507088740104502E-2</v>
      </c>
    </row>
    <row r="8202" spans="8:8" ht="15" customHeight="1" x14ac:dyDescent="0.2">
      <c r="H8202" s="19">
        <v>-1.8303519716648901E-2</v>
      </c>
    </row>
    <row r="8203" spans="8:8" ht="15" customHeight="1" x14ac:dyDescent="0.2">
      <c r="H8203" s="19">
        <v>9.9033001079461801E-3</v>
      </c>
    </row>
    <row r="8204" spans="8:8" ht="15" customHeight="1" x14ac:dyDescent="0.2">
      <c r="H8204" s="19">
        <v>-9.5676364166085194E-3</v>
      </c>
    </row>
    <row r="8205" spans="8:8" ht="15" customHeight="1" x14ac:dyDescent="0.2">
      <c r="H8205" s="19">
        <v>7.4041818967964497E-3</v>
      </c>
    </row>
    <row r="8206" spans="8:8" ht="15" customHeight="1" x14ac:dyDescent="0.2">
      <c r="H8206" s="19">
        <v>-2.6354243171041701E-3</v>
      </c>
    </row>
    <row r="8207" spans="8:8" ht="15" customHeight="1" x14ac:dyDescent="0.2">
      <c r="H8207" s="19">
        <v>-3.2913152092248203E-2</v>
      </c>
    </row>
    <row r="8208" spans="8:8" ht="15" customHeight="1" x14ac:dyDescent="0.2">
      <c r="H8208" s="19">
        <v>2.7525114024501899E-3</v>
      </c>
    </row>
    <row r="8209" spans="8:8" ht="15" customHeight="1" x14ac:dyDescent="0.2">
      <c r="H8209" s="19">
        <v>-1.4101390561924801E-3</v>
      </c>
    </row>
    <row r="8210" spans="8:8" ht="15" customHeight="1" x14ac:dyDescent="0.2">
      <c r="H8210" s="19">
        <v>-2.5009981022510101E-3</v>
      </c>
    </row>
    <row r="8211" spans="8:8" ht="15" customHeight="1" x14ac:dyDescent="0.2">
      <c r="H8211" s="19">
        <v>7.8844361685153101E-4</v>
      </c>
    </row>
    <row r="8212" spans="8:8" ht="15" customHeight="1" x14ac:dyDescent="0.2">
      <c r="H8212" s="19">
        <v>-6.6968400648389301E-3</v>
      </c>
    </row>
    <row r="8213" spans="8:8" ht="15" customHeight="1" x14ac:dyDescent="0.2">
      <c r="H8213" s="19">
        <v>5.3692117796420597E-3</v>
      </c>
    </row>
    <row r="8214" spans="8:8" ht="15" customHeight="1" x14ac:dyDescent="0.2">
      <c r="H8214" s="19">
        <v>4.0309621835259001E-3</v>
      </c>
    </row>
    <row r="8215" spans="8:8" ht="15" customHeight="1" x14ac:dyDescent="0.2">
      <c r="H8215" s="19">
        <v>2.68780452707268E-3</v>
      </c>
    </row>
    <row r="8216" spans="8:8" ht="15" customHeight="1" x14ac:dyDescent="0.2">
      <c r="H8216" s="19">
        <v>-3.0417337799219998E-3</v>
      </c>
    </row>
    <row r="8217" spans="8:8" ht="15" customHeight="1" x14ac:dyDescent="0.2">
      <c r="H8217" s="19">
        <v>-8.8157665854090902E-3</v>
      </c>
    </row>
    <row r="8218" spans="8:8" ht="15" customHeight="1" x14ac:dyDescent="0.2">
      <c r="H8218" s="19">
        <v>1.7555848826509599E-2</v>
      </c>
    </row>
    <row r="8219" spans="8:8" ht="15" customHeight="1" x14ac:dyDescent="0.2">
      <c r="H8219" s="19">
        <v>6.8796619033974797E-3</v>
      </c>
    </row>
    <row r="8220" spans="8:8" ht="15" customHeight="1" x14ac:dyDescent="0.2">
      <c r="H8220" s="19">
        <v>4.9011711257432797E-3</v>
      </c>
    </row>
    <row r="8221" spans="8:8" ht="15" customHeight="1" x14ac:dyDescent="0.2">
      <c r="H8221" s="19">
        <v>2.7730286930750798E-3</v>
      </c>
    </row>
    <row r="8222" spans="8:8" ht="15" customHeight="1" x14ac:dyDescent="0.2">
      <c r="H8222" s="19">
        <v>6.6531089453661396E-4</v>
      </c>
    </row>
    <row r="8223" spans="8:8" ht="15" customHeight="1" x14ac:dyDescent="0.2">
      <c r="H8223" s="19">
        <v>-1.9440865694172201E-2</v>
      </c>
    </row>
    <row r="8224" spans="8:8" ht="15" customHeight="1" x14ac:dyDescent="0.2">
      <c r="H8224" s="19">
        <v>1.9041456058880601E-3</v>
      </c>
    </row>
    <row r="8225" spans="8:8" ht="15" customHeight="1" x14ac:dyDescent="0.2">
      <c r="H8225" s="19">
        <v>6.7138268881402298E-3</v>
      </c>
    </row>
    <row r="8226" spans="8:8" ht="15" customHeight="1" x14ac:dyDescent="0.2">
      <c r="H8226" s="19">
        <v>-1.1110543990250001E-2</v>
      </c>
    </row>
    <row r="8227" spans="8:8" ht="15" customHeight="1" x14ac:dyDescent="0.2">
      <c r="H8227" s="19">
        <v>1.3473133298894E-2</v>
      </c>
    </row>
    <row r="8228" spans="8:8" ht="15" customHeight="1" x14ac:dyDescent="0.2">
      <c r="H8228" s="19">
        <v>-1.87369839656433E-2</v>
      </c>
    </row>
    <row r="8229" spans="8:8" ht="15" customHeight="1" x14ac:dyDescent="0.2">
      <c r="H8229" s="19">
        <v>-1.0675317364650499E-2</v>
      </c>
    </row>
    <row r="8230" spans="8:8" ht="15" customHeight="1" x14ac:dyDescent="0.2">
      <c r="H8230" s="19">
        <v>3.2299595344076398E-3</v>
      </c>
    </row>
    <row r="8231" spans="8:8" ht="15" customHeight="1" x14ac:dyDescent="0.2">
      <c r="H8231" s="19">
        <v>3.60897952036425E-3</v>
      </c>
    </row>
    <row r="8232" spans="8:8" ht="15" customHeight="1" x14ac:dyDescent="0.2">
      <c r="H8232" s="19">
        <v>-1.4943730302056501E-3</v>
      </c>
    </row>
    <row r="8233" spans="8:8" ht="15" customHeight="1" x14ac:dyDescent="0.2">
      <c r="H8233" s="19">
        <v>-1.6090259281999E-3</v>
      </c>
    </row>
    <row r="8234" spans="8:8" ht="15" customHeight="1" x14ac:dyDescent="0.2">
      <c r="H8234" s="19">
        <v>1.6038000564242601E-2</v>
      </c>
    </row>
    <row r="8235" spans="8:8" ht="15" customHeight="1" x14ac:dyDescent="0.2">
      <c r="H8235" s="19">
        <v>-1.11847045900259E-2</v>
      </c>
    </row>
    <row r="8236" spans="8:8" ht="15" customHeight="1" x14ac:dyDescent="0.2">
      <c r="H8236" s="19">
        <v>-2.2732152455975899E-3</v>
      </c>
    </row>
    <row r="8237" spans="8:8" ht="15" customHeight="1" x14ac:dyDescent="0.2">
      <c r="H8237" s="19">
        <v>-2.75995603360224E-3</v>
      </c>
    </row>
    <row r="8238" spans="8:8" ht="15" customHeight="1" x14ac:dyDescent="0.2">
      <c r="H8238" s="19">
        <v>2.1900914381789401E-3</v>
      </c>
    </row>
    <row r="8239" spans="8:8" ht="15" customHeight="1" x14ac:dyDescent="0.2">
      <c r="H8239" s="19">
        <v>-3.09013934800611E-3</v>
      </c>
    </row>
    <row r="8240" spans="8:8" ht="15" customHeight="1" x14ac:dyDescent="0.2">
      <c r="H8240" s="19">
        <v>2.4517524741305801E-4</v>
      </c>
    </row>
    <row r="8241" spans="8:8" ht="15" customHeight="1" x14ac:dyDescent="0.2">
      <c r="H8241" s="19">
        <v>-9.7310891881400002E-3</v>
      </c>
    </row>
    <row r="8242" spans="8:8" ht="15" customHeight="1" x14ac:dyDescent="0.2">
      <c r="H8242" s="19">
        <v>5.2510011564949697E-3</v>
      </c>
    </row>
    <row r="8243" spans="8:8" ht="15" customHeight="1" x14ac:dyDescent="0.2">
      <c r="H8243" s="19">
        <v>-4.3875305746171097E-3</v>
      </c>
    </row>
    <row r="8244" spans="8:8" ht="15" customHeight="1" x14ac:dyDescent="0.2">
      <c r="H8244" s="19">
        <v>3.6337378883329399E-3</v>
      </c>
    </row>
    <row r="8245" spans="8:8" ht="15" customHeight="1" x14ac:dyDescent="0.2">
      <c r="H8245" s="19">
        <v>-8.4839871132949395E-3</v>
      </c>
    </row>
    <row r="8246" spans="8:8" ht="15" customHeight="1" x14ac:dyDescent="0.2">
      <c r="H8246" s="19">
        <v>-6.3157511747571997E-3</v>
      </c>
    </row>
    <row r="8247" spans="8:8" ht="15" customHeight="1" x14ac:dyDescent="0.2">
      <c r="H8247" s="19">
        <v>2.2852145808720998E-3</v>
      </c>
    </row>
    <row r="8248" spans="8:8" ht="15" customHeight="1" x14ac:dyDescent="0.2">
      <c r="H8248" s="19">
        <v>4.3866761900799196E-3</v>
      </c>
    </row>
    <row r="8249" spans="8:8" ht="15" customHeight="1" x14ac:dyDescent="0.2">
      <c r="H8249" s="19">
        <v>2.4604166424838699E-2</v>
      </c>
    </row>
    <row r="8250" spans="8:8" ht="15" customHeight="1" x14ac:dyDescent="0.2">
      <c r="H8250" s="19">
        <v>4.7217595602469303E-3</v>
      </c>
    </row>
    <row r="8251" spans="8:8" ht="15" customHeight="1" x14ac:dyDescent="0.2">
      <c r="H8251" s="19">
        <v>-2.6820688263745301E-3</v>
      </c>
    </row>
    <row r="8252" spans="8:8" ht="15" customHeight="1" x14ac:dyDescent="0.2">
      <c r="H8252" s="19">
        <v>3.9399284543724898E-3</v>
      </c>
    </row>
    <row r="8253" spans="8:8" ht="15" customHeight="1" x14ac:dyDescent="0.2">
      <c r="H8253" s="19">
        <v>8.2456106689182008E-3</v>
      </c>
    </row>
    <row r="8254" spans="8:8" ht="15" customHeight="1" x14ac:dyDescent="0.2">
      <c r="H8254" s="19">
        <v>5.2538956929227903E-4</v>
      </c>
    </row>
    <row r="8255" spans="8:8" ht="15" customHeight="1" x14ac:dyDescent="0.2">
      <c r="H8255" s="19">
        <v>9.2099653391000402E-3</v>
      </c>
    </row>
    <row r="8256" spans="8:8" ht="15" customHeight="1" x14ac:dyDescent="0.2">
      <c r="H8256" s="19">
        <v>-4.2612731624310403E-3</v>
      </c>
    </row>
    <row r="8257" spans="8:8" ht="15" customHeight="1" x14ac:dyDescent="0.2">
      <c r="H8257" s="19">
        <v>-4.9334790043427E-3</v>
      </c>
    </row>
    <row r="8258" spans="8:8" ht="15" customHeight="1" x14ac:dyDescent="0.2">
      <c r="H8258" s="19">
        <v>-1.09683464459668E-2</v>
      </c>
    </row>
    <row r="8259" spans="8:8" ht="15" customHeight="1" x14ac:dyDescent="0.2">
      <c r="H8259" s="19">
        <v>3.1693005921560398E-3</v>
      </c>
    </row>
    <row r="8260" spans="8:8" ht="15" customHeight="1" x14ac:dyDescent="0.2">
      <c r="H8260" s="19">
        <v>3.3781389961789702E-3</v>
      </c>
    </row>
    <row r="8261" spans="8:8" ht="15" customHeight="1" x14ac:dyDescent="0.2">
      <c r="H8261" s="19">
        <v>-4.9832845075476803E-3</v>
      </c>
    </row>
    <row r="8262" spans="8:8" ht="15" customHeight="1" x14ac:dyDescent="0.2">
      <c r="H8262" s="19">
        <v>2.09656811199145E-3</v>
      </c>
    </row>
    <row r="8263" spans="8:8" ht="15" customHeight="1" x14ac:dyDescent="0.2">
      <c r="H8263" s="19">
        <v>1.43140330780855E-2</v>
      </c>
    </row>
    <row r="8264" spans="8:8" ht="15" customHeight="1" x14ac:dyDescent="0.2">
      <c r="H8264" s="19">
        <v>-2.4000312543737599E-3</v>
      </c>
    </row>
    <row r="8265" spans="8:8" ht="15" customHeight="1" x14ac:dyDescent="0.2">
      <c r="H8265" s="19">
        <v>-2.6230580433737401E-3</v>
      </c>
    </row>
    <row r="8266" spans="8:8" ht="15" customHeight="1" x14ac:dyDescent="0.2">
      <c r="H8266" s="19">
        <v>-1.3229140248483101E-2</v>
      </c>
    </row>
    <row r="8267" spans="8:8" ht="15" customHeight="1" x14ac:dyDescent="0.2">
      <c r="H8267" s="19">
        <v>-4.2238204281375199E-3</v>
      </c>
    </row>
    <row r="8268" spans="8:8" ht="15" customHeight="1" x14ac:dyDescent="0.2">
      <c r="H8268" s="19">
        <v>9.7974532482897198E-3</v>
      </c>
    </row>
    <row r="8269" spans="8:8" ht="15" customHeight="1" x14ac:dyDescent="0.2">
      <c r="H8269" s="19">
        <v>1.51121922205802E-3</v>
      </c>
    </row>
    <row r="8270" spans="8:8" ht="15" customHeight="1" x14ac:dyDescent="0.2">
      <c r="H8270" s="19">
        <v>1.5151873083933599E-2</v>
      </c>
    </row>
    <row r="8271" spans="8:8" ht="15" customHeight="1" x14ac:dyDescent="0.2">
      <c r="H8271" s="19">
        <v>7.9206236727405593E-3</v>
      </c>
    </row>
    <row r="8272" spans="8:8" ht="15" customHeight="1" x14ac:dyDescent="0.2">
      <c r="H8272" s="19">
        <v>-7.3295018795533897E-3</v>
      </c>
    </row>
    <row r="8273" spans="8:8" ht="15" customHeight="1" x14ac:dyDescent="0.2">
      <c r="H8273" s="19">
        <v>6.8709987480228499E-3</v>
      </c>
    </row>
    <row r="8274" spans="8:8" ht="15" customHeight="1" x14ac:dyDescent="0.2">
      <c r="H8274" s="19">
        <v>8.8646683219238895E-3</v>
      </c>
    </row>
    <row r="8275" spans="8:8" ht="15" customHeight="1" x14ac:dyDescent="0.2">
      <c r="H8275" s="19">
        <v>6.15770211329852E-3</v>
      </c>
    </row>
    <row r="8276" spans="8:8" ht="15" customHeight="1" x14ac:dyDescent="0.2">
      <c r="H8276" s="19">
        <v>1.0288947396789999E-3</v>
      </c>
    </row>
    <row r="8277" spans="8:8" ht="15" customHeight="1" x14ac:dyDescent="0.2">
      <c r="H8277" s="19">
        <v>1.0124539393541999E-2</v>
      </c>
    </row>
    <row r="8278" spans="8:8" ht="15" customHeight="1" x14ac:dyDescent="0.2">
      <c r="H8278" s="19">
        <v>3.6417498111833901E-3</v>
      </c>
    </row>
    <row r="8279" spans="8:8" ht="15" customHeight="1" x14ac:dyDescent="0.2">
      <c r="H8279" s="19">
        <v>1.4467783345451001E-2</v>
      </c>
    </row>
    <row r="8280" spans="8:8" ht="15" customHeight="1" x14ac:dyDescent="0.2">
      <c r="H8280" s="19">
        <v>-6.1015393981557801E-4</v>
      </c>
    </row>
    <row r="8281" spans="8:8" ht="15" customHeight="1" x14ac:dyDescent="0.2">
      <c r="H8281" s="19">
        <v>2.7654145726066699E-3</v>
      </c>
    </row>
    <row r="8282" spans="8:8" ht="15" customHeight="1" x14ac:dyDescent="0.2">
      <c r="H8282" s="19">
        <v>9.4339182013620602E-3</v>
      </c>
    </row>
    <row r="8283" spans="8:8" ht="15" customHeight="1" x14ac:dyDescent="0.2">
      <c r="H8283" s="19">
        <v>-5.7161515612747698E-4</v>
      </c>
    </row>
    <row r="8284" spans="8:8" ht="15" customHeight="1" x14ac:dyDescent="0.2">
      <c r="H8284" s="19">
        <v>-3.5631677211780798E-3</v>
      </c>
    </row>
    <row r="8285" spans="8:8" ht="15" customHeight="1" x14ac:dyDescent="0.2">
      <c r="H8285" s="19">
        <v>4.5680791760050396E-3</v>
      </c>
    </row>
    <row r="8286" spans="8:8" ht="15" customHeight="1" x14ac:dyDescent="0.2">
      <c r="H8286" s="19">
        <v>-9.4472775156298101E-3</v>
      </c>
    </row>
    <row r="8287" spans="8:8" ht="15" customHeight="1" x14ac:dyDescent="0.2">
      <c r="H8287" s="19">
        <v>-1.17231935155915E-2</v>
      </c>
    </row>
    <row r="8288" spans="8:8" ht="15" customHeight="1" x14ac:dyDescent="0.2">
      <c r="H8288" s="19">
        <v>-8.6770303321122393E-3</v>
      </c>
    </row>
    <row r="8289" spans="8:8" ht="15" customHeight="1" x14ac:dyDescent="0.2">
      <c r="H8289" s="19">
        <v>6.76455655549565E-3</v>
      </c>
    </row>
    <row r="8290" spans="8:8" ht="15" customHeight="1" x14ac:dyDescent="0.2">
      <c r="H8290" s="19">
        <v>-7.2852120968860496E-3</v>
      </c>
    </row>
    <row r="8291" spans="8:8" ht="15" customHeight="1" x14ac:dyDescent="0.2">
      <c r="H8291" s="19">
        <v>1.0828949907562E-2</v>
      </c>
    </row>
    <row r="8292" spans="8:8" ht="15" customHeight="1" x14ac:dyDescent="0.2">
      <c r="H8292" s="19">
        <v>9.3843163065054098E-3</v>
      </c>
    </row>
    <row r="8293" spans="8:8" ht="15" customHeight="1" x14ac:dyDescent="0.2">
      <c r="H8293" s="19">
        <v>-4.51721874179987E-4</v>
      </c>
    </row>
    <row r="8294" spans="8:8" ht="15" customHeight="1" x14ac:dyDescent="0.2">
      <c r="H8294" s="19">
        <v>1.15680264834987E-2</v>
      </c>
    </row>
    <row r="8295" spans="8:8" ht="15" customHeight="1" x14ac:dyDescent="0.2">
      <c r="H8295" s="19">
        <v>6.54680151318527E-3</v>
      </c>
    </row>
    <row r="8296" spans="8:8" ht="15" customHeight="1" x14ac:dyDescent="0.2">
      <c r="H8296" s="19">
        <v>1.52834166474592E-2</v>
      </c>
    </row>
    <row r="8297" spans="8:8" ht="15" customHeight="1" x14ac:dyDescent="0.2">
      <c r="H8297" s="19">
        <v>6.5526192745871802E-3</v>
      </c>
    </row>
    <row r="8298" spans="8:8" ht="15" customHeight="1" x14ac:dyDescent="0.2">
      <c r="H8298" s="19">
        <v>-1.82843546841057E-4</v>
      </c>
    </row>
    <row r="8299" spans="8:8" ht="15" customHeight="1" x14ac:dyDescent="0.2">
      <c r="H8299" s="19">
        <v>7.1089517757975404E-3</v>
      </c>
    </row>
    <row r="8300" spans="8:8" ht="15" customHeight="1" x14ac:dyDescent="0.2">
      <c r="H8300" s="19">
        <v>-8.8094048336964E-3</v>
      </c>
    </row>
    <row r="8301" spans="8:8" ht="15" customHeight="1" x14ac:dyDescent="0.2">
      <c r="H8301" s="19">
        <v>7.8477311742100701E-3</v>
      </c>
    </row>
    <row r="8302" spans="8:8" ht="15" customHeight="1" x14ac:dyDescent="0.2">
      <c r="H8302" s="19">
        <v>-1.2630999734026401E-2</v>
      </c>
    </row>
    <row r="8303" spans="8:8" ht="15" customHeight="1" x14ac:dyDescent="0.2">
      <c r="H8303" s="19">
        <v>1.4139641073063799E-2</v>
      </c>
    </row>
    <row r="8304" spans="8:8" ht="15" customHeight="1" x14ac:dyDescent="0.2">
      <c r="H8304" s="19">
        <v>2.8681523519155099E-3</v>
      </c>
    </row>
    <row r="8305" spans="8:8" ht="15" customHeight="1" x14ac:dyDescent="0.2">
      <c r="H8305" s="19">
        <v>1.8175085259555301E-2</v>
      </c>
    </row>
    <row r="8306" spans="8:8" ht="15" customHeight="1" x14ac:dyDescent="0.2">
      <c r="H8306" s="19">
        <v>-1.4295363692264199E-2</v>
      </c>
    </row>
    <row r="8307" spans="8:8" ht="15" customHeight="1" x14ac:dyDescent="0.2">
      <c r="H8307" s="19">
        <v>1.15191897743344E-3</v>
      </c>
    </row>
    <row r="8308" spans="8:8" ht="15" customHeight="1" x14ac:dyDescent="0.2">
      <c r="H8308" s="19">
        <v>1.00776204627151E-2</v>
      </c>
    </row>
    <row r="8309" spans="8:8" ht="15" customHeight="1" x14ac:dyDescent="0.2">
      <c r="H8309" s="19">
        <v>2.2435040764223701E-3</v>
      </c>
    </row>
    <row r="8310" spans="8:8" ht="15" customHeight="1" x14ac:dyDescent="0.2">
      <c r="H8310" s="19">
        <v>-1.59662757546714E-2</v>
      </c>
    </row>
    <row r="8311" spans="8:8" ht="15" customHeight="1" x14ac:dyDescent="0.2">
      <c r="H8311" s="19">
        <v>-6.9927392409864101E-3</v>
      </c>
    </row>
    <row r="8312" spans="8:8" ht="15" customHeight="1" x14ac:dyDescent="0.2">
      <c r="H8312" s="19">
        <v>1.0586112209133801E-2</v>
      </c>
    </row>
    <row r="8313" spans="8:8" ht="15" customHeight="1" x14ac:dyDescent="0.2">
      <c r="H8313" s="19">
        <v>-4.6992943685227502E-3</v>
      </c>
    </row>
    <row r="8314" spans="8:8" ht="15" customHeight="1" x14ac:dyDescent="0.2">
      <c r="H8314" s="19">
        <v>-6.9759078580287903E-3</v>
      </c>
    </row>
    <row r="8315" spans="8:8" ht="15" customHeight="1" x14ac:dyDescent="0.2">
      <c r="H8315" s="19">
        <v>-8.8710582202534E-3</v>
      </c>
    </row>
    <row r="8316" spans="8:8" ht="15" customHeight="1" x14ac:dyDescent="0.2">
      <c r="H8316" s="19">
        <v>1.1047713260781101E-2</v>
      </c>
    </row>
    <row r="8317" spans="8:8" ht="15" customHeight="1" x14ac:dyDescent="0.2">
      <c r="H8317" s="19">
        <v>-4.8362104660345804E-3</v>
      </c>
    </row>
    <row r="8318" spans="8:8" ht="15" customHeight="1" x14ac:dyDescent="0.2">
      <c r="H8318" s="19">
        <v>5.5193257904174601E-3</v>
      </c>
    </row>
    <row r="8319" spans="8:8" ht="15" customHeight="1" x14ac:dyDescent="0.2">
      <c r="H8319" s="19">
        <v>1.64802943484266E-3</v>
      </c>
    </row>
    <row r="8320" spans="8:8" ht="15" customHeight="1" x14ac:dyDescent="0.2">
      <c r="H8320" s="19">
        <v>-1.4361497617756E-2</v>
      </c>
    </row>
    <row r="8321" spans="8:8" ht="15" customHeight="1" x14ac:dyDescent="0.2">
      <c r="H8321" s="19">
        <v>-1.7003903449586001E-2</v>
      </c>
    </row>
    <row r="8322" spans="8:8" ht="15" customHeight="1" x14ac:dyDescent="0.2">
      <c r="H8322" s="19">
        <v>-2.25951446166551E-2</v>
      </c>
    </row>
    <row r="8323" spans="8:8" ht="15" customHeight="1" x14ac:dyDescent="0.2">
      <c r="H8323" s="19">
        <v>-2.3118497729689102E-3</v>
      </c>
    </row>
    <row r="8324" spans="8:8" ht="15" customHeight="1" x14ac:dyDescent="0.2">
      <c r="H8324" s="19">
        <v>5.75140724232841E-3</v>
      </c>
    </row>
    <row r="8325" spans="8:8" ht="15" customHeight="1" x14ac:dyDescent="0.2">
      <c r="H8325" s="19">
        <v>1.5982863417293601E-3</v>
      </c>
    </row>
    <row r="8326" spans="8:8" ht="15" customHeight="1" x14ac:dyDescent="0.2">
      <c r="H8326" s="19">
        <v>-1.46179704984603E-2</v>
      </c>
    </row>
    <row r="8327" spans="8:8" ht="15" customHeight="1" x14ac:dyDescent="0.2">
      <c r="H8327" s="19">
        <v>7.1165743064550103E-3</v>
      </c>
    </row>
    <row r="8328" spans="8:8" ht="15" customHeight="1" x14ac:dyDescent="0.2">
      <c r="H8328" s="19">
        <v>1.35101580533888E-2</v>
      </c>
    </row>
    <row r="8329" spans="8:8" ht="15" customHeight="1" x14ac:dyDescent="0.2">
      <c r="H8329" s="19">
        <v>9.8142481182183095E-3</v>
      </c>
    </row>
    <row r="8330" spans="8:8" ht="15" customHeight="1" x14ac:dyDescent="0.2">
      <c r="H8330" s="19">
        <v>-9.3319191823353301E-3</v>
      </c>
    </row>
    <row r="8331" spans="8:8" ht="15" customHeight="1" x14ac:dyDescent="0.2">
      <c r="H8331" s="19">
        <v>-6.9679098975215202E-3</v>
      </c>
    </row>
    <row r="8332" spans="8:8" ht="15" customHeight="1" x14ac:dyDescent="0.2">
      <c r="H8332" s="19">
        <v>-3.5932591830475501E-2</v>
      </c>
    </row>
    <row r="8333" spans="8:8" ht="15" customHeight="1" x14ac:dyDescent="0.2">
      <c r="H8333" s="19">
        <v>4.6063035591527197E-3</v>
      </c>
    </row>
    <row r="8334" spans="8:8" ht="15" customHeight="1" x14ac:dyDescent="0.2">
      <c r="H8334" s="19">
        <v>7.5638087373503301E-3</v>
      </c>
    </row>
    <row r="8335" spans="8:8" ht="15" customHeight="1" x14ac:dyDescent="0.2">
      <c r="H8335" s="19">
        <v>9.8151002698524999E-3</v>
      </c>
    </row>
    <row r="8336" spans="8:8" ht="15" customHeight="1" x14ac:dyDescent="0.2">
      <c r="H8336" s="19">
        <v>-9.8958382790695007E-3</v>
      </c>
    </row>
    <row r="8337" spans="8:8" ht="15" customHeight="1" x14ac:dyDescent="0.2">
      <c r="H8337" s="19">
        <v>9.2339319711489294E-3</v>
      </c>
    </row>
    <row r="8338" spans="8:8" ht="15" customHeight="1" x14ac:dyDescent="0.2">
      <c r="H8338" s="19">
        <v>1.6453005739508801E-2</v>
      </c>
    </row>
    <row r="8339" spans="8:8" ht="15" customHeight="1" x14ac:dyDescent="0.2">
      <c r="H8339" s="19">
        <v>-1.55276596955182E-2</v>
      </c>
    </row>
    <row r="8340" spans="8:8" ht="15" customHeight="1" x14ac:dyDescent="0.2">
      <c r="H8340" s="19">
        <v>3.7449542367083101E-3</v>
      </c>
    </row>
    <row r="8341" spans="8:8" ht="15" customHeight="1" x14ac:dyDescent="0.2">
      <c r="H8341" s="19">
        <v>-7.3207077688231302E-3</v>
      </c>
    </row>
    <row r="8342" spans="8:8" ht="15" customHeight="1" x14ac:dyDescent="0.2">
      <c r="H8342" s="19">
        <v>-5.7001289044367003E-4</v>
      </c>
    </row>
    <row r="8343" spans="8:8" ht="15" customHeight="1" x14ac:dyDescent="0.2">
      <c r="H8343" s="19">
        <v>1.1090312517573499E-2</v>
      </c>
    </row>
    <row r="8344" spans="8:8" ht="15" customHeight="1" x14ac:dyDescent="0.2">
      <c r="H8344" s="19">
        <v>1.1966990884062599E-2</v>
      </c>
    </row>
    <row r="8345" spans="8:8" ht="15" customHeight="1" x14ac:dyDescent="0.2">
      <c r="H8345" s="19">
        <v>-5.7433169028400105E-4</v>
      </c>
    </row>
    <row r="8346" spans="8:8" ht="15" customHeight="1" x14ac:dyDescent="0.2">
      <c r="H8346" s="19">
        <v>-7.9772162011119002E-3</v>
      </c>
    </row>
    <row r="8347" spans="8:8" ht="15" customHeight="1" x14ac:dyDescent="0.2">
      <c r="H8347" s="19">
        <v>-1.2968306152638799E-3</v>
      </c>
    </row>
    <row r="8348" spans="8:8" ht="15" customHeight="1" x14ac:dyDescent="0.2">
      <c r="H8348" s="19">
        <v>9.7295261746065103E-3</v>
      </c>
    </row>
    <row r="8349" spans="8:8" ht="15" customHeight="1" x14ac:dyDescent="0.2">
      <c r="H8349" s="19">
        <v>5.7137065016432701E-3</v>
      </c>
    </row>
    <row r="8350" spans="8:8" ht="15" customHeight="1" x14ac:dyDescent="0.2">
      <c r="H8350" s="19">
        <v>-1.2621870337985799E-2</v>
      </c>
    </row>
    <row r="8351" spans="8:8" ht="15" customHeight="1" x14ac:dyDescent="0.2">
      <c r="H8351" s="19">
        <v>1.16122860056734E-2</v>
      </c>
    </row>
    <row r="8352" spans="8:8" ht="15" customHeight="1" x14ac:dyDescent="0.2">
      <c r="H8352" s="19">
        <v>6.2072133183070097E-3</v>
      </c>
    </row>
    <row r="8353" spans="8:8" ht="15" customHeight="1" x14ac:dyDescent="0.2">
      <c r="H8353" s="19">
        <v>-4.1397995595983802E-3</v>
      </c>
    </row>
    <row r="8354" spans="8:8" ht="15" customHeight="1" x14ac:dyDescent="0.2">
      <c r="H8354" s="19">
        <v>-6.30107680808674E-3</v>
      </c>
    </row>
    <row r="8355" spans="8:8" ht="15" customHeight="1" x14ac:dyDescent="0.2">
      <c r="H8355" s="19">
        <v>-4.50388720193707E-4</v>
      </c>
    </row>
    <row r="8356" spans="8:8" ht="15" customHeight="1" x14ac:dyDescent="0.2">
      <c r="H8356" s="19">
        <v>-1.7717603866117902E-2</v>
      </c>
    </row>
    <row r="8357" spans="8:8" ht="15" customHeight="1" x14ac:dyDescent="0.2">
      <c r="H8357" s="19">
        <v>-6.9272089518755795E-4</v>
      </c>
    </row>
    <row r="8358" spans="8:8" ht="15" customHeight="1" x14ac:dyDescent="0.2">
      <c r="H8358" s="19">
        <v>5.44992815141192E-3</v>
      </c>
    </row>
    <row r="8359" spans="8:8" ht="15" customHeight="1" x14ac:dyDescent="0.2">
      <c r="H8359" s="19">
        <v>3.4835592632595901E-3</v>
      </c>
    </row>
    <row r="8360" spans="8:8" ht="15" customHeight="1" x14ac:dyDescent="0.2">
      <c r="H8360" s="19">
        <v>-1.23858084538803E-2</v>
      </c>
    </row>
    <row r="8361" spans="8:8" ht="15" customHeight="1" x14ac:dyDescent="0.2">
      <c r="H8361" s="19">
        <v>1.32426033572505E-3</v>
      </c>
    </row>
    <row r="8362" spans="8:8" ht="15" customHeight="1" x14ac:dyDescent="0.2">
      <c r="H8362" s="19">
        <v>-1.25807631806362E-3</v>
      </c>
    </row>
    <row r="8363" spans="8:8" ht="15" customHeight="1" x14ac:dyDescent="0.2">
      <c r="H8363" s="19">
        <v>7.6139886745312003E-3</v>
      </c>
    </row>
    <row r="8364" spans="8:8" ht="15" customHeight="1" x14ac:dyDescent="0.2">
      <c r="H8364" s="19">
        <v>6.8488326773543298E-3</v>
      </c>
    </row>
    <row r="8365" spans="8:8" ht="15" customHeight="1" x14ac:dyDescent="0.2">
      <c r="H8365" s="19">
        <v>1.5224311550882099E-2</v>
      </c>
    </row>
    <row r="8366" spans="8:8" ht="15" customHeight="1" x14ac:dyDescent="0.2">
      <c r="H8366" s="19">
        <v>8.3522453451186206E-3</v>
      </c>
    </row>
    <row r="8367" spans="8:8" ht="15" customHeight="1" x14ac:dyDescent="0.2">
      <c r="H8367" s="19">
        <v>-1.06329238933819E-2</v>
      </c>
    </row>
    <row r="8368" spans="8:8" ht="15" customHeight="1" x14ac:dyDescent="0.2">
      <c r="H8368" s="19">
        <v>-1.20157877124901E-2</v>
      </c>
    </row>
    <row r="8369" spans="8:8" ht="15" customHeight="1" x14ac:dyDescent="0.2">
      <c r="H8369" s="19">
        <v>-2.6339456084526801E-3</v>
      </c>
    </row>
    <row r="8370" spans="8:8" ht="15" customHeight="1" x14ac:dyDescent="0.2">
      <c r="H8370" s="19">
        <v>6.7091766767604904E-3</v>
      </c>
    </row>
    <row r="8371" spans="8:8" ht="15" customHeight="1" x14ac:dyDescent="0.2">
      <c r="H8371" s="19">
        <v>-6.5520771143984498E-3</v>
      </c>
    </row>
    <row r="8372" spans="8:8" ht="15" customHeight="1" x14ac:dyDescent="0.2">
      <c r="H8372" s="19">
        <v>-4.8999862661614603E-3</v>
      </c>
    </row>
    <row r="8373" spans="8:8" ht="15" customHeight="1" x14ac:dyDescent="0.2">
      <c r="H8373" s="19">
        <v>-5.9883688357511497E-3</v>
      </c>
    </row>
    <row r="8374" spans="8:8" ht="15" customHeight="1" x14ac:dyDescent="0.2">
      <c r="H8374" s="19">
        <v>-5.02430861427318E-3</v>
      </c>
    </row>
    <row r="8375" spans="8:8" ht="15" customHeight="1" x14ac:dyDescent="0.2">
      <c r="H8375" s="19">
        <v>-2.9000763314830499E-3</v>
      </c>
    </row>
    <row r="8376" spans="8:8" ht="15" customHeight="1" x14ac:dyDescent="0.2">
      <c r="H8376" s="19">
        <v>-1.1245264741234801E-3</v>
      </c>
    </row>
    <row r="8377" spans="8:8" ht="15" customHeight="1" x14ac:dyDescent="0.2">
      <c r="H8377" s="19">
        <v>6.0884433390656504E-3</v>
      </c>
    </row>
    <row r="8378" spans="8:8" ht="15" customHeight="1" x14ac:dyDescent="0.2">
      <c r="H8378" s="19">
        <v>1.4996501766416899E-2</v>
      </c>
    </row>
    <row r="8379" spans="8:8" ht="15" customHeight="1" x14ac:dyDescent="0.2">
      <c r="H8379" s="19">
        <v>-1.9473511302194799E-2</v>
      </c>
    </row>
    <row r="8380" spans="8:8" ht="15" customHeight="1" x14ac:dyDescent="0.2">
      <c r="H8380" s="19">
        <v>-1.9610509524403099E-2</v>
      </c>
    </row>
    <row r="8381" spans="8:8" ht="15" customHeight="1" x14ac:dyDescent="0.2">
      <c r="H8381" s="19">
        <v>-6.5691173645936901E-4</v>
      </c>
    </row>
    <row r="8382" spans="8:8" ht="15" customHeight="1" x14ac:dyDescent="0.2">
      <c r="H8382" s="19">
        <v>2.0474285034660301E-2</v>
      </c>
    </row>
    <row r="8383" spans="8:8" ht="15" customHeight="1" x14ac:dyDescent="0.2">
      <c r="H8383" s="19">
        <v>-5.8547659154915702E-3</v>
      </c>
    </row>
    <row r="8384" spans="8:8" ht="15" customHeight="1" x14ac:dyDescent="0.2">
      <c r="H8384" s="19">
        <v>-6.3318311729674301E-4</v>
      </c>
    </row>
    <row r="8385" spans="8:8" ht="15" customHeight="1" x14ac:dyDescent="0.2">
      <c r="H8385" s="19">
        <v>1.11521840926815E-3</v>
      </c>
    </row>
    <row r="8386" spans="8:8" ht="15" customHeight="1" x14ac:dyDescent="0.2">
      <c r="H8386" s="19">
        <v>-4.9943848485199801E-3</v>
      </c>
    </row>
    <row r="8387" spans="8:8" ht="15" customHeight="1" x14ac:dyDescent="0.2">
      <c r="H8387" s="19">
        <v>5.5366445552303897E-3</v>
      </c>
    </row>
    <row r="8388" spans="8:8" ht="15" customHeight="1" x14ac:dyDescent="0.2">
      <c r="H8388" s="19">
        <v>-1.61825815860622E-2</v>
      </c>
    </row>
    <row r="8389" spans="8:8" ht="15" customHeight="1" x14ac:dyDescent="0.2">
      <c r="H8389" s="19">
        <v>-1.9119981643540399E-2</v>
      </c>
    </row>
    <row r="8390" spans="8:8" ht="15" customHeight="1" x14ac:dyDescent="0.2">
      <c r="H8390" s="19">
        <v>1.61880148069136E-3</v>
      </c>
    </row>
    <row r="8391" spans="8:8" ht="15" customHeight="1" x14ac:dyDescent="0.2">
      <c r="H8391" s="19">
        <v>-4.8393253747676798E-3</v>
      </c>
    </row>
    <row r="8392" spans="8:8" ht="15" customHeight="1" x14ac:dyDescent="0.2">
      <c r="H8392" s="19">
        <v>-4.6521564418610904E-3</v>
      </c>
    </row>
    <row r="8393" spans="8:8" ht="15" customHeight="1" x14ac:dyDescent="0.2">
      <c r="H8393" s="19">
        <v>-6.0783968860248496E-3</v>
      </c>
    </row>
    <row r="8394" spans="8:8" ht="15" customHeight="1" x14ac:dyDescent="0.2">
      <c r="H8394" s="19">
        <v>8.6175234834234091E-3</v>
      </c>
    </row>
    <row r="8395" spans="8:8" ht="15" customHeight="1" x14ac:dyDescent="0.2">
      <c r="H8395" s="19">
        <v>6.0173181165714398E-3</v>
      </c>
    </row>
    <row r="8396" spans="8:8" ht="15" customHeight="1" x14ac:dyDescent="0.2">
      <c r="H8396" s="19">
        <v>4.5569058850595699E-3</v>
      </c>
    </row>
    <row r="8397" spans="8:8" ht="15" customHeight="1" x14ac:dyDescent="0.2">
      <c r="H8397" s="19">
        <v>7.8467967387894407E-3</v>
      </c>
    </row>
    <row r="8398" spans="8:8" ht="15" customHeight="1" x14ac:dyDescent="0.2">
      <c r="H8398" s="19">
        <v>6.7681551327973804E-3</v>
      </c>
    </row>
    <row r="8399" spans="8:8" ht="15" customHeight="1" x14ac:dyDescent="0.2">
      <c r="H8399" s="19">
        <v>-1.12983043590517E-2</v>
      </c>
    </row>
    <row r="8400" spans="8:8" ht="15" customHeight="1" x14ac:dyDescent="0.2">
      <c r="H8400" s="19">
        <v>-1.35156456698822E-2</v>
      </c>
    </row>
    <row r="8401" spans="8:8" ht="15" customHeight="1" x14ac:dyDescent="0.2">
      <c r="H8401" s="19">
        <v>-2.3703232595556102E-3</v>
      </c>
    </row>
    <row r="8402" spans="8:8" ht="15" customHeight="1" x14ac:dyDescent="0.2">
      <c r="H8402" s="19">
        <v>-9.31375595077805E-3</v>
      </c>
    </row>
    <row r="8403" spans="8:8" ht="15" customHeight="1" x14ac:dyDescent="0.2">
      <c r="H8403" s="19">
        <v>5.6091902601523302E-3</v>
      </c>
    </row>
    <row r="8404" spans="8:8" ht="15" customHeight="1" x14ac:dyDescent="0.2">
      <c r="H8404" s="19">
        <v>9.6064678472863492E-3</v>
      </c>
    </row>
    <row r="8405" spans="8:8" ht="15" customHeight="1" x14ac:dyDescent="0.2">
      <c r="H8405" s="19">
        <v>-4.01784371426376E-5</v>
      </c>
    </row>
    <row r="8406" spans="8:8" ht="15" customHeight="1" x14ac:dyDescent="0.2">
      <c r="H8406" s="19">
        <v>-1.7324127366478401E-2</v>
      </c>
    </row>
    <row r="8407" spans="8:8" ht="15" customHeight="1" x14ac:dyDescent="0.2">
      <c r="H8407" s="19">
        <v>1.2486949208080999E-2</v>
      </c>
    </row>
    <row r="8408" spans="8:8" ht="15" customHeight="1" x14ac:dyDescent="0.2">
      <c r="H8408" s="19">
        <v>1.2648822270376199E-2</v>
      </c>
    </row>
    <row r="8409" spans="8:8" ht="15" customHeight="1" x14ac:dyDescent="0.2">
      <c r="H8409" s="19">
        <v>1.8492800696881698E-2</v>
      </c>
    </row>
    <row r="8410" spans="8:8" ht="15" customHeight="1" x14ac:dyDescent="0.2">
      <c r="H8410" s="19">
        <v>-2.9167514779535699E-3</v>
      </c>
    </row>
    <row r="8411" spans="8:8" ht="15" customHeight="1" x14ac:dyDescent="0.2">
      <c r="H8411" s="19">
        <v>8.5661129399295308E-3</v>
      </c>
    </row>
    <row r="8412" spans="8:8" ht="15" customHeight="1" x14ac:dyDescent="0.2">
      <c r="H8412" s="19">
        <v>-1.44907906374781E-3</v>
      </c>
    </row>
    <row r="8413" spans="8:8" ht="15" customHeight="1" x14ac:dyDescent="0.2">
      <c r="H8413" s="19">
        <v>-1.3251699797877201E-2</v>
      </c>
    </row>
    <row r="8414" spans="8:8" ht="15" customHeight="1" x14ac:dyDescent="0.2">
      <c r="H8414" s="19">
        <v>1.1475739629173899E-2</v>
      </c>
    </row>
    <row r="8415" spans="8:8" ht="15" customHeight="1" x14ac:dyDescent="0.2">
      <c r="H8415" s="19">
        <v>-7.5063770191887702E-3</v>
      </c>
    </row>
    <row r="8416" spans="8:8" ht="15" customHeight="1" x14ac:dyDescent="0.2">
      <c r="H8416" s="19">
        <v>-1.46041793181733E-3</v>
      </c>
    </row>
    <row r="8417" spans="8:8" ht="15" customHeight="1" x14ac:dyDescent="0.2">
      <c r="H8417" s="19">
        <v>-1.31440060213083E-2</v>
      </c>
    </row>
    <row r="8418" spans="8:8" ht="15" customHeight="1" x14ac:dyDescent="0.2">
      <c r="H8418" s="19">
        <v>-9.3293623071436405E-4</v>
      </c>
    </row>
    <row r="8419" spans="8:8" ht="15" customHeight="1" x14ac:dyDescent="0.2">
      <c r="H8419" s="19">
        <v>8.7541414068284407E-3</v>
      </c>
    </row>
    <row r="8420" spans="8:8" ht="15" customHeight="1" x14ac:dyDescent="0.2">
      <c r="H8420" s="19">
        <v>1.8594611648953499E-2</v>
      </c>
    </row>
    <row r="8421" spans="8:8" ht="15" customHeight="1" x14ac:dyDescent="0.2">
      <c r="H8421" s="19">
        <v>-4.9946791048950396E-4</v>
      </c>
    </row>
    <row r="8422" spans="8:8" ht="15" customHeight="1" x14ac:dyDescent="0.2">
      <c r="H8422" s="19">
        <v>9.0363574450505503E-3</v>
      </c>
    </row>
    <row r="8423" spans="8:8" ht="15" customHeight="1" x14ac:dyDescent="0.2">
      <c r="H8423" s="19">
        <v>-3.7933115868919801E-3</v>
      </c>
    </row>
    <row r="8424" spans="8:8" ht="15" customHeight="1" x14ac:dyDescent="0.2">
      <c r="H8424" s="19">
        <v>-8.8699271542809193E-3</v>
      </c>
    </row>
    <row r="8425" spans="8:8" ht="15" customHeight="1" x14ac:dyDescent="0.2">
      <c r="H8425" s="19">
        <v>9.2469814600371399E-3</v>
      </c>
    </row>
    <row r="8426" spans="8:8" ht="15" customHeight="1" x14ac:dyDescent="0.2">
      <c r="H8426" s="19">
        <v>1.4455626881566401E-2</v>
      </c>
    </row>
    <row r="8427" spans="8:8" ht="15" customHeight="1" x14ac:dyDescent="0.2">
      <c r="H8427" s="19">
        <v>-9.1883239486828701E-3</v>
      </c>
    </row>
    <row r="8428" spans="8:8" ht="15" customHeight="1" x14ac:dyDescent="0.2">
      <c r="H8428" s="19">
        <v>-3.2642582662340998E-3</v>
      </c>
    </row>
    <row r="8429" spans="8:8" ht="15" customHeight="1" x14ac:dyDescent="0.2">
      <c r="H8429" s="19">
        <v>-4.0401582280488301E-3</v>
      </c>
    </row>
    <row r="8430" spans="8:8" ht="15" customHeight="1" x14ac:dyDescent="0.2">
      <c r="H8430" s="19">
        <v>1.07791021321031E-2</v>
      </c>
    </row>
    <row r="8431" spans="8:8" ht="15" customHeight="1" x14ac:dyDescent="0.2">
      <c r="H8431" s="19">
        <v>-7.5192402560852901E-3</v>
      </c>
    </row>
    <row r="8432" spans="8:8" ht="15" customHeight="1" x14ac:dyDescent="0.2">
      <c r="H8432" s="19">
        <v>2.0595596571846599E-2</v>
      </c>
    </row>
    <row r="8433" spans="8:8" ht="15" customHeight="1" x14ac:dyDescent="0.2">
      <c r="H8433" s="19">
        <v>1.0982058386398401E-2</v>
      </c>
    </row>
    <row r="8434" spans="8:8" ht="15" customHeight="1" x14ac:dyDescent="0.2">
      <c r="H8434" s="19">
        <v>-9.0607334544859398E-3</v>
      </c>
    </row>
    <row r="8435" spans="8:8" ht="15" customHeight="1" x14ac:dyDescent="0.2">
      <c r="H8435" s="19">
        <v>-3.5057315692212402E-4</v>
      </c>
    </row>
    <row r="8436" spans="8:8" ht="15" customHeight="1" x14ac:dyDescent="0.2">
      <c r="H8436" s="19">
        <v>7.4893312005827302E-3</v>
      </c>
    </row>
    <row r="8437" spans="8:8" ht="15" customHeight="1" x14ac:dyDescent="0.2">
      <c r="H8437" s="19">
        <v>-2.5432494335053302E-3</v>
      </c>
    </row>
    <row r="8438" spans="8:8" ht="15" customHeight="1" x14ac:dyDescent="0.2">
      <c r="H8438" s="19">
        <v>6.5948626343073401E-3</v>
      </c>
    </row>
    <row r="8439" spans="8:8" ht="15" customHeight="1" x14ac:dyDescent="0.2">
      <c r="H8439" s="19">
        <v>-2.52921182974538E-3</v>
      </c>
    </row>
    <row r="8440" spans="8:8" ht="15" customHeight="1" x14ac:dyDescent="0.2">
      <c r="H8440" s="19">
        <v>-1.52593964100544E-2</v>
      </c>
    </row>
    <row r="8441" spans="8:8" ht="15" customHeight="1" x14ac:dyDescent="0.2">
      <c r="H8441" s="19">
        <v>1.3641120517843599E-2</v>
      </c>
    </row>
    <row r="8442" spans="8:8" ht="15" customHeight="1" x14ac:dyDescent="0.2">
      <c r="H8442" s="19">
        <v>8.2763180209661693E-3</v>
      </c>
    </row>
    <row r="8443" spans="8:8" ht="15" customHeight="1" x14ac:dyDescent="0.2">
      <c r="H8443" s="19">
        <v>2.7183517935526298E-3</v>
      </c>
    </row>
    <row r="8444" spans="8:8" ht="15" customHeight="1" x14ac:dyDescent="0.2">
      <c r="H8444" s="19">
        <v>2.3357639679496E-4</v>
      </c>
    </row>
    <row r="8445" spans="8:8" ht="15" customHeight="1" x14ac:dyDescent="0.2">
      <c r="H8445" s="19">
        <v>1.51430992124454E-2</v>
      </c>
    </row>
    <row r="8446" spans="8:8" ht="15" customHeight="1" x14ac:dyDescent="0.2">
      <c r="H8446" s="19">
        <v>1.1663754124253E-3</v>
      </c>
    </row>
    <row r="8447" spans="8:8" ht="15" customHeight="1" x14ac:dyDescent="0.2">
      <c r="H8447" s="19">
        <v>-2.6088277313133998E-3</v>
      </c>
    </row>
    <row r="8448" spans="8:8" ht="15" customHeight="1" x14ac:dyDescent="0.2">
      <c r="H8448" s="19">
        <v>1.4123589164402499E-2</v>
      </c>
    </row>
    <row r="8449" spans="8:8" ht="15" customHeight="1" x14ac:dyDescent="0.2">
      <c r="H8449" s="19">
        <v>-5.2198925848584102E-3</v>
      </c>
    </row>
    <row r="8450" spans="8:8" ht="15" customHeight="1" x14ac:dyDescent="0.2">
      <c r="H8450" s="19">
        <v>1.5663042494459701E-2</v>
      </c>
    </row>
    <row r="8451" spans="8:8" ht="15" customHeight="1" x14ac:dyDescent="0.2">
      <c r="H8451" s="19">
        <v>9.6038787753293994E-3</v>
      </c>
    </row>
    <row r="8452" spans="8:8" ht="15" customHeight="1" x14ac:dyDescent="0.2">
      <c r="H8452" s="19">
        <v>1.0404388799008501E-2</v>
      </c>
    </row>
    <row r="8453" spans="8:8" ht="15" customHeight="1" x14ac:dyDescent="0.2">
      <c r="H8453" s="19">
        <v>1.3214501615634901E-2</v>
      </c>
    </row>
    <row r="8454" spans="8:8" ht="15" customHeight="1" x14ac:dyDescent="0.2">
      <c r="H8454" s="19">
        <v>-1.37984488633651E-2</v>
      </c>
    </row>
    <row r="8455" spans="8:8" ht="15" customHeight="1" x14ac:dyDescent="0.2">
      <c r="H8455" s="19">
        <v>4.9792829911784802E-3</v>
      </c>
    </row>
    <row r="8456" spans="8:8" ht="15" customHeight="1" x14ac:dyDescent="0.2">
      <c r="H8456" s="19">
        <v>3.0369459147258299E-3</v>
      </c>
    </row>
    <row r="8457" spans="8:8" ht="15" customHeight="1" x14ac:dyDescent="0.2">
      <c r="H8457" s="19">
        <v>-7.0732688202595996E-3</v>
      </c>
    </row>
    <row r="8458" spans="8:8" ht="15" customHeight="1" x14ac:dyDescent="0.2">
      <c r="H8458" s="19">
        <v>1.2263024600868901E-2</v>
      </c>
    </row>
    <row r="8459" spans="8:8" ht="15" customHeight="1" x14ac:dyDescent="0.2">
      <c r="H8459" s="19">
        <v>5.3424267030637998E-3</v>
      </c>
    </row>
    <row r="8460" spans="8:8" ht="15" customHeight="1" x14ac:dyDescent="0.2">
      <c r="H8460" s="19">
        <v>-3.7642753324568299E-3</v>
      </c>
    </row>
    <row r="8461" spans="8:8" ht="15" customHeight="1" x14ac:dyDescent="0.2">
      <c r="H8461" s="19">
        <v>-1.0814888486016199E-2</v>
      </c>
    </row>
    <row r="8462" spans="8:8" ht="15" customHeight="1" x14ac:dyDescent="0.2">
      <c r="H8462" s="19">
        <v>-1.44143148548114E-2</v>
      </c>
    </row>
    <row r="8463" spans="8:8" ht="15" customHeight="1" x14ac:dyDescent="0.2">
      <c r="H8463" s="19">
        <v>5.0140236097517496E-4</v>
      </c>
    </row>
    <row r="8464" spans="8:8" ht="15" customHeight="1" x14ac:dyDescent="0.2">
      <c r="H8464" s="19">
        <v>1.1273037521944199E-2</v>
      </c>
    </row>
    <row r="8465" spans="8:8" ht="15" customHeight="1" x14ac:dyDescent="0.2">
      <c r="H8465" s="19">
        <v>-6.3256199464140697E-3</v>
      </c>
    </row>
    <row r="8466" spans="8:8" ht="15" customHeight="1" x14ac:dyDescent="0.2">
      <c r="H8466" s="19">
        <v>-9.0326761583493895E-4</v>
      </c>
    </row>
    <row r="8467" spans="8:8" ht="15" customHeight="1" x14ac:dyDescent="0.2">
      <c r="H8467" s="19">
        <v>-5.1611360563965196E-3</v>
      </c>
    </row>
    <row r="8468" spans="8:8" ht="15" customHeight="1" x14ac:dyDescent="0.2">
      <c r="H8468" s="19">
        <v>-1.2054505068224001E-3</v>
      </c>
    </row>
    <row r="8469" spans="8:8" ht="15" customHeight="1" x14ac:dyDescent="0.2">
      <c r="H8469" s="19">
        <v>1.7375876816501198E-2</v>
      </c>
    </row>
    <row r="8470" spans="8:8" ht="15" customHeight="1" x14ac:dyDescent="0.2">
      <c r="H8470" s="19">
        <v>2.5050990336201E-3</v>
      </c>
    </row>
    <row r="8471" spans="8:8" ht="15" customHeight="1" x14ac:dyDescent="0.2">
      <c r="H8471" s="19">
        <v>-8.6089312707028701E-3</v>
      </c>
    </row>
    <row r="8472" spans="8:8" ht="15" customHeight="1" x14ac:dyDescent="0.2">
      <c r="H8472" s="19">
        <v>8.3265983710421199E-3</v>
      </c>
    </row>
    <row r="8473" spans="8:8" ht="15" customHeight="1" x14ac:dyDescent="0.2">
      <c r="H8473" s="19">
        <v>-4.3996661979943596E-3</v>
      </c>
    </row>
    <row r="8474" spans="8:8" ht="15" customHeight="1" x14ac:dyDescent="0.2">
      <c r="H8474" s="19">
        <v>-5.8678042721890498E-3</v>
      </c>
    </row>
    <row r="8475" spans="8:8" ht="15" customHeight="1" x14ac:dyDescent="0.2">
      <c r="H8475" s="19">
        <v>1.04075824772389E-2</v>
      </c>
    </row>
    <row r="8476" spans="8:8" ht="15" customHeight="1" x14ac:dyDescent="0.2">
      <c r="H8476" s="19">
        <v>7.8004574287743496E-3</v>
      </c>
    </row>
    <row r="8477" spans="8:8" ht="15" customHeight="1" x14ac:dyDescent="0.2">
      <c r="H8477" s="19">
        <v>1.18189910537166E-2</v>
      </c>
    </row>
    <row r="8478" spans="8:8" ht="15" customHeight="1" x14ac:dyDescent="0.2">
      <c r="H8478" s="19">
        <v>2.0191012387862101E-2</v>
      </c>
    </row>
    <row r="8479" spans="8:8" ht="15" customHeight="1" x14ac:dyDescent="0.2">
      <c r="H8479" s="19">
        <v>4.3112024933436898E-3</v>
      </c>
    </row>
    <row r="8480" spans="8:8" ht="15" customHeight="1" x14ac:dyDescent="0.2">
      <c r="H8480" s="19">
        <v>-1.7111426605636599E-2</v>
      </c>
    </row>
    <row r="8481" spans="8:8" ht="15" customHeight="1" x14ac:dyDescent="0.2">
      <c r="H8481" s="19">
        <v>-2.1665867143399801E-2</v>
      </c>
    </row>
    <row r="8482" spans="8:8" ht="15" customHeight="1" x14ac:dyDescent="0.2">
      <c r="H8482" s="19">
        <v>4.4888384542587697E-3</v>
      </c>
    </row>
    <row r="8483" spans="8:8" ht="15" customHeight="1" x14ac:dyDescent="0.2">
      <c r="H8483" s="19">
        <v>-1.5355482684061301E-2</v>
      </c>
    </row>
    <row r="8484" spans="8:8" ht="15" customHeight="1" x14ac:dyDescent="0.2">
      <c r="H8484" s="19">
        <v>7.4802119711308104E-4</v>
      </c>
    </row>
    <row r="8485" spans="8:8" ht="15" customHeight="1" x14ac:dyDescent="0.2">
      <c r="H8485" s="19">
        <v>-1.26464226827333E-2</v>
      </c>
    </row>
    <row r="8486" spans="8:8" ht="15" customHeight="1" x14ac:dyDescent="0.2">
      <c r="H8486" s="19">
        <v>1.3925349521476499E-2</v>
      </c>
    </row>
    <row r="8487" spans="8:8" ht="15" customHeight="1" x14ac:dyDescent="0.2">
      <c r="H8487" s="19">
        <v>1.1805251257362599E-2</v>
      </c>
    </row>
    <row r="8488" spans="8:8" ht="15" customHeight="1" x14ac:dyDescent="0.2">
      <c r="H8488" s="19">
        <v>-1.1673244377206699E-2</v>
      </c>
    </row>
    <row r="8489" spans="8:8" ht="15" customHeight="1" x14ac:dyDescent="0.2">
      <c r="H8489" s="19">
        <v>9.4556789636005105E-3</v>
      </c>
    </row>
    <row r="8490" spans="8:8" ht="15" customHeight="1" x14ac:dyDescent="0.2">
      <c r="H8490" s="19">
        <v>5.2776828797275301E-3</v>
      </c>
    </row>
    <row r="8491" spans="8:8" ht="15" customHeight="1" x14ac:dyDescent="0.2">
      <c r="H8491" s="19">
        <v>-8.8462391415485304E-3</v>
      </c>
    </row>
    <row r="8492" spans="8:8" ht="15" customHeight="1" x14ac:dyDescent="0.2">
      <c r="H8492" s="19">
        <v>8.9995150392884297E-3</v>
      </c>
    </row>
    <row r="8493" spans="8:8" ht="15" customHeight="1" x14ac:dyDescent="0.2">
      <c r="H8493" s="19">
        <v>-1.5996887476454901E-2</v>
      </c>
    </row>
    <row r="8494" spans="8:8" ht="15" customHeight="1" x14ac:dyDescent="0.2">
      <c r="H8494" s="19">
        <v>-4.4535809591995899E-3</v>
      </c>
    </row>
    <row r="8495" spans="8:8" ht="15" customHeight="1" x14ac:dyDescent="0.2">
      <c r="H8495" s="19">
        <v>-6.5245089119178997E-3</v>
      </c>
    </row>
    <row r="8496" spans="8:8" ht="15" customHeight="1" x14ac:dyDescent="0.2">
      <c r="H8496" s="19">
        <v>1.1505415777775799E-4</v>
      </c>
    </row>
    <row r="8497" spans="8:8" ht="15" customHeight="1" x14ac:dyDescent="0.2">
      <c r="H8497" s="19">
        <v>3.0836887136338601E-3</v>
      </c>
    </row>
    <row r="8498" spans="8:8" ht="15" customHeight="1" x14ac:dyDescent="0.2">
      <c r="H8498" s="19">
        <v>-1.10601468088669E-4</v>
      </c>
    </row>
    <row r="8499" spans="8:8" ht="15" customHeight="1" x14ac:dyDescent="0.2">
      <c r="H8499" s="19">
        <v>-9.4252119866248905E-3</v>
      </c>
    </row>
    <row r="8500" spans="8:8" ht="15" customHeight="1" x14ac:dyDescent="0.2">
      <c r="H8500" s="19">
        <v>1.28648018561613E-2</v>
      </c>
    </row>
    <row r="8501" spans="8:8" ht="15" customHeight="1" x14ac:dyDescent="0.2">
      <c r="H8501" s="19">
        <v>3.2582520270695399E-3</v>
      </c>
    </row>
    <row r="8502" spans="8:8" ht="15" customHeight="1" x14ac:dyDescent="0.2">
      <c r="H8502" s="19">
        <v>-1.8149050601699399E-2</v>
      </c>
    </row>
    <row r="8503" spans="8:8" ht="15" customHeight="1" x14ac:dyDescent="0.2">
      <c r="H8503" s="19">
        <v>-4.4913947100127102E-3</v>
      </c>
    </row>
    <row r="8504" spans="8:8" ht="15" customHeight="1" x14ac:dyDescent="0.2">
      <c r="H8504" s="19">
        <v>7.7451790482287097E-3</v>
      </c>
    </row>
    <row r="8505" spans="8:8" ht="15" customHeight="1" x14ac:dyDescent="0.2">
      <c r="H8505" s="19">
        <v>-6.5238799777451702E-3</v>
      </c>
    </row>
    <row r="8506" spans="8:8" ht="15" customHeight="1" x14ac:dyDescent="0.2">
      <c r="H8506" s="19">
        <v>1.43873021604689E-2</v>
      </c>
    </row>
    <row r="8507" spans="8:8" ht="15" customHeight="1" x14ac:dyDescent="0.2">
      <c r="H8507" s="19">
        <v>5.3201647113588102E-4</v>
      </c>
    </row>
    <row r="8508" spans="8:8" ht="15" customHeight="1" x14ac:dyDescent="0.2">
      <c r="H8508" s="19">
        <v>-1.59777310460044E-2</v>
      </c>
    </row>
    <row r="8509" spans="8:8" ht="15" customHeight="1" x14ac:dyDescent="0.2">
      <c r="H8509" s="19">
        <v>1.6604432679500101E-2</v>
      </c>
    </row>
    <row r="8510" spans="8:8" ht="15" customHeight="1" x14ac:dyDescent="0.2">
      <c r="H8510" s="19">
        <v>-8.5082429458515508E-3</v>
      </c>
    </row>
    <row r="8511" spans="8:8" ht="15" customHeight="1" x14ac:dyDescent="0.2">
      <c r="H8511" s="19">
        <v>1.0446947300620299E-2</v>
      </c>
    </row>
    <row r="8512" spans="8:8" ht="15" customHeight="1" x14ac:dyDescent="0.2">
      <c r="H8512" s="19">
        <v>-1.01710948679338E-2</v>
      </c>
    </row>
    <row r="8513" spans="8:8" ht="15" customHeight="1" x14ac:dyDescent="0.2">
      <c r="H8513" s="19">
        <v>1.5036044462906301E-3</v>
      </c>
    </row>
    <row r="8514" spans="8:8" ht="15" customHeight="1" x14ac:dyDescent="0.2">
      <c r="H8514" s="19">
        <v>-3.5925876421581699E-3</v>
      </c>
    </row>
    <row r="8515" spans="8:8" ht="15" customHeight="1" x14ac:dyDescent="0.2">
      <c r="H8515" s="19">
        <v>6.7384300480608002E-3</v>
      </c>
    </row>
    <row r="8516" spans="8:8" ht="15" customHeight="1" x14ac:dyDescent="0.2">
      <c r="H8516" s="19">
        <v>-8.6949833597534994E-3</v>
      </c>
    </row>
    <row r="8517" spans="8:8" ht="15" customHeight="1" x14ac:dyDescent="0.2">
      <c r="H8517" s="19">
        <v>9.3861608577225902E-3</v>
      </c>
    </row>
    <row r="8518" spans="8:8" ht="15" customHeight="1" x14ac:dyDescent="0.2">
      <c r="H8518" s="19">
        <v>-2.0788390779290799E-2</v>
      </c>
    </row>
    <row r="8519" spans="8:8" ht="15" customHeight="1" x14ac:dyDescent="0.2">
      <c r="H8519" s="19">
        <v>-1.9142931440487101E-3</v>
      </c>
    </row>
    <row r="8520" spans="8:8" ht="15" customHeight="1" x14ac:dyDescent="0.2">
      <c r="H8520" s="19">
        <v>-1.7369806129169899E-2</v>
      </c>
    </row>
    <row r="8521" spans="8:8" ht="15" customHeight="1" x14ac:dyDescent="0.2">
      <c r="H8521" s="19">
        <v>-2.5399697622857601E-2</v>
      </c>
    </row>
    <row r="8522" spans="8:8" ht="15" customHeight="1" x14ac:dyDescent="0.2">
      <c r="H8522" s="19">
        <v>7.5738686176152498E-3</v>
      </c>
    </row>
    <row r="8523" spans="8:8" ht="15" customHeight="1" x14ac:dyDescent="0.2">
      <c r="H8523" s="19">
        <v>3.24520544094957E-3</v>
      </c>
    </row>
    <row r="8524" spans="8:8" ht="15" customHeight="1" x14ac:dyDescent="0.2">
      <c r="H8524" s="19">
        <v>-4.4417441549038502E-3</v>
      </c>
    </row>
    <row r="8525" spans="8:8" ht="15" customHeight="1" x14ac:dyDescent="0.2">
      <c r="H8525" s="19">
        <v>-2.5097044182039498E-4</v>
      </c>
    </row>
    <row r="8526" spans="8:8" ht="15" customHeight="1" x14ac:dyDescent="0.2">
      <c r="H8526" s="19">
        <v>4.8383805340640297E-3</v>
      </c>
    </row>
    <row r="8527" spans="8:8" ht="15" customHeight="1" x14ac:dyDescent="0.2">
      <c r="H8527" s="19">
        <v>-2.8510271933163299E-3</v>
      </c>
    </row>
    <row r="8528" spans="8:8" ht="15" customHeight="1" x14ac:dyDescent="0.2">
      <c r="H8528" s="19">
        <v>1.0605099847409099E-2</v>
      </c>
    </row>
    <row r="8529" spans="8:8" ht="15" customHeight="1" x14ac:dyDescent="0.2">
      <c r="H8529" s="19">
        <v>4.1197942422535301E-3</v>
      </c>
    </row>
    <row r="8530" spans="8:8" ht="15" customHeight="1" x14ac:dyDescent="0.2">
      <c r="H8530" s="19">
        <v>7.4341506077678097E-3</v>
      </c>
    </row>
    <row r="8531" spans="8:8" ht="15" customHeight="1" x14ac:dyDescent="0.2">
      <c r="H8531" s="19">
        <v>2.7289140289708299E-2</v>
      </c>
    </row>
    <row r="8532" spans="8:8" ht="15" customHeight="1" x14ac:dyDescent="0.2">
      <c r="H8532" s="19">
        <v>1.81579995330446E-3</v>
      </c>
    </row>
    <row r="8533" spans="8:8" ht="15" customHeight="1" x14ac:dyDescent="0.2">
      <c r="H8533" s="19">
        <v>2.2764536741612899E-4</v>
      </c>
    </row>
    <row r="8534" spans="8:8" ht="15" customHeight="1" x14ac:dyDescent="0.2">
      <c r="H8534" s="19">
        <v>-1.26984848977976E-2</v>
      </c>
    </row>
    <row r="8535" spans="8:8" ht="15" customHeight="1" x14ac:dyDescent="0.2">
      <c r="H8535" s="19">
        <v>2.43239369345222E-2</v>
      </c>
    </row>
    <row r="8536" spans="8:8" ht="15" customHeight="1" x14ac:dyDescent="0.2">
      <c r="H8536" s="19">
        <v>1.2043106342009301E-2</v>
      </c>
    </row>
    <row r="8537" spans="8:8" ht="15" customHeight="1" x14ac:dyDescent="0.2">
      <c r="H8537" s="19">
        <v>-8.6964913520899201E-5</v>
      </c>
    </row>
    <row r="8538" spans="8:8" ht="15" customHeight="1" x14ac:dyDescent="0.2">
      <c r="H8538" s="19">
        <v>7.3131185657523603E-3</v>
      </c>
    </row>
    <row r="8539" spans="8:8" ht="15" customHeight="1" x14ac:dyDescent="0.2">
      <c r="H8539" s="19">
        <v>7.7793782625023298E-3</v>
      </c>
    </row>
    <row r="8540" spans="8:8" ht="15" customHeight="1" x14ac:dyDescent="0.2">
      <c r="H8540" s="19">
        <v>6.82553512488658E-3</v>
      </c>
    </row>
    <row r="8541" spans="8:8" ht="15" customHeight="1" x14ac:dyDescent="0.2">
      <c r="H8541" s="19">
        <v>6.3005762200898504E-3</v>
      </c>
    </row>
    <row r="8542" spans="8:8" ht="15" customHeight="1" x14ac:dyDescent="0.2">
      <c r="H8542" s="19">
        <v>4.8931801666359E-3</v>
      </c>
    </row>
    <row r="8543" spans="8:8" ht="15" customHeight="1" x14ac:dyDescent="0.2">
      <c r="H8543" s="19">
        <v>-8.6834274870138395E-3</v>
      </c>
    </row>
    <row r="8544" spans="8:8" ht="15" customHeight="1" x14ac:dyDescent="0.2">
      <c r="H8544" s="19">
        <v>3.9347357807937603E-3</v>
      </c>
    </row>
    <row r="8545" spans="8:8" ht="15" customHeight="1" x14ac:dyDescent="0.2">
      <c r="H8545" s="19">
        <v>-1.2946852746273701E-2</v>
      </c>
    </row>
    <row r="8546" spans="8:8" ht="15" customHeight="1" x14ac:dyDescent="0.2">
      <c r="H8546" s="19">
        <v>1.7612347339395699E-3</v>
      </c>
    </row>
    <row r="8547" spans="8:8" ht="15" customHeight="1" x14ac:dyDescent="0.2">
      <c r="H8547" s="19">
        <v>1.39955227028217E-2</v>
      </c>
    </row>
    <row r="8548" spans="8:8" ht="15" customHeight="1" x14ac:dyDescent="0.2">
      <c r="H8548" s="19">
        <v>-3.4376571978267001E-3</v>
      </c>
    </row>
    <row r="8549" spans="8:8" ht="15" customHeight="1" x14ac:dyDescent="0.2">
      <c r="H8549" s="19">
        <v>7.3944745183255499E-3</v>
      </c>
    </row>
    <row r="8550" spans="8:8" ht="15" customHeight="1" x14ac:dyDescent="0.2">
      <c r="H8550" s="19">
        <v>2.2160704748563501E-3</v>
      </c>
    </row>
    <row r="8551" spans="8:8" ht="15" customHeight="1" x14ac:dyDescent="0.2">
      <c r="H8551" s="19">
        <v>8.6450236763876507E-3</v>
      </c>
    </row>
    <row r="8552" spans="8:8" ht="15" customHeight="1" x14ac:dyDescent="0.2">
      <c r="H8552" s="19">
        <v>1.7061540511667202E-2</v>
      </c>
    </row>
    <row r="8553" spans="8:8" ht="15" customHeight="1" x14ac:dyDescent="0.2">
      <c r="H8553" s="19">
        <v>1.35281826621215E-3</v>
      </c>
    </row>
    <row r="8554" spans="8:8" ht="15" customHeight="1" x14ac:dyDescent="0.2">
      <c r="H8554" s="19">
        <v>1.40958132746528E-3</v>
      </c>
    </row>
    <row r="8555" spans="8:8" ht="15" customHeight="1" x14ac:dyDescent="0.2">
      <c r="H8555" s="19">
        <v>-1.11552937604717E-2</v>
      </c>
    </row>
    <row r="8556" spans="8:8" ht="15" customHeight="1" x14ac:dyDescent="0.2">
      <c r="H8556" s="19">
        <v>-4.9554585867358702E-3</v>
      </c>
    </row>
    <row r="8557" spans="8:8" ht="15" customHeight="1" x14ac:dyDescent="0.2">
      <c r="H8557" s="19">
        <v>5.03590723848793E-3</v>
      </c>
    </row>
    <row r="8558" spans="8:8" ht="15" customHeight="1" x14ac:dyDescent="0.2">
      <c r="H8558" s="19">
        <v>-9.1656213562146E-3</v>
      </c>
    </row>
    <row r="8559" spans="8:8" ht="15" customHeight="1" x14ac:dyDescent="0.2">
      <c r="H8559" s="19">
        <v>3.2715419239482198E-3</v>
      </c>
    </row>
    <row r="8560" spans="8:8" ht="15" customHeight="1" x14ac:dyDescent="0.2">
      <c r="H8560" s="19">
        <v>-1.25813189146507E-3</v>
      </c>
    </row>
    <row r="8561" spans="8:8" ht="15" customHeight="1" x14ac:dyDescent="0.2">
      <c r="H8561" s="19">
        <v>8.3130658056312801E-3</v>
      </c>
    </row>
    <row r="8562" spans="8:8" ht="15" customHeight="1" x14ac:dyDescent="0.2">
      <c r="H8562" s="19">
        <v>5.2102162601132002E-3</v>
      </c>
    </row>
    <row r="8563" spans="8:8" ht="15" customHeight="1" x14ac:dyDescent="0.2">
      <c r="H8563" s="19">
        <v>6.9914208559710396E-3</v>
      </c>
    </row>
    <row r="8564" spans="8:8" ht="15" customHeight="1" x14ac:dyDescent="0.2">
      <c r="H8564" s="19">
        <v>-1.3805814694937801E-3</v>
      </c>
    </row>
    <row r="8565" spans="8:8" ht="15" customHeight="1" x14ac:dyDescent="0.2">
      <c r="H8565" s="19">
        <v>1.0737343661396399E-2</v>
      </c>
    </row>
    <row r="8566" spans="8:8" ht="15" customHeight="1" x14ac:dyDescent="0.2">
      <c r="H8566" s="19">
        <v>7.8785836055575396E-3</v>
      </c>
    </row>
    <row r="8567" spans="8:8" ht="15" customHeight="1" x14ac:dyDescent="0.2">
      <c r="H8567" s="19">
        <v>1.6278767648157801E-2</v>
      </c>
    </row>
    <row r="8568" spans="8:8" ht="15" customHeight="1" x14ac:dyDescent="0.2">
      <c r="H8568" s="19">
        <v>1.15778376487638E-2</v>
      </c>
    </row>
    <row r="8569" spans="8:8" ht="15" customHeight="1" x14ac:dyDescent="0.2">
      <c r="H8569" s="19">
        <v>-2.2623180505580401E-3</v>
      </c>
    </row>
    <row r="8570" spans="8:8" ht="15" customHeight="1" x14ac:dyDescent="0.2">
      <c r="H8570" s="19">
        <v>4.3164883286191504E-3</v>
      </c>
    </row>
    <row r="8571" spans="8:8" ht="15" customHeight="1" x14ac:dyDescent="0.2">
      <c r="H8571" s="19">
        <v>1.34544557592E-2</v>
      </c>
    </row>
    <row r="8572" spans="8:8" ht="15" customHeight="1" x14ac:dyDescent="0.2">
      <c r="H8572" s="19">
        <v>1.06993516853929E-2</v>
      </c>
    </row>
    <row r="8573" spans="8:8" ht="15" customHeight="1" x14ac:dyDescent="0.2">
      <c r="H8573" s="19">
        <v>3.5186604042706602E-3</v>
      </c>
    </row>
    <row r="8574" spans="8:8" ht="15" customHeight="1" x14ac:dyDescent="0.2">
      <c r="H8574" s="19">
        <v>3.4376323247210798E-3</v>
      </c>
    </row>
    <row r="8575" spans="8:8" ht="15" customHeight="1" x14ac:dyDescent="0.2">
      <c r="H8575" s="19">
        <v>-3.8706426944727901E-3</v>
      </c>
    </row>
    <row r="8576" spans="8:8" ht="15" customHeight="1" x14ac:dyDescent="0.2">
      <c r="H8576" s="19">
        <v>-1.2784150570778799E-3</v>
      </c>
    </row>
    <row r="8577" spans="8:8" ht="15" customHeight="1" x14ac:dyDescent="0.2">
      <c r="H8577" s="19">
        <v>7.9506770718431295E-4</v>
      </c>
    </row>
    <row r="8578" spans="8:8" ht="15" customHeight="1" x14ac:dyDescent="0.2">
      <c r="H8578" s="19">
        <v>1.26766093969654E-2</v>
      </c>
    </row>
    <row r="8579" spans="8:8" ht="15" customHeight="1" x14ac:dyDescent="0.2">
      <c r="H8579" s="19">
        <v>-1.0477176068561699E-2</v>
      </c>
    </row>
    <row r="8580" spans="8:8" ht="15" customHeight="1" x14ac:dyDescent="0.2">
      <c r="H8580" s="19">
        <v>-2.4682780519241802E-3</v>
      </c>
    </row>
    <row r="8581" spans="8:8" ht="15" customHeight="1" x14ac:dyDescent="0.2">
      <c r="H8581" s="19">
        <v>8.2852474976751102E-3</v>
      </c>
    </row>
    <row r="8582" spans="8:8" ht="15" customHeight="1" x14ac:dyDescent="0.2">
      <c r="H8582" s="19">
        <v>-7.1878051976700802E-3</v>
      </c>
    </row>
    <row r="8583" spans="8:8" ht="15" customHeight="1" x14ac:dyDescent="0.2">
      <c r="H8583" s="19">
        <v>-9.0828578695704692E-3</v>
      </c>
    </row>
    <row r="8584" spans="8:8" ht="15" customHeight="1" x14ac:dyDescent="0.2">
      <c r="H8584" s="19">
        <v>-4.0994481887032998E-3</v>
      </c>
    </row>
    <row r="8585" spans="8:8" ht="15" customHeight="1" x14ac:dyDescent="0.2">
      <c r="H8585" s="19">
        <v>8.6506287754961695E-3</v>
      </c>
    </row>
    <row r="8586" spans="8:8" ht="15" customHeight="1" x14ac:dyDescent="0.2">
      <c r="H8586" s="19">
        <v>1.0167006490335801E-2</v>
      </c>
    </row>
    <row r="8587" spans="8:8" ht="15" customHeight="1" x14ac:dyDescent="0.2">
      <c r="H8587" s="19">
        <v>8.6734678625673706E-3</v>
      </c>
    </row>
    <row r="8588" spans="8:8" ht="15" customHeight="1" x14ac:dyDescent="0.2">
      <c r="H8588" s="19">
        <v>3.7745399035906402E-3</v>
      </c>
    </row>
    <row r="8589" spans="8:8" ht="15" customHeight="1" x14ac:dyDescent="0.2">
      <c r="H8589" s="19">
        <v>-5.16881241109555E-3</v>
      </c>
    </row>
    <row r="8590" spans="8:8" ht="15" customHeight="1" x14ac:dyDescent="0.2">
      <c r="H8590" s="19">
        <v>3.7005733657191598E-3</v>
      </c>
    </row>
    <row r="8591" spans="8:8" ht="15" customHeight="1" x14ac:dyDescent="0.2">
      <c r="H8591" s="19">
        <v>-5.3349913127451805E-4</v>
      </c>
    </row>
    <row r="8592" spans="8:8" ht="15" customHeight="1" x14ac:dyDescent="0.2">
      <c r="H8592" s="19">
        <v>7.1465826928657598E-3</v>
      </c>
    </row>
    <row r="8593" spans="8:8" ht="15" customHeight="1" x14ac:dyDescent="0.2">
      <c r="H8593" s="19">
        <v>4.0677194308509999E-3</v>
      </c>
    </row>
    <row r="8594" spans="8:8" ht="15" customHeight="1" x14ac:dyDescent="0.2">
      <c r="H8594" s="19">
        <v>-7.2194605912492902E-4</v>
      </c>
    </row>
    <row r="8595" spans="8:8" ht="15" customHeight="1" x14ac:dyDescent="0.2">
      <c r="H8595" s="19">
        <v>1.3605858230023899E-2</v>
      </c>
    </row>
    <row r="8596" spans="8:8" ht="15" customHeight="1" x14ac:dyDescent="0.2">
      <c r="H8596" s="19">
        <v>-5.5594804653061698E-3</v>
      </c>
    </row>
    <row r="8597" spans="8:8" ht="15" customHeight="1" x14ac:dyDescent="0.2">
      <c r="H8597" s="19">
        <v>6.1658137073663704E-3</v>
      </c>
    </row>
    <row r="8598" spans="8:8" ht="15" customHeight="1" x14ac:dyDescent="0.2">
      <c r="H8598" s="19">
        <v>8.8956775654970895E-3</v>
      </c>
    </row>
    <row r="8599" spans="8:8" ht="15" customHeight="1" x14ac:dyDescent="0.2">
      <c r="H8599" s="19">
        <v>6.3838282965249897E-3</v>
      </c>
    </row>
    <row r="8600" spans="8:8" ht="15" customHeight="1" x14ac:dyDescent="0.2">
      <c r="H8600" s="19">
        <v>-3.72153726737182E-3</v>
      </c>
    </row>
    <row r="8601" spans="8:8" ht="15" customHeight="1" x14ac:dyDescent="0.2">
      <c r="H8601" s="19">
        <v>8.3783809991939406E-3</v>
      </c>
    </row>
    <row r="8602" spans="8:8" ht="15" customHeight="1" x14ac:dyDescent="0.2">
      <c r="H8602" s="19">
        <v>1.59643759220137E-3</v>
      </c>
    </row>
    <row r="8603" spans="8:8" ht="15" customHeight="1" x14ac:dyDescent="0.2">
      <c r="H8603" s="19">
        <v>-9.6192519780184896E-3</v>
      </c>
    </row>
    <row r="8604" spans="8:8" ht="15" customHeight="1" x14ac:dyDescent="0.2">
      <c r="H8604" s="19">
        <v>-2.00992231668278E-4</v>
      </c>
    </row>
    <row r="8605" spans="8:8" ht="15" customHeight="1" x14ac:dyDescent="0.2">
      <c r="H8605" s="19">
        <v>1.9505663076742199E-2</v>
      </c>
    </row>
    <row r="8606" spans="8:8" ht="15" customHeight="1" x14ac:dyDescent="0.2">
      <c r="H8606" s="19">
        <v>1.04162113200174E-2</v>
      </c>
    </row>
    <row r="8607" spans="8:8" ht="15" customHeight="1" x14ac:dyDescent="0.2">
      <c r="H8607" s="19">
        <v>8.6630718109649198E-3</v>
      </c>
    </row>
    <row r="8608" spans="8:8" ht="15" customHeight="1" x14ac:dyDescent="0.2">
      <c r="H8608" s="19">
        <v>4.2775283449093598E-3</v>
      </c>
    </row>
    <row r="8609" spans="8:8" ht="15" customHeight="1" x14ac:dyDescent="0.2">
      <c r="H8609" s="19">
        <v>-2.49479488527776E-2</v>
      </c>
    </row>
    <row r="8610" spans="8:8" ht="15" customHeight="1" x14ac:dyDescent="0.2">
      <c r="H8610" s="19">
        <v>1.8533538579812998E-2</v>
      </c>
    </row>
    <row r="8611" spans="8:8" ht="15" customHeight="1" x14ac:dyDescent="0.2">
      <c r="H8611" s="19">
        <v>8.9089604378355391E-3</v>
      </c>
    </row>
    <row r="8612" spans="8:8" ht="15" customHeight="1" x14ac:dyDescent="0.2">
      <c r="H8612" s="19">
        <v>3.0408259603535298E-3</v>
      </c>
    </row>
    <row r="8613" spans="8:8" ht="15" customHeight="1" x14ac:dyDescent="0.2">
      <c r="H8613" s="19">
        <v>-2.6672762758091499E-3</v>
      </c>
    </row>
    <row r="8614" spans="8:8" ht="15" customHeight="1" x14ac:dyDescent="0.2">
      <c r="H8614" s="19">
        <v>-2.1009592867624002E-3</v>
      </c>
    </row>
    <row r="8615" spans="8:8" ht="15" customHeight="1" x14ac:dyDescent="0.2">
      <c r="H8615" s="19">
        <v>-8.6426033727794293E-3</v>
      </c>
    </row>
    <row r="8616" spans="8:8" ht="15" customHeight="1" x14ac:dyDescent="0.2">
      <c r="H8616" s="19">
        <v>6.6246355452842702E-3</v>
      </c>
    </row>
    <row r="8617" spans="8:8" ht="15" customHeight="1" x14ac:dyDescent="0.2">
      <c r="H8617" s="19">
        <v>2.25339129207144E-2</v>
      </c>
    </row>
    <row r="8618" spans="8:8" ht="15" customHeight="1" x14ac:dyDescent="0.2">
      <c r="H8618" s="19">
        <v>1.69732643482816E-2</v>
      </c>
    </row>
    <row r="8619" spans="8:8" ht="15" customHeight="1" x14ac:dyDescent="0.2">
      <c r="H8619" s="19">
        <v>-6.8063030684363003E-4</v>
      </c>
    </row>
    <row r="8620" spans="8:8" ht="15" customHeight="1" x14ac:dyDescent="0.2">
      <c r="H8620" s="19">
        <v>9.9288761803441403E-3</v>
      </c>
    </row>
    <row r="8621" spans="8:8" ht="15" customHeight="1" x14ac:dyDescent="0.2">
      <c r="H8621" s="19">
        <v>4.1642903483582903E-3</v>
      </c>
    </row>
    <row r="8622" spans="8:8" ht="15" customHeight="1" x14ac:dyDescent="0.2">
      <c r="H8622" s="19">
        <v>4.3616110872176598E-3</v>
      </c>
    </row>
    <row r="8623" spans="8:8" ht="15" customHeight="1" x14ac:dyDescent="0.2">
      <c r="H8623" s="19">
        <v>-2.18577128051881E-3</v>
      </c>
    </row>
    <row r="8624" spans="8:8" ht="15" customHeight="1" x14ac:dyDescent="0.2">
      <c r="H8624" s="19">
        <v>1.7175115188771899E-2</v>
      </c>
    </row>
    <row r="8625" spans="8:8" ht="15" customHeight="1" x14ac:dyDescent="0.2">
      <c r="H8625" s="19">
        <v>7.86982081452107E-5</v>
      </c>
    </row>
    <row r="8626" spans="8:8" ht="15" customHeight="1" x14ac:dyDescent="0.2">
      <c r="H8626" s="19">
        <v>8.6652412810172101E-3</v>
      </c>
    </row>
    <row r="8627" spans="8:8" ht="15" customHeight="1" x14ac:dyDescent="0.2">
      <c r="H8627" s="19">
        <v>1.5840023470721599E-2</v>
      </c>
    </row>
    <row r="8628" spans="8:8" ht="15" customHeight="1" x14ac:dyDescent="0.2">
      <c r="H8628" s="19">
        <v>-1.6445318114233899E-3</v>
      </c>
    </row>
    <row r="8629" spans="8:8" ht="15" customHeight="1" x14ac:dyDescent="0.2">
      <c r="H8629" s="19">
        <v>-3.96565725049004E-4</v>
      </c>
    </row>
    <row r="8630" spans="8:8" ht="15" customHeight="1" x14ac:dyDescent="0.2">
      <c r="H8630" s="19">
        <v>-8.6104164070835605E-3</v>
      </c>
    </row>
    <row r="8631" spans="8:8" ht="15" customHeight="1" x14ac:dyDescent="0.2">
      <c r="H8631" s="19">
        <v>-1.8793894218120801E-2</v>
      </c>
    </row>
    <row r="8632" spans="8:8" ht="15" customHeight="1" x14ac:dyDescent="0.2">
      <c r="H8632" s="19">
        <v>9.68448900509589E-3</v>
      </c>
    </row>
    <row r="8633" spans="8:8" ht="15" customHeight="1" x14ac:dyDescent="0.2">
      <c r="H8633" s="19">
        <v>-3.09233849945274E-3</v>
      </c>
    </row>
    <row r="8634" spans="8:8" ht="15" customHeight="1" x14ac:dyDescent="0.2">
      <c r="H8634" s="19">
        <v>3.1175370948919201E-4</v>
      </c>
    </row>
    <row r="8635" spans="8:8" ht="15" customHeight="1" x14ac:dyDescent="0.2">
      <c r="H8635" s="19">
        <v>-3.1671039638285401E-3</v>
      </c>
    </row>
    <row r="8636" spans="8:8" ht="15" customHeight="1" x14ac:dyDescent="0.2">
      <c r="H8636" s="19">
        <v>-1.39066268205164E-2</v>
      </c>
    </row>
    <row r="8637" spans="8:8" ht="15" customHeight="1" x14ac:dyDescent="0.2">
      <c r="H8637" s="19">
        <v>7.1048294475413798E-3</v>
      </c>
    </row>
    <row r="8638" spans="8:8" ht="15" customHeight="1" x14ac:dyDescent="0.2">
      <c r="H8638" s="19">
        <v>-8.1438321995833708E-3</v>
      </c>
    </row>
    <row r="8639" spans="8:8" ht="15" customHeight="1" x14ac:dyDescent="0.2">
      <c r="H8639" s="19">
        <v>1.6410671412492299E-3</v>
      </c>
    </row>
    <row r="8640" spans="8:8" ht="15" customHeight="1" x14ac:dyDescent="0.2">
      <c r="H8640" s="19">
        <v>-7.9725226416235695E-3</v>
      </c>
    </row>
    <row r="8641" spans="8:8" ht="15" customHeight="1" x14ac:dyDescent="0.2">
      <c r="H8641" s="19">
        <v>-4.2196904817858802E-3</v>
      </c>
    </row>
    <row r="8642" spans="8:8" ht="15" customHeight="1" x14ac:dyDescent="0.2">
      <c r="H8642" s="19">
        <v>5.8814927062055197E-3</v>
      </c>
    </row>
    <row r="8643" spans="8:8" ht="15" customHeight="1" x14ac:dyDescent="0.2">
      <c r="H8643" s="19">
        <v>1.5261005820169701E-2</v>
      </c>
    </row>
    <row r="8644" spans="8:8" ht="15" customHeight="1" x14ac:dyDescent="0.2">
      <c r="H8644" s="19">
        <v>5.1716117633904997E-3</v>
      </c>
    </row>
    <row r="8645" spans="8:8" ht="15" customHeight="1" x14ac:dyDescent="0.2">
      <c r="H8645" s="19">
        <v>-9.1198915840381405E-3</v>
      </c>
    </row>
    <row r="8646" spans="8:8" ht="15" customHeight="1" x14ac:dyDescent="0.2">
      <c r="H8646" s="19">
        <v>1.5041993803087501E-3</v>
      </c>
    </row>
    <row r="8647" spans="8:8" ht="15" customHeight="1" x14ac:dyDescent="0.2">
      <c r="H8647" s="19">
        <v>-1.1701673682127999E-2</v>
      </c>
    </row>
    <row r="8648" spans="8:8" ht="15" customHeight="1" x14ac:dyDescent="0.2">
      <c r="H8648" s="19">
        <v>1.0316181484962E-2</v>
      </c>
    </row>
    <row r="8649" spans="8:8" ht="15" customHeight="1" x14ac:dyDescent="0.2">
      <c r="H8649" s="19">
        <v>2.71815699670912E-3</v>
      </c>
    </row>
    <row r="8650" spans="8:8" ht="15" customHeight="1" x14ac:dyDescent="0.2">
      <c r="H8650" s="19">
        <v>-3.0548804260952999E-3</v>
      </c>
    </row>
    <row r="8651" spans="8:8" ht="15" customHeight="1" x14ac:dyDescent="0.2">
      <c r="H8651" s="19">
        <v>8.8834188709949208E-3</v>
      </c>
    </row>
    <row r="8652" spans="8:8" ht="15" customHeight="1" x14ac:dyDescent="0.2">
      <c r="H8652" s="19">
        <v>4.30058521865926E-3</v>
      </c>
    </row>
    <row r="8653" spans="8:8" ht="15" customHeight="1" x14ac:dyDescent="0.2">
      <c r="H8653" s="19">
        <v>1.03636594313198E-2</v>
      </c>
    </row>
    <row r="8654" spans="8:8" ht="15" customHeight="1" x14ac:dyDescent="0.2">
      <c r="H8654" s="19">
        <v>1.30287031285709E-2</v>
      </c>
    </row>
    <row r="8655" spans="8:8" ht="15" customHeight="1" x14ac:dyDescent="0.2">
      <c r="H8655" s="19">
        <v>1.1058946325442701E-2</v>
      </c>
    </row>
    <row r="8656" spans="8:8" ht="15" customHeight="1" x14ac:dyDescent="0.2">
      <c r="H8656" s="19">
        <v>8.6372044714202404E-3</v>
      </c>
    </row>
    <row r="8657" spans="8:8" ht="15" customHeight="1" x14ac:dyDescent="0.2">
      <c r="H8657" s="19">
        <v>3.2421580170640999E-3</v>
      </c>
    </row>
    <row r="8658" spans="8:8" ht="15" customHeight="1" x14ac:dyDescent="0.2">
      <c r="H8658" s="19">
        <v>6.9058078948827399E-3</v>
      </c>
    </row>
    <row r="8659" spans="8:8" ht="15" customHeight="1" x14ac:dyDescent="0.2">
      <c r="H8659" s="19">
        <v>-1.26961258572174E-2</v>
      </c>
    </row>
    <row r="8660" spans="8:8" ht="15" customHeight="1" x14ac:dyDescent="0.2">
      <c r="H8660" s="19">
        <v>1.7268859535003501E-2</v>
      </c>
    </row>
    <row r="8661" spans="8:8" ht="15" customHeight="1" x14ac:dyDescent="0.2">
      <c r="H8661" s="19">
        <v>1.83909836242451E-2</v>
      </c>
    </row>
    <row r="8662" spans="8:8" ht="15" customHeight="1" x14ac:dyDescent="0.2">
      <c r="H8662" s="19">
        <v>-1.4334477423639601E-2</v>
      </c>
    </row>
    <row r="8663" spans="8:8" ht="15" customHeight="1" x14ac:dyDescent="0.2">
      <c r="H8663" s="19">
        <v>-2.4795632158859299E-2</v>
      </c>
    </row>
    <row r="8664" spans="8:8" ht="15" customHeight="1" x14ac:dyDescent="0.2">
      <c r="H8664" s="19">
        <v>-6.1700417373388803E-3</v>
      </c>
    </row>
    <row r="8665" spans="8:8" ht="15" customHeight="1" x14ac:dyDescent="0.2">
      <c r="H8665" s="19">
        <v>4.6296645158050197E-3</v>
      </c>
    </row>
    <row r="8666" spans="8:8" ht="15" customHeight="1" x14ac:dyDescent="0.2">
      <c r="H8666" s="19">
        <v>-2.0101194386493501E-4</v>
      </c>
    </row>
    <row r="8667" spans="8:8" ht="15" customHeight="1" x14ac:dyDescent="0.2">
      <c r="H8667" s="19">
        <v>4.7549000717551004E-3</v>
      </c>
    </row>
    <row r="8668" spans="8:8" ht="15" customHeight="1" x14ac:dyDescent="0.2">
      <c r="H8668" s="19">
        <v>4.1013854416323201E-3</v>
      </c>
    </row>
    <row r="8669" spans="8:8" ht="15" customHeight="1" x14ac:dyDescent="0.2">
      <c r="H8669" s="19">
        <v>1.08709223281735E-2</v>
      </c>
    </row>
    <row r="8670" spans="8:8" ht="15" customHeight="1" x14ac:dyDescent="0.2">
      <c r="H8670" s="19">
        <v>9.5814660613587205E-3</v>
      </c>
    </row>
    <row r="8671" spans="8:8" ht="15" customHeight="1" x14ac:dyDescent="0.2">
      <c r="H8671" s="19">
        <v>6.3107829192150496E-4</v>
      </c>
    </row>
    <row r="8672" spans="8:8" ht="15" customHeight="1" x14ac:dyDescent="0.2">
      <c r="H8672" s="19">
        <v>4.1668918544454501E-4</v>
      </c>
    </row>
    <row r="8673" spans="8:8" ht="15" customHeight="1" x14ac:dyDescent="0.2">
      <c r="H8673" s="19">
        <v>-5.5056094249473497E-3</v>
      </c>
    </row>
    <row r="8674" spans="8:8" ht="15" customHeight="1" x14ac:dyDescent="0.2">
      <c r="H8674" s="19">
        <v>1.5759789343361801E-2</v>
      </c>
    </row>
    <row r="8675" spans="8:8" ht="15" customHeight="1" x14ac:dyDescent="0.2">
      <c r="H8675" s="19">
        <v>-5.8757161593939603E-3</v>
      </c>
    </row>
    <row r="8676" spans="8:8" ht="15" customHeight="1" x14ac:dyDescent="0.2">
      <c r="H8676" s="19">
        <v>1.33876620132094E-2</v>
      </c>
    </row>
    <row r="8677" spans="8:8" ht="15" customHeight="1" x14ac:dyDescent="0.2">
      <c r="H8677" s="19">
        <v>1.17280402467549E-2</v>
      </c>
    </row>
    <row r="8678" spans="8:8" ht="15" customHeight="1" x14ac:dyDescent="0.2">
      <c r="H8678" s="19">
        <v>8.1391071944320204E-3</v>
      </c>
    </row>
    <row r="8679" spans="8:8" ht="15" customHeight="1" x14ac:dyDescent="0.2">
      <c r="H8679" s="19">
        <v>6.9432606888352897E-3</v>
      </c>
    </row>
    <row r="8680" spans="8:8" ht="15" customHeight="1" x14ac:dyDescent="0.2">
      <c r="H8680" s="19">
        <v>-3.0307596464101199E-3</v>
      </c>
    </row>
    <row r="8681" spans="8:8" ht="15" customHeight="1" x14ac:dyDescent="0.2">
      <c r="H8681" s="19">
        <v>5.7522993314937602E-3</v>
      </c>
    </row>
    <row r="8682" spans="8:8" ht="15" customHeight="1" x14ac:dyDescent="0.2">
      <c r="H8682" s="19">
        <v>8.2441004080332E-3</v>
      </c>
    </row>
    <row r="8683" spans="8:8" ht="15" customHeight="1" x14ac:dyDescent="0.2">
      <c r="H8683" s="19">
        <v>3.7843018690462199E-3</v>
      </c>
    </row>
    <row r="8684" spans="8:8" ht="15" customHeight="1" x14ac:dyDescent="0.2">
      <c r="H8684" s="19">
        <v>-6.7201834426000098E-3</v>
      </c>
    </row>
    <row r="8685" spans="8:8" ht="15" customHeight="1" x14ac:dyDescent="0.2">
      <c r="H8685" s="19">
        <v>-1.1953473643805701E-2</v>
      </c>
    </row>
    <row r="8686" spans="8:8" ht="15" customHeight="1" x14ac:dyDescent="0.2">
      <c r="H8686" s="19">
        <v>-3.0154042558163301E-3</v>
      </c>
    </row>
    <row r="8687" spans="8:8" ht="15" customHeight="1" x14ac:dyDescent="0.2">
      <c r="H8687" s="19">
        <v>-1.23493326306649E-2</v>
      </c>
    </row>
    <row r="8688" spans="8:8" ht="15" customHeight="1" x14ac:dyDescent="0.2">
      <c r="H8688" s="19">
        <v>8.6434041054724801E-3</v>
      </c>
    </row>
    <row r="8689" spans="8:8" ht="15" customHeight="1" x14ac:dyDescent="0.2">
      <c r="H8689" s="19">
        <v>2.2841301953176701E-3</v>
      </c>
    </row>
    <row r="8690" spans="8:8" ht="15" customHeight="1" x14ac:dyDescent="0.2">
      <c r="H8690" s="19">
        <v>-7.1473908392949504E-3</v>
      </c>
    </row>
    <row r="8691" spans="8:8" ht="15" customHeight="1" x14ac:dyDescent="0.2">
      <c r="H8691" s="19">
        <v>6.4189381754402499E-3</v>
      </c>
    </row>
    <row r="8692" spans="8:8" ht="15" customHeight="1" x14ac:dyDescent="0.2">
      <c r="H8692" s="19">
        <v>-1.4902889682593901E-2</v>
      </c>
    </row>
    <row r="8693" spans="8:8" ht="15" customHeight="1" x14ac:dyDescent="0.2">
      <c r="H8693" s="19">
        <v>4.5984953062659E-3</v>
      </c>
    </row>
    <row r="8694" spans="8:8" ht="15" customHeight="1" x14ac:dyDescent="0.2">
      <c r="H8694" s="19">
        <v>1.1330507368716301E-2</v>
      </c>
    </row>
    <row r="8695" spans="8:8" ht="15" customHeight="1" x14ac:dyDescent="0.2">
      <c r="H8695" s="19">
        <v>3.4281565052980399E-3</v>
      </c>
    </row>
    <row r="8696" spans="8:8" ht="15" customHeight="1" x14ac:dyDescent="0.2">
      <c r="H8696" s="19">
        <v>-5.8945410380703903E-3</v>
      </c>
    </row>
    <row r="8697" spans="8:8" ht="15" customHeight="1" x14ac:dyDescent="0.2">
      <c r="H8697" s="19">
        <v>6.5423633422437696E-3</v>
      </c>
    </row>
    <row r="8698" spans="8:8" ht="15" customHeight="1" x14ac:dyDescent="0.2">
      <c r="H8698" s="19">
        <v>-9.6121890624379699E-3</v>
      </c>
    </row>
    <row r="8699" spans="8:8" ht="15" customHeight="1" x14ac:dyDescent="0.2">
      <c r="H8699" s="19">
        <v>-2.7946087093851102E-3</v>
      </c>
    </row>
    <row r="8700" spans="8:8" ht="15" customHeight="1" x14ac:dyDescent="0.2">
      <c r="H8700" s="19">
        <v>7.1481116176806301E-3</v>
      </c>
    </row>
    <row r="8701" spans="8:8" ht="15" customHeight="1" x14ac:dyDescent="0.2">
      <c r="H8701" s="19">
        <v>-7.8719784333455898E-4</v>
      </c>
    </row>
    <row r="8702" spans="8:8" ht="15" customHeight="1" x14ac:dyDescent="0.2">
      <c r="H8702" s="19">
        <v>-3.5247923733661098E-3</v>
      </c>
    </row>
    <row r="8703" spans="8:8" ht="15" customHeight="1" x14ac:dyDescent="0.2">
      <c r="H8703" s="19">
        <v>1.15919605578142E-3</v>
      </c>
    </row>
    <row r="8704" spans="8:8" ht="15" customHeight="1" x14ac:dyDescent="0.2">
      <c r="H8704" s="19">
        <v>1.3419891047038701E-2</v>
      </c>
    </row>
    <row r="8705" spans="8:8" ht="15" customHeight="1" x14ac:dyDescent="0.2">
      <c r="H8705" s="19">
        <v>1.7753918622148901E-3</v>
      </c>
    </row>
    <row r="8706" spans="8:8" ht="15" customHeight="1" x14ac:dyDescent="0.2">
      <c r="H8706" s="19">
        <v>1.2576116012351401E-3</v>
      </c>
    </row>
    <row r="8707" spans="8:8" ht="15" customHeight="1" x14ac:dyDescent="0.2">
      <c r="H8707" s="19">
        <v>-1.22151766075583E-2</v>
      </c>
    </row>
    <row r="8708" spans="8:8" ht="15" customHeight="1" x14ac:dyDescent="0.2">
      <c r="H8708" s="19">
        <v>2.3224026747631101E-2</v>
      </c>
    </row>
    <row r="8709" spans="8:8" ht="15" customHeight="1" x14ac:dyDescent="0.2">
      <c r="H8709" s="19">
        <v>-7.8155702201466101E-3</v>
      </c>
    </row>
    <row r="8710" spans="8:8" ht="15" customHeight="1" x14ac:dyDescent="0.2">
      <c r="H8710" s="19">
        <v>7.3078826995821703E-4</v>
      </c>
    </row>
    <row r="8711" spans="8:8" ht="15" customHeight="1" x14ac:dyDescent="0.2">
      <c r="H8711" s="19">
        <v>6.7942253925452004E-3</v>
      </c>
    </row>
    <row r="8712" spans="8:8" ht="15" customHeight="1" x14ac:dyDescent="0.2">
      <c r="H8712" s="19">
        <v>-4.4308232785738597E-3</v>
      </c>
    </row>
    <row r="8713" spans="8:8" ht="15" customHeight="1" x14ac:dyDescent="0.2">
      <c r="H8713" s="19">
        <v>-6.2253785387990802E-3</v>
      </c>
    </row>
    <row r="8714" spans="8:8" ht="15" customHeight="1" x14ac:dyDescent="0.2">
      <c r="H8714" s="19">
        <v>4.6446459745143097E-3</v>
      </c>
    </row>
    <row r="8715" spans="8:8" ht="15" customHeight="1" x14ac:dyDescent="0.2">
      <c r="H8715" s="19">
        <v>-5.5814538795661396E-3</v>
      </c>
    </row>
    <row r="8716" spans="8:8" ht="15" customHeight="1" x14ac:dyDescent="0.2">
      <c r="H8716" s="19">
        <v>-2.9043292035125601E-4</v>
      </c>
    </row>
    <row r="8717" spans="8:8" ht="15" customHeight="1" x14ac:dyDescent="0.2">
      <c r="H8717" s="19">
        <v>-9.8660321502102902E-5</v>
      </c>
    </row>
    <row r="8718" spans="8:8" ht="15" customHeight="1" x14ac:dyDescent="0.2">
      <c r="H8718" s="19">
        <v>-6.7579133278373102E-3</v>
      </c>
    </row>
    <row r="8719" spans="8:8" ht="15" customHeight="1" x14ac:dyDescent="0.2">
      <c r="H8719" s="19">
        <v>1.28255933674436E-2</v>
      </c>
    </row>
    <row r="8720" spans="8:8" ht="15" customHeight="1" x14ac:dyDescent="0.2">
      <c r="H8720" s="19">
        <v>1.04967985955023E-2</v>
      </c>
    </row>
    <row r="8721" spans="8:8" ht="15" customHeight="1" x14ac:dyDescent="0.2">
      <c r="H8721" s="19">
        <v>7.9763093919762006E-3</v>
      </c>
    </row>
    <row r="8722" spans="8:8" ht="15" customHeight="1" x14ac:dyDescent="0.2">
      <c r="H8722" s="19">
        <v>7.54560218127193E-3</v>
      </c>
    </row>
    <row r="8723" spans="8:8" ht="15" customHeight="1" x14ac:dyDescent="0.2">
      <c r="H8723" s="19">
        <v>6.9828497864208097E-3</v>
      </c>
    </row>
    <row r="8724" spans="8:8" ht="15" customHeight="1" x14ac:dyDescent="0.2">
      <c r="H8724" s="19">
        <v>1.0875695590584901E-3</v>
      </c>
    </row>
    <row r="8725" spans="8:8" ht="15" customHeight="1" x14ac:dyDescent="0.2">
      <c r="H8725" s="19">
        <v>-6.9493193211496102E-3</v>
      </c>
    </row>
    <row r="8726" spans="8:8" ht="15" customHeight="1" x14ac:dyDescent="0.2">
      <c r="H8726" s="19">
        <v>-1.2604625131809901E-3</v>
      </c>
    </row>
    <row r="8727" spans="8:8" ht="15" customHeight="1" x14ac:dyDescent="0.2">
      <c r="H8727" s="19">
        <v>-1.51965472489329E-2</v>
      </c>
    </row>
    <row r="8728" spans="8:8" ht="15" customHeight="1" x14ac:dyDescent="0.2">
      <c r="H8728" s="19">
        <v>3.3730002542816501E-3</v>
      </c>
    </row>
    <row r="8729" spans="8:8" ht="15" customHeight="1" x14ac:dyDescent="0.2">
      <c r="H8729" s="19">
        <v>4.4595847863177903E-3</v>
      </c>
    </row>
    <row r="8730" spans="8:8" ht="15" customHeight="1" x14ac:dyDescent="0.2">
      <c r="H8730" s="19">
        <v>1.3352832353790501E-2</v>
      </c>
    </row>
    <row r="8731" spans="8:8" ht="15" customHeight="1" x14ac:dyDescent="0.2">
      <c r="H8731" s="19">
        <v>-7.2259048148256002E-3</v>
      </c>
    </row>
    <row r="8732" spans="8:8" ht="15" customHeight="1" x14ac:dyDescent="0.2">
      <c r="H8732" s="19">
        <v>1.39363074593738E-2</v>
      </c>
    </row>
    <row r="8733" spans="8:8" ht="15" customHeight="1" x14ac:dyDescent="0.2">
      <c r="H8733" s="19">
        <v>4.8463238226078599E-3</v>
      </c>
    </row>
    <row r="8734" spans="8:8" ht="15" customHeight="1" x14ac:dyDescent="0.2">
      <c r="H8734" s="19">
        <v>-4.9866824264445495E-4</v>
      </c>
    </row>
    <row r="8735" spans="8:8" ht="15" customHeight="1" x14ac:dyDescent="0.2">
      <c r="H8735" s="19">
        <v>2.2663717825861199E-2</v>
      </c>
    </row>
    <row r="8736" spans="8:8" ht="15" customHeight="1" x14ac:dyDescent="0.2">
      <c r="H8736" s="19">
        <v>5.4493438752607403E-3</v>
      </c>
    </row>
    <row r="8737" spans="8:8" ht="15" customHeight="1" x14ac:dyDescent="0.2">
      <c r="H8737" s="19">
        <v>2.7543071237251401E-2</v>
      </c>
    </row>
    <row r="8738" spans="8:8" ht="15" customHeight="1" x14ac:dyDescent="0.2">
      <c r="H8738" s="19">
        <v>-2.2442234300374098E-3</v>
      </c>
    </row>
    <row r="8739" spans="8:8" ht="15" customHeight="1" x14ac:dyDescent="0.2">
      <c r="H8739" s="19">
        <v>-9.1598801502701995E-3</v>
      </c>
    </row>
    <row r="8740" spans="8:8" ht="15" customHeight="1" x14ac:dyDescent="0.2">
      <c r="H8740" s="19">
        <v>-7.5714816682523603E-3</v>
      </c>
    </row>
    <row r="8741" spans="8:8" ht="15" customHeight="1" x14ac:dyDescent="0.2">
      <c r="H8741" s="19">
        <v>-1.8496488892098699E-2</v>
      </c>
    </row>
    <row r="8742" spans="8:8" ht="15" customHeight="1" x14ac:dyDescent="0.2">
      <c r="H8742" s="19">
        <v>8.1309204625529298E-3</v>
      </c>
    </row>
    <row r="8743" spans="8:8" ht="15" customHeight="1" x14ac:dyDescent="0.2">
      <c r="H8743" s="19">
        <v>9.4739154959459803E-4</v>
      </c>
    </row>
    <row r="8744" spans="8:8" ht="15" customHeight="1" x14ac:dyDescent="0.2">
      <c r="H8744" s="19">
        <v>8.3632166504429492E-3</v>
      </c>
    </row>
    <row r="8745" spans="8:8" ht="15" customHeight="1" x14ac:dyDescent="0.2">
      <c r="H8745" s="19">
        <v>-6.9098406908041001E-3</v>
      </c>
    </row>
    <row r="8746" spans="8:8" ht="15" customHeight="1" x14ac:dyDescent="0.2">
      <c r="H8746" s="19">
        <v>8.3057891795350401E-4</v>
      </c>
    </row>
    <row r="8747" spans="8:8" ht="15" customHeight="1" x14ac:dyDescent="0.2">
      <c r="H8747" s="19">
        <v>-1.9027520982816699E-2</v>
      </c>
    </row>
    <row r="8748" spans="8:8" ht="15" customHeight="1" x14ac:dyDescent="0.2">
      <c r="H8748" s="19">
        <v>5.15385410692548E-3</v>
      </c>
    </row>
    <row r="8749" spans="8:8" ht="15" customHeight="1" x14ac:dyDescent="0.2">
      <c r="H8749" s="19">
        <v>-1.2939206182050999E-2</v>
      </c>
    </row>
    <row r="8750" spans="8:8" ht="15" customHeight="1" x14ac:dyDescent="0.2">
      <c r="H8750" s="19">
        <v>-1.35320806053301E-2</v>
      </c>
    </row>
    <row r="8751" spans="8:8" ht="15" customHeight="1" x14ac:dyDescent="0.2">
      <c r="H8751" s="19">
        <v>1.13223277427855E-2</v>
      </c>
    </row>
    <row r="8752" spans="8:8" ht="15" customHeight="1" x14ac:dyDescent="0.2">
      <c r="H8752" s="19">
        <v>-1.2209727736590299E-2</v>
      </c>
    </row>
    <row r="8753" spans="8:8" ht="15" customHeight="1" x14ac:dyDescent="0.2">
      <c r="H8753" s="19">
        <v>1.0014581363073399E-2</v>
      </c>
    </row>
    <row r="8754" spans="8:8" ht="15" customHeight="1" x14ac:dyDescent="0.2">
      <c r="H8754" s="19">
        <v>-7.9232905611059095E-3</v>
      </c>
    </row>
    <row r="8755" spans="8:8" ht="15" customHeight="1" x14ac:dyDescent="0.2">
      <c r="H8755" s="19">
        <v>-1.16994691456873E-4</v>
      </c>
    </row>
    <row r="8756" spans="8:8" ht="15" customHeight="1" x14ac:dyDescent="0.2">
      <c r="H8756" s="19">
        <v>4.3049211096824001E-3</v>
      </c>
    </row>
    <row r="8757" spans="8:8" ht="15" customHeight="1" x14ac:dyDescent="0.2">
      <c r="H8757" s="19">
        <v>-1.5109515496887001E-2</v>
      </c>
    </row>
    <row r="8758" spans="8:8" ht="15" customHeight="1" x14ac:dyDescent="0.2">
      <c r="H8758" s="19">
        <v>3.7129809548973498E-3</v>
      </c>
    </row>
    <row r="8759" spans="8:8" ht="15" customHeight="1" x14ac:dyDescent="0.2">
      <c r="H8759" s="19">
        <v>-9.7799304784519907E-3</v>
      </c>
    </row>
    <row r="8760" spans="8:8" ht="15" customHeight="1" x14ac:dyDescent="0.2">
      <c r="H8760" s="19">
        <v>2.1453221762652099E-2</v>
      </c>
    </row>
    <row r="8761" spans="8:8" ht="15" customHeight="1" x14ac:dyDescent="0.2">
      <c r="H8761" s="19">
        <v>-1.91383360091518E-3</v>
      </c>
    </row>
    <row r="8762" spans="8:8" ht="15" customHeight="1" x14ac:dyDescent="0.2">
      <c r="H8762" s="19">
        <v>3.2753870960680101E-3</v>
      </c>
    </row>
    <row r="8763" spans="8:8" ht="15" customHeight="1" x14ac:dyDescent="0.2">
      <c r="H8763" s="19">
        <v>7.7037550044934998E-3</v>
      </c>
    </row>
    <row r="8764" spans="8:8" ht="15" customHeight="1" x14ac:dyDescent="0.2">
      <c r="H8764" s="19">
        <v>1.2182458813682999E-3</v>
      </c>
    </row>
    <row r="8765" spans="8:8" ht="15" customHeight="1" x14ac:dyDescent="0.2">
      <c r="H8765" s="19">
        <v>-8.4200549363147798E-4</v>
      </c>
    </row>
    <row r="8766" spans="8:8" ht="15" customHeight="1" x14ac:dyDescent="0.2">
      <c r="H8766" s="19">
        <v>-2.0224826963437501E-2</v>
      </c>
    </row>
    <row r="8767" spans="8:8" ht="15" customHeight="1" x14ac:dyDescent="0.2">
      <c r="H8767" s="19">
        <v>-5.6849352970245303E-3</v>
      </c>
    </row>
    <row r="8768" spans="8:8" ht="15" customHeight="1" x14ac:dyDescent="0.2">
      <c r="H8768" s="19">
        <v>2.16691324399939E-3</v>
      </c>
    </row>
    <row r="8769" spans="8:8" ht="15" customHeight="1" x14ac:dyDescent="0.2">
      <c r="H8769" s="19">
        <v>-1.3835478357138199E-2</v>
      </c>
    </row>
    <row r="8770" spans="8:8" ht="15" customHeight="1" x14ac:dyDescent="0.2">
      <c r="H8770" s="19">
        <v>2.6106543201778E-2</v>
      </c>
    </row>
    <row r="8771" spans="8:8" ht="15" customHeight="1" x14ac:dyDescent="0.2">
      <c r="H8771" s="19">
        <v>1.37321427683733E-2</v>
      </c>
    </row>
    <row r="8772" spans="8:8" ht="15" customHeight="1" x14ac:dyDescent="0.2">
      <c r="H8772" s="19">
        <v>-4.72952085863876E-3</v>
      </c>
    </row>
    <row r="8773" spans="8:8" ht="15" customHeight="1" x14ac:dyDescent="0.2">
      <c r="H8773" s="19">
        <v>1.47672656380622E-2</v>
      </c>
    </row>
    <row r="8774" spans="8:8" ht="15" customHeight="1" x14ac:dyDescent="0.2">
      <c r="H8774" s="19">
        <v>-2.8022606763414598E-3</v>
      </c>
    </row>
    <row r="8775" spans="8:8" ht="15" customHeight="1" x14ac:dyDescent="0.2">
      <c r="H8775" s="19">
        <v>1.43082914832234E-2</v>
      </c>
    </row>
    <row r="8776" spans="8:8" ht="15" customHeight="1" x14ac:dyDescent="0.2">
      <c r="H8776" s="19">
        <v>4.6318410307992003E-3</v>
      </c>
    </row>
    <row r="8777" spans="8:8" ht="15" customHeight="1" x14ac:dyDescent="0.2">
      <c r="H8777" s="19">
        <v>1.6475547860708699E-3</v>
      </c>
    </row>
    <row r="8778" spans="8:8" ht="15" customHeight="1" x14ac:dyDescent="0.2">
      <c r="H8778" s="19">
        <v>-4.8965139665814303E-3</v>
      </c>
    </row>
    <row r="8779" spans="8:8" ht="15" customHeight="1" x14ac:dyDescent="0.2">
      <c r="H8779" s="19">
        <v>1.6709517168384699E-2</v>
      </c>
    </row>
    <row r="8780" spans="8:8" ht="15" customHeight="1" x14ac:dyDescent="0.2">
      <c r="H8780" s="19">
        <v>-7.5451662654762797E-3</v>
      </c>
    </row>
    <row r="8781" spans="8:8" ht="15" customHeight="1" x14ac:dyDescent="0.2">
      <c r="H8781" s="19">
        <v>-5.5121393079066196E-3</v>
      </c>
    </row>
    <row r="8782" spans="8:8" ht="15" customHeight="1" x14ac:dyDescent="0.2">
      <c r="H8782" s="19">
        <v>2.9410866458063501E-2</v>
      </c>
    </row>
    <row r="8783" spans="8:8" ht="15" customHeight="1" x14ac:dyDescent="0.2">
      <c r="H8783" s="19">
        <v>3.8268028356624201E-3</v>
      </c>
    </row>
    <row r="8784" spans="8:8" ht="15" customHeight="1" x14ac:dyDescent="0.2">
      <c r="H8784" s="19">
        <v>-1.02025885952648E-2</v>
      </c>
    </row>
    <row r="8785" spans="8:8" ht="15" customHeight="1" x14ac:dyDescent="0.2">
      <c r="H8785" s="19">
        <v>-1.0472683512784299E-2</v>
      </c>
    </row>
    <row r="8786" spans="8:8" ht="15" customHeight="1" x14ac:dyDescent="0.2">
      <c r="H8786" s="19">
        <v>3.2488214443474901E-3</v>
      </c>
    </row>
    <row r="8787" spans="8:8" ht="15" customHeight="1" x14ac:dyDescent="0.2">
      <c r="H8787" s="19">
        <v>-1.19390740216233E-2</v>
      </c>
    </row>
    <row r="8788" spans="8:8" ht="15" customHeight="1" x14ac:dyDescent="0.2">
      <c r="H8788" s="19">
        <v>4.3566618545073802E-3</v>
      </c>
    </row>
    <row r="8789" spans="8:8" ht="15" customHeight="1" x14ac:dyDescent="0.2">
      <c r="H8789" s="19">
        <v>1.20595783089061E-2</v>
      </c>
    </row>
    <row r="8790" spans="8:8" ht="15" customHeight="1" x14ac:dyDescent="0.2">
      <c r="H8790" s="19">
        <v>9.5060331775449099E-3</v>
      </c>
    </row>
    <row r="8791" spans="8:8" ht="15" customHeight="1" x14ac:dyDescent="0.2">
      <c r="H8791" s="19">
        <v>-3.9987041331584301E-3</v>
      </c>
    </row>
    <row r="8792" spans="8:8" ht="15" customHeight="1" x14ac:dyDescent="0.2">
      <c r="H8792" s="19">
        <v>9.1642274843775906E-3</v>
      </c>
    </row>
    <row r="8793" spans="8:8" ht="15" customHeight="1" x14ac:dyDescent="0.2">
      <c r="H8793" s="19">
        <v>-1.0219512300976801E-2</v>
      </c>
    </row>
    <row r="8794" spans="8:8" ht="15" customHeight="1" x14ac:dyDescent="0.2">
      <c r="H8794" s="19">
        <v>3.7724940778243298E-3</v>
      </c>
    </row>
    <row r="8795" spans="8:8" ht="15" customHeight="1" x14ac:dyDescent="0.2">
      <c r="H8795" s="19">
        <v>2.41676752301061E-2</v>
      </c>
    </row>
    <row r="8796" spans="8:8" ht="15" customHeight="1" x14ac:dyDescent="0.2">
      <c r="H8796" s="19">
        <v>-5.68350067277175E-3</v>
      </c>
    </row>
    <row r="8797" spans="8:8" ht="15" customHeight="1" x14ac:dyDescent="0.2">
      <c r="H8797" s="19">
        <v>-1.2297652684493E-2</v>
      </c>
    </row>
    <row r="8798" spans="8:8" ht="15" customHeight="1" x14ac:dyDescent="0.2">
      <c r="H8798" s="19">
        <v>8.7930431730939198E-3</v>
      </c>
    </row>
    <row r="8799" spans="8:8" ht="15" customHeight="1" x14ac:dyDescent="0.2">
      <c r="H8799" s="19">
        <v>4.1254341560691497E-3</v>
      </c>
    </row>
    <row r="8800" spans="8:8" ht="15" customHeight="1" x14ac:dyDescent="0.2">
      <c r="H8800" s="19">
        <v>1.8100255943753502E-2</v>
      </c>
    </row>
    <row r="8801" spans="8:8" ht="15" customHeight="1" x14ac:dyDescent="0.2">
      <c r="H8801" s="19">
        <v>1.6779450835471402E-2</v>
      </c>
    </row>
    <row r="8802" spans="8:8" ht="15" customHeight="1" x14ac:dyDescent="0.2">
      <c r="H8802" s="19">
        <v>1.0332992286595E-2</v>
      </c>
    </row>
    <row r="8803" spans="8:8" ht="15" customHeight="1" x14ac:dyDescent="0.2">
      <c r="H8803" s="19">
        <v>-5.5305779448837902E-3</v>
      </c>
    </row>
    <row r="8804" spans="8:8" ht="15" customHeight="1" x14ac:dyDescent="0.2">
      <c r="H8804" s="19">
        <v>6.1506794318317796E-3</v>
      </c>
    </row>
    <row r="8805" spans="8:8" ht="15" customHeight="1" x14ac:dyDescent="0.2">
      <c r="H8805" s="19">
        <v>1.2748654579072E-2</v>
      </c>
    </row>
    <row r="8806" spans="8:8" ht="15" customHeight="1" x14ac:dyDescent="0.2">
      <c r="H8806" s="19">
        <v>7.06217249625844E-3</v>
      </c>
    </row>
    <row r="8807" spans="8:8" ht="15" customHeight="1" x14ac:dyDescent="0.2">
      <c r="H8807" s="19">
        <v>-1.7323335364095398E-2</v>
      </c>
    </row>
    <row r="8808" spans="8:8" ht="15" customHeight="1" x14ac:dyDescent="0.2">
      <c r="H8808" s="19">
        <v>1.06480657835553E-2</v>
      </c>
    </row>
    <row r="8809" spans="8:8" ht="15" customHeight="1" x14ac:dyDescent="0.2">
      <c r="H8809" s="19">
        <v>-7.1786642339692801E-3</v>
      </c>
    </row>
    <row r="8810" spans="8:8" ht="15" customHeight="1" x14ac:dyDescent="0.2">
      <c r="H8810" s="19">
        <v>6.9593173675346299E-3</v>
      </c>
    </row>
    <row r="8811" spans="8:8" ht="15" customHeight="1" x14ac:dyDescent="0.2">
      <c r="H8811" s="19">
        <v>5.8040294099231202E-3</v>
      </c>
    </row>
    <row r="8812" spans="8:8" ht="15" customHeight="1" x14ac:dyDescent="0.2">
      <c r="H8812" s="19">
        <v>-1.82769189993064E-3</v>
      </c>
    </row>
    <row r="8813" spans="8:8" ht="15" customHeight="1" x14ac:dyDescent="0.2">
      <c r="H8813" s="19">
        <v>-7.4934858759562904E-3</v>
      </c>
    </row>
    <row r="8814" spans="8:8" ht="15" customHeight="1" x14ac:dyDescent="0.2">
      <c r="H8814" s="19">
        <v>-1.70112853722081E-3</v>
      </c>
    </row>
    <row r="8815" spans="8:8" ht="15" customHeight="1" x14ac:dyDescent="0.2">
      <c r="H8815" s="19">
        <v>-2.4738746201999899E-3</v>
      </c>
    </row>
    <row r="8816" spans="8:8" ht="15" customHeight="1" x14ac:dyDescent="0.2">
      <c r="H8816" s="19">
        <v>6.63548615324463E-3</v>
      </c>
    </row>
    <row r="8817" spans="8:8" ht="15" customHeight="1" x14ac:dyDescent="0.2">
      <c r="H8817" s="19">
        <v>1.34655793218418E-2</v>
      </c>
    </row>
    <row r="8818" spans="8:8" ht="15" customHeight="1" x14ac:dyDescent="0.2">
      <c r="H8818" s="19">
        <v>-7.1659543035392801E-3</v>
      </c>
    </row>
    <row r="8819" spans="8:8" ht="15" customHeight="1" x14ac:dyDescent="0.2">
      <c r="H8819" s="19">
        <v>5.26245481082346E-4</v>
      </c>
    </row>
    <row r="8820" spans="8:8" ht="15" customHeight="1" x14ac:dyDescent="0.2">
      <c r="H8820" s="19">
        <v>-4.9965286634144901E-3</v>
      </c>
    </row>
    <row r="8821" spans="8:8" ht="15" customHeight="1" x14ac:dyDescent="0.2">
      <c r="H8821" s="19">
        <v>-6.80149042503864E-3</v>
      </c>
    </row>
    <row r="8822" spans="8:8" ht="15" customHeight="1" x14ac:dyDescent="0.2">
      <c r="H8822" s="19">
        <v>-1.6773632054522699E-2</v>
      </c>
    </row>
    <row r="8823" spans="8:8" ht="15" customHeight="1" x14ac:dyDescent="0.2">
      <c r="H8823" s="19">
        <v>-8.7629188697668208E-3</v>
      </c>
    </row>
    <row r="8824" spans="8:8" ht="15" customHeight="1" x14ac:dyDescent="0.2">
      <c r="H8824" s="19">
        <v>1.17042798823449E-2</v>
      </c>
    </row>
    <row r="8825" spans="8:8" ht="15" customHeight="1" x14ac:dyDescent="0.2">
      <c r="H8825" s="19">
        <v>1.20345473018049E-2</v>
      </c>
    </row>
    <row r="8826" spans="8:8" ht="15" customHeight="1" x14ac:dyDescent="0.2">
      <c r="H8826" s="19">
        <v>6.2357955813096598E-3</v>
      </c>
    </row>
    <row r="8827" spans="8:8" ht="15" customHeight="1" x14ac:dyDescent="0.2">
      <c r="H8827" s="19">
        <v>-1.6849340296211099E-3</v>
      </c>
    </row>
    <row r="8828" spans="8:8" ht="15" customHeight="1" x14ac:dyDescent="0.2">
      <c r="H8828" s="19">
        <v>-1.94875627769187E-3</v>
      </c>
    </row>
    <row r="8829" spans="8:8" ht="15" customHeight="1" x14ac:dyDescent="0.2">
      <c r="H8829" s="19">
        <v>-7.0296734200695297E-3</v>
      </c>
    </row>
    <row r="8830" spans="8:8" ht="15" customHeight="1" x14ac:dyDescent="0.2">
      <c r="H8830" s="19">
        <v>1.9642049857843699E-4</v>
      </c>
    </row>
    <row r="8831" spans="8:8" ht="15" customHeight="1" x14ac:dyDescent="0.2">
      <c r="H8831" s="19">
        <v>-1.0397624372083801E-2</v>
      </c>
    </row>
    <row r="8832" spans="8:8" ht="15" customHeight="1" x14ac:dyDescent="0.2">
      <c r="H8832" s="19">
        <v>1.8842486243345301E-2</v>
      </c>
    </row>
    <row r="8833" spans="8:8" ht="15" customHeight="1" x14ac:dyDescent="0.2">
      <c r="H8833" s="19">
        <v>-1.2775387744162099E-2</v>
      </c>
    </row>
    <row r="8834" spans="8:8" ht="15" customHeight="1" x14ac:dyDescent="0.2">
      <c r="H8834" s="19">
        <v>-9.9475603383507201E-3</v>
      </c>
    </row>
    <row r="8835" spans="8:8" ht="15" customHeight="1" x14ac:dyDescent="0.2">
      <c r="H8835" s="19">
        <v>4.7664053104588399E-4</v>
      </c>
    </row>
    <row r="8836" spans="8:8" ht="15" customHeight="1" x14ac:dyDescent="0.2">
      <c r="H8836" s="19">
        <v>7.1192484982206001E-3</v>
      </c>
    </row>
    <row r="8837" spans="8:8" ht="15" customHeight="1" x14ac:dyDescent="0.2">
      <c r="H8837" s="19">
        <v>2.1734622191785399E-2</v>
      </c>
    </row>
    <row r="8838" spans="8:8" ht="15" customHeight="1" x14ac:dyDescent="0.2">
      <c r="H8838" s="19">
        <v>6.2513484139866101E-3</v>
      </c>
    </row>
    <row r="8839" spans="8:8" ht="15" customHeight="1" x14ac:dyDescent="0.2">
      <c r="H8839" s="19">
        <v>-6.6054564489026997E-3</v>
      </c>
    </row>
    <row r="8840" spans="8:8" ht="15" customHeight="1" x14ac:dyDescent="0.2">
      <c r="H8840" s="19">
        <v>3.2396069797616099E-3</v>
      </c>
    </row>
    <row r="8841" spans="8:8" ht="15" customHeight="1" x14ac:dyDescent="0.2">
      <c r="H8841" s="19">
        <v>-3.2513968073346099E-3</v>
      </c>
    </row>
    <row r="8842" spans="8:8" ht="15" customHeight="1" x14ac:dyDescent="0.2">
      <c r="H8842" s="19">
        <v>-1.26625746443188E-4</v>
      </c>
    </row>
    <row r="8843" spans="8:8" ht="15" customHeight="1" x14ac:dyDescent="0.2">
      <c r="H8843" s="19">
        <v>-6.58225619808229E-3</v>
      </c>
    </row>
    <row r="8844" spans="8:8" ht="15" customHeight="1" x14ac:dyDescent="0.2">
      <c r="H8844" s="19">
        <v>-1.0761906076444601E-2</v>
      </c>
    </row>
    <row r="8845" spans="8:8" ht="15" customHeight="1" x14ac:dyDescent="0.2">
      <c r="H8845" s="19">
        <v>-1.32969853402722E-3</v>
      </c>
    </row>
    <row r="8846" spans="8:8" ht="15" customHeight="1" x14ac:dyDescent="0.2">
      <c r="H8846" s="19">
        <v>9.1251727634554004E-3</v>
      </c>
    </row>
    <row r="8847" spans="8:8" ht="15" customHeight="1" x14ac:dyDescent="0.2">
      <c r="H8847" s="19">
        <v>-2.3980370093963301E-3</v>
      </c>
    </row>
    <row r="8848" spans="8:8" ht="15" customHeight="1" x14ac:dyDescent="0.2">
      <c r="H8848" s="19">
        <v>-1.3707636049511401E-2</v>
      </c>
    </row>
    <row r="8849" spans="8:8" ht="15" customHeight="1" x14ac:dyDescent="0.2">
      <c r="H8849" s="19">
        <v>2.3236619227410601E-3</v>
      </c>
    </row>
    <row r="8850" spans="8:8" ht="15" customHeight="1" x14ac:dyDescent="0.2">
      <c r="H8850" s="19">
        <v>-4.9841002102569898E-3</v>
      </c>
    </row>
    <row r="8851" spans="8:8" ht="15" customHeight="1" x14ac:dyDescent="0.2">
      <c r="H8851" s="19">
        <v>-3.7451197553243498E-3</v>
      </c>
    </row>
    <row r="8852" spans="8:8" ht="15" customHeight="1" x14ac:dyDescent="0.2">
      <c r="H8852" s="19">
        <v>-2.2036225848025698E-3</v>
      </c>
    </row>
    <row r="8853" spans="8:8" ht="15" customHeight="1" x14ac:dyDescent="0.2">
      <c r="H8853" s="19">
        <v>-1.59976001014536E-3</v>
      </c>
    </row>
    <row r="8854" spans="8:8" ht="15" customHeight="1" x14ac:dyDescent="0.2">
      <c r="H8854" s="19">
        <v>6.3262008978561502E-3</v>
      </c>
    </row>
    <row r="8855" spans="8:8" ht="15" customHeight="1" x14ac:dyDescent="0.2">
      <c r="H8855" s="19">
        <v>8.6763514290724101E-3</v>
      </c>
    </row>
    <row r="8856" spans="8:8" ht="15" customHeight="1" x14ac:dyDescent="0.2">
      <c r="H8856" s="19">
        <v>8.3372408964889101E-3</v>
      </c>
    </row>
    <row r="8857" spans="8:8" ht="15" customHeight="1" x14ac:dyDescent="0.2">
      <c r="H8857" s="19">
        <v>-1.0737958460126399E-2</v>
      </c>
    </row>
    <row r="8858" spans="8:8" ht="15" customHeight="1" x14ac:dyDescent="0.2">
      <c r="H8858" s="19">
        <v>8.4015583594802701E-3</v>
      </c>
    </row>
    <row r="8859" spans="8:8" ht="15" customHeight="1" x14ac:dyDescent="0.2">
      <c r="H8859" s="19">
        <v>-8.1733648266080206E-3</v>
      </c>
    </row>
    <row r="8860" spans="8:8" ht="15" customHeight="1" x14ac:dyDescent="0.2">
      <c r="H8860" s="19">
        <v>-2.53796370801712E-3</v>
      </c>
    </row>
    <row r="8861" spans="8:8" ht="15" customHeight="1" x14ac:dyDescent="0.2">
      <c r="H8861" s="19">
        <v>3.3308702241162001E-4</v>
      </c>
    </row>
    <row r="8862" spans="8:8" ht="15" customHeight="1" x14ac:dyDescent="0.2">
      <c r="H8862" s="19">
        <v>-4.8908563852269901E-4</v>
      </c>
    </row>
    <row r="8863" spans="8:8" ht="15" customHeight="1" x14ac:dyDescent="0.2">
      <c r="H8863" s="19">
        <v>1.95209309351775E-2</v>
      </c>
    </row>
    <row r="8864" spans="8:8" ht="15" customHeight="1" x14ac:dyDescent="0.2">
      <c r="H8864" s="19">
        <v>1.08368629122866E-2</v>
      </c>
    </row>
    <row r="8865" spans="8:8" ht="15" customHeight="1" x14ac:dyDescent="0.2">
      <c r="H8865" s="19">
        <v>-5.4392022378136904E-3</v>
      </c>
    </row>
    <row r="8866" spans="8:8" ht="15" customHeight="1" x14ac:dyDescent="0.2">
      <c r="H8866" s="19">
        <v>-3.1253776899108701E-3</v>
      </c>
    </row>
    <row r="8867" spans="8:8" ht="15" customHeight="1" x14ac:dyDescent="0.2">
      <c r="H8867" s="19">
        <v>-3.0101701532414802E-3</v>
      </c>
    </row>
    <row r="8868" spans="8:8" ht="15" customHeight="1" x14ac:dyDescent="0.2">
      <c r="H8868" s="19">
        <v>-1.70664167786486E-3</v>
      </c>
    </row>
    <row r="8869" spans="8:8" ht="15" customHeight="1" x14ac:dyDescent="0.2">
      <c r="H8869" s="19">
        <v>-2.3920008083705601E-2</v>
      </c>
    </row>
    <row r="8870" spans="8:8" ht="15" customHeight="1" x14ac:dyDescent="0.2">
      <c r="H8870" s="19">
        <v>-2.4246712778878601E-3</v>
      </c>
    </row>
    <row r="8871" spans="8:8" ht="15" customHeight="1" x14ac:dyDescent="0.2">
      <c r="H8871" s="19">
        <v>-2.4913052470699601E-3</v>
      </c>
    </row>
    <row r="8872" spans="8:8" ht="15" customHeight="1" x14ac:dyDescent="0.2">
      <c r="H8872" s="19">
        <v>-3.8413131228991499E-3</v>
      </c>
    </row>
    <row r="8873" spans="8:8" ht="15" customHeight="1" x14ac:dyDescent="0.2">
      <c r="H8873" s="19">
        <v>1.26225297538735E-2</v>
      </c>
    </row>
    <row r="8874" spans="8:8" ht="15" customHeight="1" x14ac:dyDescent="0.2">
      <c r="H8874" s="19">
        <v>5.34204225164736E-3</v>
      </c>
    </row>
    <row r="8875" spans="8:8" ht="15" customHeight="1" x14ac:dyDescent="0.2">
      <c r="H8875" s="19">
        <v>4.3617112743807003E-3</v>
      </c>
    </row>
    <row r="8876" spans="8:8" ht="15" customHeight="1" x14ac:dyDescent="0.2">
      <c r="H8876" s="19">
        <v>-1.19438391540278E-2</v>
      </c>
    </row>
    <row r="8877" spans="8:8" ht="15" customHeight="1" x14ac:dyDescent="0.2">
      <c r="H8877" s="19">
        <v>-8.7716997819924005E-3</v>
      </c>
    </row>
    <row r="8878" spans="8:8" ht="15" customHeight="1" x14ac:dyDescent="0.2">
      <c r="H8878" s="19">
        <v>-5.3203237601702402E-3</v>
      </c>
    </row>
    <row r="8879" spans="8:8" ht="15" customHeight="1" x14ac:dyDescent="0.2">
      <c r="H8879" s="19">
        <v>3.8224327261595099E-3</v>
      </c>
    </row>
    <row r="8880" spans="8:8" ht="15" customHeight="1" x14ac:dyDescent="0.2">
      <c r="H8880" s="19">
        <v>-5.0374600422789398E-4</v>
      </c>
    </row>
    <row r="8881" spans="8:8" ht="15" customHeight="1" x14ac:dyDescent="0.2">
      <c r="H8881" s="19">
        <v>-4.0167184304263099E-3</v>
      </c>
    </row>
    <row r="8882" spans="8:8" ht="15" customHeight="1" x14ac:dyDescent="0.2">
      <c r="H8882" s="19">
        <v>1.48259109600818E-2</v>
      </c>
    </row>
    <row r="8883" spans="8:8" ht="15" customHeight="1" x14ac:dyDescent="0.2">
      <c r="H8883" s="19">
        <v>-4.1403920649698599E-3</v>
      </c>
    </row>
    <row r="8884" spans="8:8" ht="15" customHeight="1" x14ac:dyDescent="0.2">
      <c r="H8884" s="19">
        <v>-2.9114018865535802E-3</v>
      </c>
    </row>
    <row r="8885" spans="8:8" ht="15" customHeight="1" x14ac:dyDescent="0.2">
      <c r="H8885" s="19">
        <v>-2.3583002546106999E-2</v>
      </c>
    </row>
    <row r="8886" spans="8:8" ht="15" customHeight="1" x14ac:dyDescent="0.2">
      <c r="H8886" s="19">
        <v>-2.7674461451072702E-3</v>
      </c>
    </row>
    <row r="8887" spans="8:8" ht="15" customHeight="1" x14ac:dyDescent="0.2">
      <c r="H8887" s="19">
        <v>-2.05404900374343E-2</v>
      </c>
    </row>
    <row r="8888" spans="8:8" ht="15" customHeight="1" x14ac:dyDescent="0.2">
      <c r="H8888" s="19">
        <v>5.2725330037177104E-3</v>
      </c>
    </row>
    <row r="8889" spans="8:8" ht="15" customHeight="1" x14ac:dyDescent="0.2">
      <c r="H8889" s="19">
        <v>1.7745823413845799E-2</v>
      </c>
    </row>
    <row r="8890" spans="8:8" ht="15" customHeight="1" x14ac:dyDescent="0.2">
      <c r="H8890" s="19">
        <v>1.18165207613337E-2</v>
      </c>
    </row>
    <row r="8891" spans="8:8" ht="15" customHeight="1" x14ac:dyDescent="0.2">
      <c r="H8891" s="19">
        <v>5.3029064658193696E-3</v>
      </c>
    </row>
    <row r="8892" spans="8:8" ht="15" customHeight="1" x14ac:dyDescent="0.2">
      <c r="H8892" s="19">
        <v>-4.6273880987272899E-3</v>
      </c>
    </row>
    <row r="8893" spans="8:8" ht="15" customHeight="1" x14ac:dyDescent="0.2">
      <c r="H8893" s="19">
        <v>-9.5153261930271404E-3</v>
      </c>
    </row>
    <row r="8894" spans="8:8" ht="15" customHeight="1" x14ac:dyDescent="0.2">
      <c r="H8894" s="19">
        <v>1.44977756370716E-2</v>
      </c>
    </row>
    <row r="8895" spans="8:8" ht="15" customHeight="1" x14ac:dyDescent="0.2">
      <c r="H8895" s="19">
        <v>-1.0493679710643501E-3</v>
      </c>
    </row>
    <row r="8896" spans="8:8" ht="15" customHeight="1" x14ac:dyDescent="0.2">
      <c r="H8896" s="19">
        <v>-3.06978273785373E-3</v>
      </c>
    </row>
    <row r="8897" spans="8:8" ht="15" customHeight="1" x14ac:dyDescent="0.2">
      <c r="H8897" s="19">
        <v>-1.69578047144231E-2</v>
      </c>
    </row>
    <row r="8898" spans="8:8" ht="15" customHeight="1" x14ac:dyDescent="0.2">
      <c r="H8898" s="19">
        <v>6.2353786389313199E-3</v>
      </c>
    </row>
    <row r="8899" spans="8:8" ht="15" customHeight="1" x14ac:dyDescent="0.2">
      <c r="H8899" s="19">
        <v>-5.4187317825936396E-3</v>
      </c>
    </row>
    <row r="8900" spans="8:8" ht="15" customHeight="1" x14ac:dyDescent="0.2">
      <c r="H8900" s="19">
        <v>1.8133600877217802E-2</v>
      </c>
    </row>
    <row r="8901" spans="8:8" ht="15" customHeight="1" x14ac:dyDescent="0.2">
      <c r="H8901" s="19">
        <v>4.9903746828941801E-3</v>
      </c>
    </row>
    <row r="8902" spans="8:8" ht="15" customHeight="1" x14ac:dyDescent="0.2">
      <c r="H8902" s="19">
        <v>9.6998851955849893E-3</v>
      </c>
    </row>
    <row r="8903" spans="8:8" ht="15" customHeight="1" x14ac:dyDescent="0.2">
      <c r="H8903" s="19">
        <v>1.1247078820694501E-2</v>
      </c>
    </row>
    <row r="8904" spans="8:8" ht="15" customHeight="1" x14ac:dyDescent="0.2">
      <c r="H8904" s="19">
        <v>3.3609127158656601E-4</v>
      </c>
    </row>
    <row r="8905" spans="8:8" ht="15" customHeight="1" x14ac:dyDescent="0.2">
      <c r="H8905" s="19">
        <v>-1.11978626023141E-3</v>
      </c>
    </row>
    <row r="8906" spans="8:8" ht="15" customHeight="1" x14ac:dyDescent="0.2">
      <c r="H8906" s="19">
        <v>3.6258663335026402E-3</v>
      </c>
    </row>
    <row r="8907" spans="8:8" ht="15" customHeight="1" x14ac:dyDescent="0.2">
      <c r="H8907" s="19">
        <v>-2.4959564615508198E-3</v>
      </c>
    </row>
    <row r="8908" spans="8:8" ht="15" customHeight="1" x14ac:dyDescent="0.2">
      <c r="H8908" s="19">
        <v>-3.2349890268492999E-3</v>
      </c>
    </row>
    <row r="8909" spans="8:8" ht="15" customHeight="1" x14ac:dyDescent="0.2">
      <c r="H8909" s="19">
        <v>-5.8121678182652299E-3</v>
      </c>
    </row>
    <row r="8910" spans="8:8" ht="15" customHeight="1" x14ac:dyDescent="0.2">
      <c r="H8910" s="19">
        <v>-1.6904849031845599E-2</v>
      </c>
    </row>
    <row r="8911" spans="8:8" ht="15" customHeight="1" x14ac:dyDescent="0.2">
      <c r="H8911" s="19">
        <v>-3.8214715239210601E-3</v>
      </c>
    </row>
    <row r="8912" spans="8:8" ht="15" customHeight="1" x14ac:dyDescent="0.2">
      <c r="H8912" s="19">
        <v>3.6791869583318701E-3</v>
      </c>
    </row>
    <row r="8913" spans="8:8" ht="15" customHeight="1" x14ac:dyDescent="0.2">
      <c r="H8913" s="19">
        <v>1.17245780436377E-2</v>
      </c>
    </row>
    <row r="8914" spans="8:8" ht="15" customHeight="1" x14ac:dyDescent="0.2">
      <c r="H8914" s="19">
        <v>3.2928410955043799E-3</v>
      </c>
    </row>
    <row r="8915" spans="8:8" ht="15" customHeight="1" x14ac:dyDescent="0.2">
      <c r="H8915" s="19">
        <v>6.98864281326648E-3</v>
      </c>
    </row>
    <row r="8916" spans="8:8" ht="15" customHeight="1" x14ac:dyDescent="0.2">
      <c r="H8916" s="19">
        <v>-1.13168060176978E-2</v>
      </c>
    </row>
    <row r="8917" spans="8:8" ht="15" customHeight="1" x14ac:dyDescent="0.2">
      <c r="H8917" s="19">
        <v>-1.35200805025984E-4</v>
      </c>
    </row>
    <row r="8918" spans="8:8" ht="15" customHeight="1" x14ac:dyDescent="0.2">
      <c r="H8918" s="19">
        <v>2.9827371132188601E-3</v>
      </c>
    </row>
    <row r="8919" spans="8:8" ht="15" customHeight="1" x14ac:dyDescent="0.2">
      <c r="H8919" s="19">
        <v>-7.6660623621165698E-3</v>
      </c>
    </row>
    <row r="8920" spans="8:8" ht="15" customHeight="1" x14ac:dyDescent="0.2">
      <c r="H8920" s="19">
        <v>-6.7799971146603397E-3</v>
      </c>
    </row>
    <row r="8921" spans="8:8" ht="15" customHeight="1" x14ac:dyDescent="0.2">
      <c r="H8921" s="19">
        <v>-3.5359314709831899E-3</v>
      </c>
    </row>
    <row r="8922" spans="8:8" ht="15" customHeight="1" x14ac:dyDescent="0.2">
      <c r="H8922" s="19">
        <v>6.6629956286419901E-4</v>
      </c>
    </row>
    <row r="8923" spans="8:8" ht="15" customHeight="1" x14ac:dyDescent="0.2">
      <c r="H8923" s="19">
        <v>-8.9853391094187605E-4</v>
      </c>
    </row>
    <row r="8924" spans="8:8" ht="15" customHeight="1" x14ac:dyDescent="0.2">
      <c r="H8924" s="19">
        <v>7.1762065999352604E-3</v>
      </c>
    </row>
    <row r="8925" spans="8:8" ht="15" customHeight="1" x14ac:dyDescent="0.2">
      <c r="H8925" s="19">
        <v>1.8419666779736599E-2</v>
      </c>
    </row>
    <row r="8926" spans="8:8" ht="15" customHeight="1" x14ac:dyDescent="0.2">
      <c r="H8926" s="19">
        <v>5.2903925825567603E-3</v>
      </c>
    </row>
    <row r="8927" spans="8:8" ht="15" customHeight="1" x14ac:dyDescent="0.2">
      <c r="H8927" s="19">
        <v>-1.0259957272185901E-2</v>
      </c>
    </row>
    <row r="8928" spans="8:8" ht="15" customHeight="1" x14ac:dyDescent="0.2">
      <c r="H8928" s="19">
        <v>-6.1202147791464302E-3</v>
      </c>
    </row>
    <row r="8929" spans="8:8" ht="15" customHeight="1" x14ac:dyDescent="0.2">
      <c r="H8929" s="19">
        <v>-7.2672120362196804E-3</v>
      </c>
    </row>
    <row r="8930" spans="8:8" ht="15" customHeight="1" x14ac:dyDescent="0.2">
      <c r="H8930" s="19">
        <v>-4.3937613486681199E-3</v>
      </c>
    </row>
    <row r="8931" spans="8:8" ht="15" customHeight="1" x14ac:dyDescent="0.2">
      <c r="H8931" s="19">
        <v>-4.6470483155884902E-3</v>
      </c>
    </row>
    <row r="8932" spans="8:8" ht="15" customHeight="1" x14ac:dyDescent="0.2">
      <c r="H8932" s="19">
        <v>-1.42304590723052E-3</v>
      </c>
    </row>
    <row r="8933" spans="8:8" ht="15" customHeight="1" x14ac:dyDescent="0.2">
      <c r="H8933" s="19">
        <v>1.9897709356493001E-2</v>
      </c>
    </row>
    <row r="8934" spans="8:8" ht="15" customHeight="1" x14ac:dyDescent="0.2">
      <c r="H8934" s="19">
        <v>4.1183758206039703E-4</v>
      </c>
    </row>
    <row r="8935" spans="8:8" ht="15" customHeight="1" x14ac:dyDescent="0.2">
      <c r="H8935" s="19">
        <v>-2.9021506872411101E-4</v>
      </c>
    </row>
    <row r="8936" spans="8:8" ht="15" customHeight="1" x14ac:dyDescent="0.2">
      <c r="H8936" s="19">
        <v>-2.3151460054622402E-3</v>
      </c>
    </row>
    <row r="8937" spans="8:8" ht="15" customHeight="1" x14ac:dyDescent="0.2">
      <c r="H8937" s="19">
        <v>9.6754946291650306E-3</v>
      </c>
    </row>
    <row r="8938" spans="8:8" ht="15" customHeight="1" x14ac:dyDescent="0.2">
      <c r="H8938" s="19">
        <v>-3.1513861334270298E-3</v>
      </c>
    </row>
    <row r="8939" spans="8:8" ht="15" customHeight="1" x14ac:dyDescent="0.2">
      <c r="H8939" s="19">
        <v>8.3122576499051202E-4</v>
      </c>
    </row>
    <row r="8940" spans="8:8" ht="15" customHeight="1" x14ac:dyDescent="0.2">
      <c r="H8940" s="19">
        <v>-3.0478229731725299E-3</v>
      </c>
    </row>
    <row r="8941" spans="8:8" ht="15" customHeight="1" x14ac:dyDescent="0.2">
      <c r="H8941" s="19">
        <v>1.7133611246471199E-3</v>
      </c>
    </row>
    <row r="8942" spans="8:8" ht="15" customHeight="1" x14ac:dyDescent="0.2">
      <c r="H8942" s="19">
        <v>9.2420333592767492E-3</v>
      </c>
    </row>
    <row r="8943" spans="8:8" ht="15" customHeight="1" x14ac:dyDescent="0.2">
      <c r="H8943" s="19">
        <v>1.5598917297317699E-3</v>
      </c>
    </row>
    <row r="8944" spans="8:8" ht="15" customHeight="1" x14ac:dyDescent="0.2">
      <c r="H8944" s="19">
        <v>7.6226200980300599E-3</v>
      </c>
    </row>
    <row r="8945" spans="8:8" ht="15" customHeight="1" x14ac:dyDescent="0.2">
      <c r="H8945" s="19">
        <v>-5.6684943790361198E-3</v>
      </c>
    </row>
    <row r="8946" spans="8:8" ht="15" customHeight="1" x14ac:dyDescent="0.2">
      <c r="H8946" s="19">
        <v>9.3630094501493295E-3</v>
      </c>
    </row>
    <row r="8947" spans="8:8" ht="15" customHeight="1" x14ac:dyDescent="0.2">
      <c r="H8947" s="19">
        <v>2.37344543027265E-3</v>
      </c>
    </row>
    <row r="8948" spans="8:8" ht="15" customHeight="1" x14ac:dyDescent="0.2">
      <c r="H8948" s="19">
        <v>-4.5824193935254699E-3</v>
      </c>
    </row>
    <row r="8949" spans="8:8" ht="15" customHeight="1" x14ac:dyDescent="0.2">
      <c r="H8949" s="19">
        <v>-8.92910176754853E-3</v>
      </c>
    </row>
    <row r="8950" spans="8:8" ht="15" customHeight="1" x14ac:dyDescent="0.2">
      <c r="H8950" s="19">
        <v>1.22721887854695E-2</v>
      </c>
    </row>
    <row r="8951" spans="8:8" ht="15" customHeight="1" x14ac:dyDescent="0.2">
      <c r="H8951" s="19">
        <v>2.3144220015402402E-3</v>
      </c>
    </row>
    <row r="8952" spans="8:8" ht="15" customHeight="1" x14ac:dyDescent="0.2">
      <c r="H8952" s="19">
        <v>-6.1728387975870198E-3</v>
      </c>
    </row>
    <row r="8953" spans="8:8" ht="15" customHeight="1" x14ac:dyDescent="0.2">
      <c r="H8953" s="19">
        <v>-5.11095122020685E-3</v>
      </c>
    </row>
    <row r="8954" spans="8:8" ht="15" customHeight="1" x14ac:dyDescent="0.2">
      <c r="H8954" s="19">
        <v>1.61930388354301E-2</v>
      </c>
    </row>
    <row r="8955" spans="8:8" ht="15" customHeight="1" x14ac:dyDescent="0.2">
      <c r="H8955" s="19">
        <v>-1.59638625248874E-2</v>
      </c>
    </row>
    <row r="8956" spans="8:8" ht="15" customHeight="1" x14ac:dyDescent="0.2">
      <c r="H8956" s="19">
        <v>4.9963465139845498E-3</v>
      </c>
    </row>
    <row r="8957" spans="8:8" ht="15" customHeight="1" x14ac:dyDescent="0.2">
      <c r="H8957" s="19">
        <v>7.4252009523596302E-3</v>
      </c>
    </row>
    <row r="8958" spans="8:8" ht="15" customHeight="1" x14ac:dyDescent="0.2">
      <c r="H8958" s="19">
        <v>-6.32699400104086E-3</v>
      </c>
    </row>
    <row r="8959" spans="8:8" ht="15" customHeight="1" x14ac:dyDescent="0.2">
      <c r="H8959" s="19">
        <v>-3.50660850546337E-3</v>
      </c>
    </row>
    <row r="8960" spans="8:8" ht="15" customHeight="1" x14ac:dyDescent="0.2">
      <c r="H8960" s="19">
        <v>6.5190906843358204E-4</v>
      </c>
    </row>
    <row r="8961" spans="8:8" ht="15" customHeight="1" x14ac:dyDescent="0.2">
      <c r="H8961" s="19">
        <v>-8.3996758367031404E-5</v>
      </c>
    </row>
    <row r="8962" spans="8:8" ht="15" customHeight="1" x14ac:dyDescent="0.2">
      <c r="H8962" s="19">
        <v>2.0324631588294801E-2</v>
      </c>
    </row>
    <row r="8963" spans="8:8" ht="15" customHeight="1" x14ac:dyDescent="0.2">
      <c r="H8963" s="19">
        <v>1.35918567797232E-2</v>
      </c>
    </row>
    <row r="8964" spans="8:8" ht="15" customHeight="1" x14ac:dyDescent="0.2">
      <c r="H8964" s="19">
        <v>-3.9908705449282801E-3</v>
      </c>
    </row>
    <row r="8965" spans="8:8" ht="15" customHeight="1" x14ac:dyDescent="0.2">
      <c r="H8965" s="19">
        <v>-1.20883143223596E-2</v>
      </c>
    </row>
    <row r="8966" spans="8:8" ht="15" customHeight="1" x14ac:dyDescent="0.2">
      <c r="H8966" s="19">
        <v>3.0270944913961201E-3</v>
      </c>
    </row>
    <row r="8967" spans="8:8" ht="15" customHeight="1" x14ac:dyDescent="0.2">
      <c r="H8967" s="19">
        <v>-1.2412815529567699E-2</v>
      </c>
    </row>
    <row r="8968" spans="8:8" ht="15" customHeight="1" x14ac:dyDescent="0.2">
      <c r="H8968" s="19">
        <v>-1.29122873796152E-2</v>
      </c>
    </row>
    <row r="8969" spans="8:8" ht="15" customHeight="1" x14ac:dyDescent="0.2">
      <c r="H8969" s="19">
        <v>-1.11844488976643E-2</v>
      </c>
    </row>
    <row r="8970" spans="8:8" ht="15" customHeight="1" x14ac:dyDescent="0.2">
      <c r="H8970" s="19">
        <v>-3.8238271147832698E-3</v>
      </c>
    </row>
    <row r="8971" spans="8:8" ht="15" customHeight="1" x14ac:dyDescent="0.2">
      <c r="H8971" s="19">
        <v>-5.1574590791297501E-3</v>
      </c>
    </row>
    <row r="8972" spans="8:8" ht="15" customHeight="1" x14ac:dyDescent="0.2">
      <c r="H8972" s="19">
        <v>1.4541422346873001E-2</v>
      </c>
    </row>
    <row r="8973" spans="8:8" ht="15" customHeight="1" x14ac:dyDescent="0.2">
      <c r="H8973" s="19">
        <v>-6.4270179139067996E-4</v>
      </c>
    </row>
    <row r="8974" spans="8:8" ht="15" customHeight="1" x14ac:dyDescent="0.2">
      <c r="H8974" s="19">
        <v>1.6626577148145701E-2</v>
      </c>
    </row>
    <row r="8975" spans="8:8" ht="15" customHeight="1" x14ac:dyDescent="0.2">
      <c r="H8975" s="19">
        <v>6.9491719896265097E-3</v>
      </c>
    </row>
    <row r="8976" spans="8:8" ht="15" customHeight="1" x14ac:dyDescent="0.2">
      <c r="H8976" s="19">
        <v>1.11643499115143E-2</v>
      </c>
    </row>
    <row r="8977" spans="8:8" ht="15" customHeight="1" x14ac:dyDescent="0.2">
      <c r="H8977" s="19">
        <v>-2.2022508453061501E-2</v>
      </c>
    </row>
    <row r="8978" spans="8:8" ht="15" customHeight="1" x14ac:dyDescent="0.2">
      <c r="H8978" s="19">
        <v>1.7849321098431899E-2</v>
      </c>
    </row>
    <row r="8979" spans="8:8" ht="15" customHeight="1" x14ac:dyDescent="0.2">
      <c r="H8979" s="19">
        <v>7.6360141341270601E-3</v>
      </c>
    </row>
    <row r="8980" spans="8:8" ht="15" customHeight="1" x14ac:dyDescent="0.2">
      <c r="H8980" s="19">
        <v>1.15599097998991E-2</v>
      </c>
    </row>
    <row r="8981" spans="8:8" ht="15" customHeight="1" x14ac:dyDescent="0.2">
      <c r="H8981" s="19">
        <v>-3.6710422118324099E-3</v>
      </c>
    </row>
    <row r="8982" spans="8:8" ht="15" customHeight="1" x14ac:dyDescent="0.2">
      <c r="H8982" s="19">
        <v>5.1261114457937902E-5</v>
      </c>
    </row>
    <row r="8983" spans="8:8" ht="15" customHeight="1" x14ac:dyDescent="0.2">
      <c r="H8983" s="19">
        <v>2.5236379398332901E-2</v>
      </c>
    </row>
    <row r="8984" spans="8:8" ht="15" customHeight="1" x14ac:dyDescent="0.2">
      <c r="H8984" s="19">
        <v>-7.8460085577975406E-3</v>
      </c>
    </row>
    <row r="8985" spans="8:8" ht="15" customHeight="1" x14ac:dyDescent="0.2">
      <c r="H8985" s="19">
        <v>6.40804943344038E-4</v>
      </c>
    </row>
    <row r="8986" spans="8:8" ht="15" customHeight="1" x14ac:dyDescent="0.2">
      <c r="H8986" s="19">
        <v>-2.2091109746366E-3</v>
      </c>
    </row>
    <row r="8987" spans="8:8" ht="15" customHeight="1" x14ac:dyDescent="0.2">
      <c r="H8987" s="19">
        <v>1.0204052721861E-2</v>
      </c>
    </row>
    <row r="8988" spans="8:8" ht="15" customHeight="1" x14ac:dyDescent="0.2">
      <c r="H8988" s="19">
        <v>6.9677450190545999E-3</v>
      </c>
    </row>
    <row r="8989" spans="8:8" ht="15" customHeight="1" x14ac:dyDescent="0.2">
      <c r="H8989" s="19">
        <v>-7.9005475274989707E-3</v>
      </c>
    </row>
    <row r="8990" spans="8:8" ht="15" customHeight="1" x14ac:dyDescent="0.2">
      <c r="H8990" s="19">
        <v>1.5413842960449E-2</v>
      </c>
    </row>
    <row r="8991" spans="8:8" ht="15" customHeight="1" x14ac:dyDescent="0.2">
      <c r="H8991" s="19">
        <v>-1.36188586383032E-2</v>
      </c>
    </row>
    <row r="8992" spans="8:8" ht="15" customHeight="1" x14ac:dyDescent="0.2">
      <c r="H8992" s="19">
        <v>-9.3681857825712294E-3</v>
      </c>
    </row>
    <row r="8993" spans="8:8" ht="15" customHeight="1" x14ac:dyDescent="0.2">
      <c r="H8993" s="19">
        <v>8.4104604259484309E-3</v>
      </c>
    </row>
    <row r="8994" spans="8:8" ht="15" customHeight="1" x14ac:dyDescent="0.2">
      <c r="H8994" s="19">
        <v>-2.66978049144183E-2</v>
      </c>
    </row>
    <row r="8995" spans="8:8" ht="15" customHeight="1" x14ac:dyDescent="0.2">
      <c r="H8995" s="19">
        <v>8.3951102934254306E-3</v>
      </c>
    </row>
    <row r="8996" spans="8:8" ht="15" customHeight="1" x14ac:dyDescent="0.2">
      <c r="H8996" s="19">
        <v>-5.8275998187619802E-3</v>
      </c>
    </row>
    <row r="8997" spans="8:8" ht="15" customHeight="1" x14ac:dyDescent="0.2">
      <c r="H8997" s="19">
        <v>-1.8031438433341498E-2</v>
      </c>
    </row>
    <row r="8998" spans="8:8" ht="15" customHeight="1" x14ac:dyDescent="0.2">
      <c r="H8998" s="19">
        <v>1.50859074364112E-3</v>
      </c>
    </row>
    <row r="8999" spans="8:8" ht="15" customHeight="1" x14ac:dyDescent="0.2">
      <c r="H8999" s="19">
        <v>2.95644306314503E-3</v>
      </c>
    </row>
    <row r="9000" spans="8:8" ht="15" customHeight="1" x14ac:dyDescent="0.2">
      <c r="H9000" s="19">
        <v>9.8190583174111792E-3</v>
      </c>
    </row>
    <row r="9001" spans="8:8" ht="15" customHeight="1" x14ac:dyDescent="0.2">
      <c r="H9001" s="19">
        <v>3.1439768352579801E-3</v>
      </c>
    </row>
    <row r="9002" spans="8:8" ht="15" customHeight="1" x14ac:dyDescent="0.2">
      <c r="H9002" s="19">
        <v>-4.67886413107272E-3</v>
      </c>
    </row>
    <row r="9003" spans="8:8" ht="15" customHeight="1" x14ac:dyDescent="0.2">
      <c r="H9003" s="19">
        <v>6.1117218725861098E-3</v>
      </c>
    </row>
    <row r="9004" spans="8:8" ht="15" customHeight="1" x14ac:dyDescent="0.2">
      <c r="H9004" s="19">
        <v>-7.2772559118992296E-3</v>
      </c>
    </row>
    <row r="9005" spans="8:8" ht="15" customHeight="1" x14ac:dyDescent="0.2">
      <c r="H9005" s="19">
        <v>-1.26209185067891E-3</v>
      </c>
    </row>
    <row r="9006" spans="8:8" ht="15" customHeight="1" x14ac:dyDescent="0.2">
      <c r="H9006" s="19">
        <v>8.4211886248981404E-4</v>
      </c>
    </row>
    <row r="9007" spans="8:8" ht="15" customHeight="1" x14ac:dyDescent="0.2">
      <c r="H9007" s="19">
        <v>-3.46517807932289E-3</v>
      </c>
    </row>
    <row r="9008" spans="8:8" ht="15" customHeight="1" x14ac:dyDescent="0.2">
      <c r="H9008" s="19">
        <v>-3.0559811991649902E-3</v>
      </c>
    </row>
    <row r="9009" spans="8:8" ht="15" customHeight="1" x14ac:dyDescent="0.2">
      <c r="H9009" s="19">
        <v>-1.0351120684178299E-2</v>
      </c>
    </row>
    <row r="9010" spans="8:8" ht="15" customHeight="1" x14ac:dyDescent="0.2">
      <c r="H9010" s="19">
        <v>1.5594115919969199E-3</v>
      </c>
    </row>
    <row r="9011" spans="8:8" ht="15" customHeight="1" x14ac:dyDescent="0.2">
      <c r="H9011" s="19">
        <v>2.1731772265693099E-2</v>
      </c>
    </row>
    <row r="9012" spans="8:8" ht="15" customHeight="1" x14ac:dyDescent="0.2">
      <c r="H9012" s="19">
        <v>-3.2555903054821301E-3</v>
      </c>
    </row>
    <row r="9013" spans="8:8" ht="15" customHeight="1" x14ac:dyDescent="0.2">
      <c r="H9013" s="19">
        <v>-2.0524225711633301E-2</v>
      </c>
    </row>
    <row r="9014" spans="8:8" ht="15" customHeight="1" x14ac:dyDescent="0.2">
      <c r="H9014" s="19">
        <v>5.1369251265868596E-3</v>
      </c>
    </row>
    <row r="9015" spans="8:8" ht="15" customHeight="1" x14ac:dyDescent="0.2">
      <c r="H9015" s="19">
        <v>4.9266372834644101E-3</v>
      </c>
    </row>
    <row r="9016" spans="8:8" ht="15" customHeight="1" x14ac:dyDescent="0.2">
      <c r="H9016" s="19">
        <v>1.9762258609089801E-2</v>
      </c>
    </row>
    <row r="9017" spans="8:8" ht="15" customHeight="1" x14ac:dyDescent="0.2">
      <c r="H9017" s="19">
        <v>5.9449077688324796E-3</v>
      </c>
    </row>
    <row r="9018" spans="8:8" ht="15" customHeight="1" x14ac:dyDescent="0.2">
      <c r="H9018" s="19">
        <v>-8.2352799243726807E-3</v>
      </c>
    </row>
    <row r="9019" spans="8:8" ht="15" customHeight="1" x14ac:dyDescent="0.2">
      <c r="H9019" s="19">
        <v>-2.1269439707281598E-3</v>
      </c>
    </row>
    <row r="9020" spans="8:8" ht="15" customHeight="1" x14ac:dyDescent="0.2">
      <c r="H9020" s="19">
        <v>2.0653650388441102E-3</v>
      </c>
    </row>
    <row r="9021" spans="8:8" ht="15" customHeight="1" x14ac:dyDescent="0.2">
      <c r="H9021" s="19">
        <v>5.2829080276738001E-3</v>
      </c>
    </row>
    <row r="9022" spans="8:8" ht="15" customHeight="1" x14ac:dyDescent="0.2">
      <c r="H9022" s="19">
        <v>2.2827890092076701E-3</v>
      </c>
    </row>
    <row r="9023" spans="8:8" ht="15" customHeight="1" x14ac:dyDescent="0.2">
      <c r="H9023" s="19">
        <v>-9.3819148872260807E-3</v>
      </c>
    </row>
    <row r="9024" spans="8:8" ht="15" customHeight="1" x14ac:dyDescent="0.2">
      <c r="H9024" s="19">
        <v>-1.4637057362037501E-2</v>
      </c>
    </row>
    <row r="9025" spans="8:8" ht="15" customHeight="1" x14ac:dyDescent="0.2">
      <c r="H9025" s="19">
        <v>2.3427208950775298E-3</v>
      </c>
    </row>
    <row r="9026" spans="8:8" ht="15" customHeight="1" x14ac:dyDescent="0.2">
      <c r="H9026" s="19">
        <v>-1.9188130568607301E-2</v>
      </c>
    </row>
    <row r="9027" spans="8:8" ht="15" customHeight="1" x14ac:dyDescent="0.2">
      <c r="H9027" s="19">
        <v>9.6667772048936295E-3</v>
      </c>
    </row>
    <row r="9028" spans="8:8" ht="15" customHeight="1" x14ac:dyDescent="0.2">
      <c r="H9028" s="19">
        <v>1.6937968818593599E-4</v>
      </c>
    </row>
    <row r="9029" spans="8:8" ht="15" customHeight="1" x14ac:dyDescent="0.2">
      <c r="H9029" s="19">
        <v>3.69265309430147E-3</v>
      </c>
    </row>
    <row r="9030" spans="8:8" ht="15" customHeight="1" x14ac:dyDescent="0.2">
      <c r="H9030" s="19">
        <v>4.4989727279275398E-3</v>
      </c>
    </row>
    <row r="9031" spans="8:8" ht="15" customHeight="1" x14ac:dyDescent="0.2">
      <c r="H9031" s="19">
        <v>-7.1372414109758201E-3</v>
      </c>
    </row>
    <row r="9032" spans="8:8" ht="15" customHeight="1" x14ac:dyDescent="0.2">
      <c r="H9032" s="19">
        <v>3.9066917286906698E-3</v>
      </c>
    </row>
    <row r="9033" spans="8:8" ht="15" customHeight="1" x14ac:dyDescent="0.2">
      <c r="H9033" s="19">
        <v>1.1158993551171399E-2</v>
      </c>
    </row>
    <row r="9034" spans="8:8" ht="15" customHeight="1" x14ac:dyDescent="0.2">
      <c r="H9034" s="19">
        <v>-2.3442870502339702E-3</v>
      </c>
    </row>
    <row r="9035" spans="8:8" ht="15" customHeight="1" x14ac:dyDescent="0.2">
      <c r="H9035" s="19">
        <v>-9.7933358779943806E-3</v>
      </c>
    </row>
    <row r="9036" spans="8:8" ht="15" customHeight="1" x14ac:dyDescent="0.2">
      <c r="H9036" s="19">
        <v>1.9269768399954E-3</v>
      </c>
    </row>
    <row r="9037" spans="8:8" ht="15" customHeight="1" x14ac:dyDescent="0.2">
      <c r="H9037" s="19">
        <v>-1.7524760253441699E-2</v>
      </c>
    </row>
    <row r="9038" spans="8:8" ht="15" customHeight="1" x14ac:dyDescent="0.2">
      <c r="H9038" s="19">
        <v>-4.8485313115786298E-3</v>
      </c>
    </row>
    <row r="9039" spans="8:8" ht="15" customHeight="1" x14ac:dyDescent="0.2">
      <c r="H9039" s="19">
        <v>-1.5641809400308401E-2</v>
      </c>
    </row>
    <row r="9040" spans="8:8" ht="15" customHeight="1" x14ac:dyDescent="0.2">
      <c r="H9040" s="19">
        <v>6.2465678007444401E-3</v>
      </c>
    </row>
    <row r="9041" spans="8:8" ht="15" customHeight="1" x14ac:dyDescent="0.2">
      <c r="H9041" s="19">
        <v>1.9218731773643701E-2</v>
      </c>
    </row>
    <row r="9042" spans="8:8" ht="15" customHeight="1" x14ac:dyDescent="0.2">
      <c r="H9042" s="19">
        <v>-1.01070713204915E-2</v>
      </c>
    </row>
    <row r="9043" spans="8:8" ht="15" customHeight="1" x14ac:dyDescent="0.2">
      <c r="H9043" s="19">
        <v>7.7884431362337404E-3</v>
      </c>
    </row>
    <row r="9044" spans="8:8" ht="15" customHeight="1" x14ac:dyDescent="0.2">
      <c r="H9044" s="19">
        <v>3.5474849147847298E-3</v>
      </c>
    </row>
    <row r="9045" spans="8:8" ht="15" customHeight="1" x14ac:dyDescent="0.2">
      <c r="H9045" s="19">
        <v>-2.1965397105807902E-2</v>
      </c>
    </row>
    <row r="9046" spans="8:8" ht="15" customHeight="1" x14ac:dyDescent="0.2">
      <c r="H9046" s="19">
        <v>-5.17109993295016E-3</v>
      </c>
    </row>
    <row r="9047" spans="8:8" ht="15" customHeight="1" x14ac:dyDescent="0.2">
      <c r="H9047" s="19">
        <v>1.8775067377410502E-2</v>
      </c>
    </row>
    <row r="9048" spans="8:8" ht="15" customHeight="1" x14ac:dyDescent="0.2">
      <c r="H9048" s="19">
        <v>1.03779612599651E-2</v>
      </c>
    </row>
    <row r="9049" spans="8:8" ht="15" customHeight="1" x14ac:dyDescent="0.2">
      <c r="H9049" s="19">
        <v>7.0249081179118399E-3</v>
      </c>
    </row>
    <row r="9050" spans="8:8" ht="15" customHeight="1" x14ac:dyDescent="0.2">
      <c r="H9050" s="19">
        <v>1.5236668347258999E-2</v>
      </c>
    </row>
    <row r="9051" spans="8:8" ht="15" customHeight="1" x14ac:dyDescent="0.2">
      <c r="H9051" s="19">
        <v>-3.6266391103652799E-3</v>
      </c>
    </row>
    <row r="9052" spans="8:8" ht="15" customHeight="1" x14ac:dyDescent="0.2">
      <c r="H9052" s="19">
        <v>1.17789612111473E-2</v>
      </c>
    </row>
    <row r="9053" spans="8:8" ht="15" customHeight="1" x14ac:dyDescent="0.2">
      <c r="H9053" s="19">
        <v>6.5443667571449199E-3</v>
      </c>
    </row>
    <row r="9054" spans="8:8" ht="15" customHeight="1" x14ac:dyDescent="0.2">
      <c r="H9054" s="19">
        <v>-1.9234990995914299E-2</v>
      </c>
    </row>
    <row r="9055" spans="8:8" ht="15" customHeight="1" x14ac:dyDescent="0.2">
      <c r="H9055" s="19">
        <v>-4.2280181167512502E-3</v>
      </c>
    </row>
    <row r="9056" spans="8:8" ht="15" customHeight="1" x14ac:dyDescent="0.2">
      <c r="H9056" s="19">
        <v>1.8016671476457202E-2</v>
      </c>
    </row>
    <row r="9057" spans="8:8" ht="15" customHeight="1" x14ac:dyDescent="0.2">
      <c r="H9057" s="19">
        <v>-5.2411184565006902E-4</v>
      </c>
    </row>
    <row r="9058" spans="8:8" ht="15" customHeight="1" x14ac:dyDescent="0.2">
      <c r="H9058" s="19">
        <v>7.4923297172973203E-3</v>
      </c>
    </row>
    <row r="9059" spans="8:8" ht="15" customHeight="1" x14ac:dyDescent="0.2">
      <c r="H9059" s="19">
        <v>2.3868613825849501E-4</v>
      </c>
    </row>
    <row r="9060" spans="8:8" ht="15" customHeight="1" x14ac:dyDescent="0.2">
      <c r="H9060" s="19">
        <v>-4.1788471428574198E-3</v>
      </c>
    </row>
    <row r="9061" spans="8:8" ht="15" customHeight="1" x14ac:dyDescent="0.2">
      <c r="H9061" s="19">
        <v>-8.1750544590334095E-3</v>
      </c>
    </row>
    <row r="9062" spans="8:8" ht="15" customHeight="1" x14ac:dyDescent="0.2">
      <c r="H9062" s="19">
        <v>1.9489620204488099E-2</v>
      </c>
    </row>
    <row r="9063" spans="8:8" ht="15" customHeight="1" x14ac:dyDescent="0.2">
      <c r="H9063" s="19">
        <v>4.4539404094362002E-3</v>
      </c>
    </row>
    <row r="9064" spans="8:8" ht="15" customHeight="1" x14ac:dyDescent="0.2">
      <c r="H9064" s="19">
        <v>-9.3493805403365195E-3</v>
      </c>
    </row>
    <row r="9065" spans="8:8" ht="15" customHeight="1" x14ac:dyDescent="0.2">
      <c r="H9065" s="19">
        <v>6.0101797650352201E-3</v>
      </c>
    </row>
    <row r="9066" spans="8:8" ht="15" customHeight="1" x14ac:dyDescent="0.2">
      <c r="H9066" s="19">
        <v>6.2213998261445302E-3</v>
      </c>
    </row>
    <row r="9067" spans="8:8" ht="15" customHeight="1" x14ac:dyDescent="0.2">
      <c r="H9067" s="19">
        <v>-5.5972489758861401E-3</v>
      </c>
    </row>
    <row r="9068" spans="8:8" ht="15" customHeight="1" x14ac:dyDescent="0.2">
      <c r="H9068" s="19">
        <v>1.63086752514436E-2</v>
      </c>
    </row>
    <row r="9069" spans="8:8" ht="15" customHeight="1" x14ac:dyDescent="0.2">
      <c r="H9069" s="19">
        <v>1.12214692770025E-2</v>
      </c>
    </row>
    <row r="9070" spans="8:8" ht="15" customHeight="1" x14ac:dyDescent="0.2">
      <c r="H9070" s="19">
        <v>3.2048352488331499E-3</v>
      </c>
    </row>
    <row r="9071" spans="8:8" ht="15" customHeight="1" x14ac:dyDescent="0.2">
      <c r="H9071" s="19">
        <v>8.0228366666731303E-4</v>
      </c>
    </row>
    <row r="9072" spans="8:8" ht="15" customHeight="1" x14ac:dyDescent="0.2">
      <c r="H9072" s="19">
        <v>1.56412545490731E-2</v>
      </c>
    </row>
    <row r="9073" spans="8:8" ht="15" customHeight="1" x14ac:dyDescent="0.2">
      <c r="H9073" s="19">
        <v>-9.7107929943522799E-5</v>
      </c>
    </row>
    <row r="9074" spans="8:8" ht="15" customHeight="1" x14ac:dyDescent="0.2">
      <c r="H9074" s="19">
        <v>1.2841404445660501E-2</v>
      </c>
    </row>
    <row r="9075" spans="8:8" ht="15" customHeight="1" x14ac:dyDescent="0.2">
      <c r="H9075" s="19">
        <v>-7.5506254614199596E-3</v>
      </c>
    </row>
    <row r="9076" spans="8:8" ht="15" customHeight="1" x14ac:dyDescent="0.2">
      <c r="H9076" s="19">
        <v>1.4620358901508999E-2</v>
      </c>
    </row>
    <row r="9077" spans="8:8" ht="15" customHeight="1" x14ac:dyDescent="0.2">
      <c r="H9077" s="19">
        <v>1.2111203766428001E-3</v>
      </c>
    </row>
    <row r="9078" spans="8:8" ht="15" customHeight="1" x14ac:dyDescent="0.2">
      <c r="H9078" s="19">
        <v>1.51188661666043E-2</v>
      </c>
    </row>
    <row r="9079" spans="8:8" ht="15" customHeight="1" x14ac:dyDescent="0.2">
      <c r="H9079" s="19">
        <v>1.26650757032173E-2</v>
      </c>
    </row>
    <row r="9080" spans="8:8" ht="15" customHeight="1" x14ac:dyDescent="0.2">
      <c r="H9080" s="19">
        <v>-9.79076221241801E-3</v>
      </c>
    </row>
    <row r="9081" spans="8:8" ht="15" customHeight="1" x14ac:dyDescent="0.2">
      <c r="H9081" s="19">
        <v>-5.6613427983465301E-3</v>
      </c>
    </row>
    <row r="9082" spans="8:8" ht="15" customHeight="1" x14ac:dyDescent="0.2">
      <c r="H9082" s="19">
        <v>2.0795224118903598E-3</v>
      </c>
    </row>
    <row r="9083" spans="8:8" ht="15" customHeight="1" x14ac:dyDescent="0.2">
      <c r="H9083" s="19">
        <v>3.1936945262647501E-3</v>
      </c>
    </row>
    <row r="9084" spans="8:8" ht="15" customHeight="1" x14ac:dyDescent="0.2">
      <c r="H9084" s="19">
        <v>-9.1521886080548308E-3</v>
      </c>
    </row>
    <row r="9085" spans="8:8" ht="15" customHeight="1" x14ac:dyDescent="0.2">
      <c r="H9085" s="19">
        <v>-6.7377240755805796E-3</v>
      </c>
    </row>
    <row r="9086" spans="8:8" ht="15" customHeight="1" x14ac:dyDescent="0.2">
      <c r="H9086" s="19">
        <v>6.6400445341998002E-3</v>
      </c>
    </row>
    <row r="9087" spans="8:8" ht="15" customHeight="1" x14ac:dyDescent="0.2">
      <c r="H9087" s="19">
        <v>-5.0709340151643498E-3</v>
      </c>
    </row>
    <row r="9088" spans="8:8" ht="15" customHeight="1" x14ac:dyDescent="0.2">
      <c r="H9088" s="19">
        <v>-8.9098963801814701E-3</v>
      </c>
    </row>
    <row r="9089" spans="8:8" ht="15" customHeight="1" x14ac:dyDescent="0.2">
      <c r="H9089" s="19">
        <v>7.5232937498354198E-3</v>
      </c>
    </row>
    <row r="9090" spans="8:8" ht="15" customHeight="1" x14ac:dyDescent="0.2">
      <c r="H9090" s="19">
        <v>1.0259472979028199E-2</v>
      </c>
    </row>
    <row r="9091" spans="8:8" ht="15" customHeight="1" x14ac:dyDescent="0.2">
      <c r="H9091" s="19">
        <v>-5.00880822412186E-3</v>
      </c>
    </row>
    <row r="9092" spans="8:8" ht="15" customHeight="1" x14ac:dyDescent="0.2">
      <c r="H9092" s="19">
        <v>1.2788221898128499E-2</v>
      </c>
    </row>
    <row r="9093" spans="8:8" ht="15" customHeight="1" x14ac:dyDescent="0.2">
      <c r="H9093" s="19">
        <v>1.9898231165756302E-3</v>
      </c>
    </row>
    <row r="9094" spans="8:8" ht="15" customHeight="1" x14ac:dyDescent="0.2">
      <c r="H9094" s="19">
        <v>-1.8206145465865901E-2</v>
      </c>
    </row>
    <row r="9095" spans="8:8" ht="15" customHeight="1" x14ac:dyDescent="0.2">
      <c r="H9095" s="19">
        <v>9.5326016368859603E-4</v>
      </c>
    </row>
    <row r="9096" spans="8:8" ht="15" customHeight="1" x14ac:dyDescent="0.2">
      <c r="H9096" s="19">
        <v>8.9440147032085005E-4</v>
      </c>
    </row>
    <row r="9097" spans="8:8" ht="15" customHeight="1" x14ac:dyDescent="0.2">
      <c r="H9097" s="19">
        <v>5.7677754577278699E-4</v>
      </c>
    </row>
    <row r="9098" spans="8:8" ht="15" customHeight="1" x14ac:dyDescent="0.2">
      <c r="H9098" s="19">
        <v>1.12095608609128E-2</v>
      </c>
    </row>
    <row r="9099" spans="8:8" ht="15" customHeight="1" x14ac:dyDescent="0.2">
      <c r="H9099" s="19">
        <v>3.0727980818245502E-4</v>
      </c>
    </row>
    <row r="9100" spans="8:8" ht="15" customHeight="1" x14ac:dyDescent="0.2">
      <c r="H9100" s="19">
        <v>-5.0100569470209397E-3</v>
      </c>
    </row>
    <row r="9101" spans="8:8" ht="15" customHeight="1" x14ac:dyDescent="0.2">
      <c r="H9101" s="19">
        <v>6.0561552614666198E-3</v>
      </c>
    </row>
    <row r="9102" spans="8:8" ht="15" customHeight="1" x14ac:dyDescent="0.2">
      <c r="H9102" s="19">
        <v>9.1474316559175903E-3</v>
      </c>
    </row>
    <row r="9103" spans="8:8" ht="15" customHeight="1" x14ac:dyDescent="0.2">
      <c r="H9103" s="19">
        <v>1.10312958179013E-4</v>
      </c>
    </row>
    <row r="9104" spans="8:8" ht="15" customHeight="1" x14ac:dyDescent="0.2">
      <c r="H9104" s="19">
        <v>-1.6666312813251798E-2</v>
      </c>
    </row>
    <row r="9105" spans="8:8" ht="15" customHeight="1" x14ac:dyDescent="0.2">
      <c r="H9105" s="19">
        <v>-1.50784715560536E-2</v>
      </c>
    </row>
    <row r="9106" spans="8:8" ht="15" customHeight="1" x14ac:dyDescent="0.2">
      <c r="H9106" s="19">
        <v>-4.9073932386578603E-3</v>
      </c>
    </row>
    <row r="9107" spans="8:8" ht="15" customHeight="1" x14ac:dyDescent="0.2">
      <c r="H9107" s="19">
        <v>-1.38627148173179E-3</v>
      </c>
    </row>
    <row r="9108" spans="8:8" ht="15" customHeight="1" x14ac:dyDescent="0.2">
      <c r="H9108" s="19">
        <v>-3.6131217004664799E-3</v>
      </c>
    </row>
    <row r="9109" spans="8:8" ht="15" customHeight="1" x14ac:dyDescent="0.2">
      <c r="H9109" s="19">
        <v>-7.52134679636105E-3</v>
      </c>
    </row>
    <row r="9110" spans="8:8" ht="15" customHeight="1" x14ac:dyDescent="0.2">
      <c r="H9110" s="19">
        <v>-1.0470131126954101E-2</v>
      </c>
    </row>
    <row r="9111" spans="8:8" ht="15" customHeight="1" x14ac:dyDescent="0.2">
      <c r="H9111" s="19">
        <v>-4.8940747697989104E-3</v>
      </c>
    </row>
    <row r="9112" spans="8:8" ht="15" customHeight="1" x14ac:dyDescent="0.2">
      <c r="H9112" s="19">
        <v>5.01006990042604E-3</v>
      </c>
    </row>
    <row r="9113" spans="8:8" ht="15" customHeight="1" x14ac:dyDescent="0.2">
      <c r="H9113" s="19">
        <v>1.12513465575232E-2</v>
      </c>
    </row>
    <row r="9114" spans="8:8" ht="15" customHeight="1" x14ac:dyDescent="0.2">
      <c r="H9114" s="19">
        <v>-7.0142255354703901E-3</v>
      </c>
    </row>
    <row r="9115" spans="8:8" ht="15" customHeight="1" x14ac:dyDescent="0.2">
      <c r="H9115" s="19">
        <v>-3.8994412605711502E-3</v>
      </c>
    </row>
    <row r="9116" spans="8:8" ht="15" customHeight="1" x14ac:dyDescent="0.2">
      <c r="H9116" s="19">
        <v>-1.50053077984987E-2</v>
      </c>
    </row>
    <row r="9117" spans="8:8" ht="15" customHeight="1" x14ac:dyDescent="0.2">
      <c r="H9117" s="19">
        <v>5.0104545424271901E-3</v>
      </c>
    </row>
    <row r="9118" spans="8:8" ht="15" customHeight="1" x14ac:dyDescent="0.2">
      <c r="H9118" s="19">
        <v>4.7303928886091402E-3</v>
      </c>
    </row>
    <row r="9119" spans="8:8" ht="15" customHeight="1" x14ac:dyDescent="0.2">
      <c r="H9119" s="19">
        <v>6.3869331374495301E-3</v>
      </c>
    </row>
    <row r="9120" spans="8:8" ht="15" customHeight="1" x14ac:dyDescent="0.2">
      <c r="H9120" s="19">
        <v>-9.3617445543458695E-3</v>
      </c>
    </row>
    <row r="9121" spans="8:8" ht="15" customHeight="1" x14ac:dyDescent="0.2">
      <c r="H9121" s="19">
        <v>-1.1924292305034299E-2</v>
      </c>
    </row>
    <row r="9122" spans="8:8" ht="15" customHeight="1" x14ac:dyDescent="0.2">
      <c r="H9122" s="19">
        <v>-4.9584986753779502E-3</v>
      </c>
    </row>
    <row r="9123" spans="8:8" ht="15" customHeight="1" x14ac:dyDescent="0.2">
      <c r="H9123" s="19">
        <v>-2.9765937628443298E-3</v>
      </c>
    </row>
    <row r="9124" spans="8:8" ht="15" customHeight="1" x14ac:dyDescent="0.2">
      <c r="H9124" s="19">
        <v>-4.5144527958094899E-3</v>
      </c>
    </row>
    <row r="9125" spans="8:8" ht="15" customHeight="1" x14ac:dyDescent="0.2">
      <c r="H9125" s="19">
        <v>-1.05581356483178E-2</v>
      </c>
    </row>
    <row r="9126" spans="8:8" ht="15" customHeight="1" x14ac:dyDescent="0.2">
      <c r="H9126" s="19">
        <v>3.9450687923955402E-3</v>
      </c>
    </row>
    <row r="9127" spans="8:8" ht="15" customHeight="1" x14ac:dyDescent="0.2">
      <c r="H9127" s="19">
        <v>-1.3030696082787899E-2</v>
      </c>
    </row>
    <row r="9128" spans="8:8" ht="15" customHeight="1" x14ac:dyDescent="0.2">
      <c r="H9128" s="19">
        <v>1.49567436548945E-2</v>
      </c>
    </row>
    <row r="9129" spans="8:8" ht="15" customHeight="1" x14ac:dyDescent="0.2">
      <c r="H9129" s="19">
        <v>-1.43539242366226E-3</v>
      </c>
    </row>
    <row r="9130" spans="8:8" ht="15" customHeight="1" x14ac:dyDescent="0.2">
      <c r="H9130" s="19">
        <v>-6.6496250479023802E-5</v>
      </c>
    </row>
    <row r="9131" spans="8:8" ht="15" customHeight="1" x14ac:dyDescent="0.2">
      <c r="H9131" s="19">
        <v>-1.35664365392386E-3</v>
      </c>
    </row>
    <row r="9132" spans="8:8" ht="15" customHeight="1" x14ac:dyDescent="0.2">
      <c r="H9132" s="19">
        <v>1.0511695795681E-2</v>
      </c>
    </row>
    <row r="9133" spans="8:8" ht="15" customHeight="1" x14ac:dyDescent="0.2">
      <c r="H9133" s="19">
        <v>6.2791715669230797E-3</v>
      </c>
    </row>
    <row r="9134" spans="8:8" ht="15" customHeight="1" x14ac:dyDescent="0.2">
      <c r="H9134" s="19">
        <v>-1.1807873776688901E-2</v>
      </c>
    </row>
    <row r="9135" spans="8:8" ht="15" customHeight="1" x14ac:dyDescent="0.2">
      <c r="H9135" s="19">
        <v>1.58953349786333E-2</v>
      </c>
    </row>
    <row r="9136" spans="8:8" ht="15" customHeight="1" x14ac:dyDescent="0.2">
      <c r="H9136" s="19">
        <v>1.5440437129041499E-3</v>
      </c>
    </row>
    <row r="9137" spans="8:8" ht="15" customHeight="1" x14ac:dyDescent="0.2">
      <c r="H9137" s="19">
        <v>2.6469042182493902E-3</v>
      </c>
    </row>
    <row r="9138" spans="8:8" ht="15" customHeight="1" x14ac:dyDescent="0.2">
      <c r="H9138" s="19">
        <v>5.7897138747516202E-3</v>
      </c>
    </row>
    <row r="9139" spans="8:8" ht="15" customHeight="1" x14ac:dyDescent="0.2">
      <c r="H9139" s="19">
        <v>-6.6150746676689499E-3</v>
      </c>
    </row>
    <row r="9140" spans="8:8" ht="15" customHeight="1" x14ac:dyDescent="0.2">
      <c r="H9140" s="19">
        <v>4.5816028484983598E-3</v>
      </c>
    </row>
    <row r="9141" spans="8:8" ht="15" customHeight="1" x14ac:dyDescent="0.2">
      <c r="H9141" s="19">
        <v>7.7533763895313202E-4</v>
      </c>
    </row>
    <row r="9142" spans="8:8" ht="15" customHeight="1" x14ac:dyDescent="0.2">
      <c r="H9142" s="19">
        <v>1.6555775509181199E-2</v>
      </c>
    </row>
    <row r="9143" spans="8:8" ht="15" customHeight="1" x14ac:dyDescent="0.2">
      <c r="H9143" s="19">
        <v>-8.3250236378752604E-3</v>
      </c>
    </row>
    <row r="9144" spans="8:8" ht="15" customHeight="1" x14ac:dyDescent="0.2">
      <c r="H9144" s="19">
        <v>-4.6948081966603E-3</v>
      </c>
    </row>
    <row r="9145" spans="8:8" ht="15" customHeight="1" x14ac:dyDescent="0.2">
      <c r="H9145" s="19">
        <v>1.0276713093798901E-2</v>
      </c>
    </row>
    <row r="9146" spans="8:8" ht="15" customHeight="1" x14ac:dyDescent="0.2">
      <c r="H9146" s="19">
        <v>7.3898941595230598E-3</v>
      </c>
    </row>
    <row r="9147" spans="8:8" ht="15" customHeight="1" x14ac:dyDescent="0.2">
      <c r="H9147" s="19">
        <v>-2.6029580864778801E-4</v>
      </c>
    </row>
    <row r="9148" spans="8:8" ht="15" customHeight="1" x14ac:dyDescent="0.2">
      <c r="H9148" s="19">
        <v>7.4514963265103699E-4</v>
      </c>
    </row>
    <row r="9149" spans="8:8" ht="15" customHeight="1" x14ac:dyDescent="0.2">
      <c r="H9149" s="19">
        <v>1.4340325421705E-2</v>
      </c>
    </row>
    <row r="9150" spans="8:8" ht="15" customHeight="1" x14ac:dyDescent="0.2">
      <c r="H9150" s="19">
        <v>1.83392421093251E-3</v>
      </c>
    </row>
    <row r="9151" spans="8:8" ht="15" customHeight="1" x14ac:dyDescent="0.2">
      <c r="H9151" s="19">
        <v>1.8462495702397601E-2</v>
      </c>
    </row>
    <row r="9152" spans="8:8" ht="15" customHeight="1" x14ac:dyDescent="0.2">
      <c r="H9152" s="19">
        <v>-1.40576797954552E-2</v>
      </c>
    </row>
    <row r="9153" spans="8:8" ht="15" customHeight="1" x14ac:dyDescent="0.2">
      <c r="H9153" s="19">
        <v>2.2995325037530202E-3</v>
      </c>
    </row>
    <row r="9154" spans="8:8" ht="15" customHeight="1" x14ac:dyDescent="0.2">
      <c r="H9154" s="19">
        <v>-3.1838859215252398E-3</v>
      </c>
    </row>
    <row r="9155" spans="8:8" ht="15" customHeight="1" x14ac:dyDescent="0.2">
      <c r="H9155" s="19">
        <v>-1.2099114997074599E-2</v>
      </c>
    </row>
    <row r="9156" spans="8:8" ht="15" customHeight="1" x14ac:dyDescent="0.2">
      <c r="H9156" s="19">
        <v>4.8980285325227598E-3</v>
      </c>
    </row>
    <row r="9157" spans="8:8" ht="15" customHeight="1" x14ac:dyDescent="0.2">
      <c r="H9157" s="19">
        <v>6.9089076048275098E-4</v>
      </c>
    </row>
    <row r="9158" spans="8:8" ht="15" customHeight="1" x14ac:dyDescent="0.2">
      <c r="H9158" s="19">
        <v>-7.6374201235438798E-3</v>
      </c>
    </row>
    <row r="9159" spans="8:8" ht="15" customHeight="1" x14ac:dyDescent="0.2">
      <c r="H9159" s="19">
        <v>9.0445132967908199E-3</v>
      </c>
    </row>
    <row r="9160" spans="8:8" ht="15" customHeight="1" x14ac:dyDescent="0.2">
      <c r="H9160" s="19">
        <v>8.0158341638082008E-3</v>
      </c>
    </row>
    <row r="9161" spans="8:8" ht="15" customHeight="1" x14ac:dyDescent="0.2">
      <c r="H9161" s="19">
        <v>1.26920094792545E-2</v>
      </c>
    </row>
    <row r="9162" spans="8:8" ht="15" customHeight="1" x14ac:dyDescent="0.2">
      <c r="H9162" s="19">
        <v>8.4603284509984604E-3</v>
      </c>
    </row>
    <row r="9163" spans="8:8" ht="15" customHeight="1" x14ac:dyDescent="0.2">
      <c r="H9163" s="19">
        <v>-7.7795068245687998E-3</v>
      </c>
    </row>
    <row r="9164" spans="8:8" ht="15" customHeight="1" x14ac:dyDescent="0.2">
      <c r="H9164" s="19">
        <v>2.4131118328013399E-3</v>
      </c>
    </row>
    <row r="9165" spans="8:8" ht="15" customHeight="1" x14ac:dyDescent="0.2">
      <c r="H9165" s="19">
        <v>6.3676428992488704E-3</v>
      </c>
    </row>
    <row r="9166" spans="8:8" ht="15" customHeight="1" x14ac:dyDescent="0.2">
      <c r="H9166" s="19">
        <v>9.2585296169315403E-3</v>
      </c>
    </row>
    <row r="9167" spans="8:8" ht="15" customHeight="1" x14ac:dyDescent="0.2">
      <c r="H9167" s="19">
        <v>1.2852930283113099E-2</v>
      </c>
    </row>
    <row r="9168" spans="8:8" ht="15" customHeight="1" x14ac:dyDescent="0.2">
      <c r="H9168" s="19">
        <v>4.9855082890761296E-4</v>
      </c>
    </row>
    <row r="9169" spans="8:8" ht="15" customHeight="1" x14ac:dyDescent="0.2">
      <c r="H9169" s="19">
        <v>3.6008975661404501E-3</v>
      </c>
    </row>
    <row r="9170" spans="8:8" ht="15" customHeight="1" x14ac:dyDescent="0.2">
      <c r="H9170" s="19">
        <v>-3.0612681204913801E-3</v>
      </c>
    </row>
    <row r="9171" spans="8:8" ht="15" customHeight="1" x14ac:dyDescent="0.2">
      <c r="H9171" s="19">
        <v>-8.9213883011489102E-3</v>
      </c>
    </row>
    <row r="9172" spans="8:8" ht="15" customHeight="1" x14ac:dyDescent="0.2">
      <c r="H9172" s="19">
        <v>8.0772400859266697E-3</v>
      </c>
    </row>
    <row r="9173" spans="8:8" ht="15" customHeight="1" x14ac:dyDescent="0.2">
      <c r="H9173" s="19">
        <v>-7.3577694149916202E-3</v>
      </c>
    </row>
    <row r="9174" spans="8:8" ht="15" customHeight="1" x14ac:dyDescent="0.2">
      <c r="H9174" s="19">
        <v>-2.09674879542551E-3</v>
      </c>
    </row>
    <row r="9175" spans="8:8" ht="15" customHeight="1" x14ac:dyDescent="0.2">
      <c r="H9175" s="19">
        <v>1.4955108778682899E-2</v>
      </c>
    </row>
    <row r="9176" spans="8:8" ht="15" customHeight="1" x14ac:dyDescent="0.2">
      <c r="H9176" s="19">
        <v>-1.0605410060573301E-2</v>
      </c>
    </row>
    <row r="9177" spans="8:8" ht="15" customHeight="1" x14ac:dyDescent="0.2">
      <c r="H9177" s="19">
        <v>-2.07807531183692E-3</v>
      </c>
    </row>
    <row r="9178" spans="8:8" ht="15" customHeight="1" x14ac:dyDescent="0.2">
      <c r="H9178" s="19">
        <v>4.3749905575417797E-3</v>
      </c>
    </row>
    <row r="9179" spans="8:8" ht="15" customHeight="1" x14ac:dyDescent="0.2">
      <c r="H9179" s="19">
        <v>-3.18157585439497E-3</v>
      </c>
    </row>
    <row r="9180" spans="8:8" ht="15" customHeight="1" x14ac:dyDescent="0.2">
      <c r="H9180" s="19">
        <v>2.6638636159775002E-3</v>
      </c>
    </row>
    <row r="9181" spans="8:8" ht="15" customHeight="1" x14ac:dyDescent="0.2">
      <c r="H9181" s="19">
        <v>-2.0533880418332601E-3</v>
      </c>
    </row>
    <row r="9182" spans="8:8" ht="15" customHeight="1" x14ac:dyDescent="0.2">
      <c r="H9182" s="19">
        <v>-4.0745883862155201E-3</v>
      </c>
    </row>
    <row r="9183" spans="8:8" ht="15" customHeight="1" x14ac:dyDescent="0.2">
      <c r="H9183" s="19">
        <v>3.0610226466557702E-3</v>
      </c>
    </row>
    <row r="9184" spans="8:8" ht="15" customHeight="1" x14ac:dyDescent="0.2">
      <c r="H9184" s="19">
        <v>-4.6298033334524098E-3</v>
      </c>
    </row>
    <row r="9185" spans="8:8" ht="15" customHeight="1" x14ac:dyDescent="0.2">
      <c r="H9185" s="19">
        <v>1.22588483339191E-2</v>
      </c>
    </row>
    <row r="9186" spans="8:8" ht="15" customHeight="1" x14ac:dyDescent="0.2">
      <c r="H9186" s="19">
        <v>6.1444037701940601E-3</v>
      </c>
    </row>
    <row r="9187" spans="8:8" ht="15" customHeight="1" x14ac:dyDescent="0.2">
      <c r="H9187" s="19">
        <v>-7.1859820203280401E-3</v>
      </c>
    </row>
    <row r="9188" spans="8:8" ht="15" customHeight="1" x14ac:dyDescent="0.2">
      <c r="H9188" s="19">
        <v>1.3036168794425399E-2</v>
      </c>
    </row>
    <row r="9189" spans="8:8" ht="15" customHeight="1" x14ac:dyDescent="0.2">
      <c r="H9189" s="19">
        <v>4.0220737425223901E-3</v>
      </c>
    </row>
    <row r="9190" spans="8:8" ht="15" customHeight="1" x14ac:dyDescent="0.2">
      <c r="H9190" s="19">
        <v>-1.48168944486847E-3</v>
      </c>
    </row>
    <row r="9191" spans="8:8" ht="15" customHeight="1" x14ac:dyDescent="0.2">
      <c r="H9191" s="19">
        <v>1.6372891615103798E-2</v>
      </c>
    </row>
    <row r="9192" spans="8:8" ht="15" customHeight="1" x14ac:dyDescent="0.2">
      <c r="H9192" s="19">
        <v>-1.215759813471E-2</v>
      </c>
    </row>
    <row r="9193" spans="8:8" ht="15" customHeight="1" x14ac:dyDescent="0.2">
      <c r="H9193" s="19">
        <v>3.33846012513625E-3</v>
      </c>
    </row>
    <row r="9194" spans="8:8" ht="15" customHeight="1" x14ac:dyDescent="0.2">
      <c r="H9194" s="19">
        <v>-1.6043526420990099E-2</v>
      </c>
    </row>
    <row r="9195" spans="8:8" ht="15" customHeight="1" x14ac:dyDescent="0.2">
      <c r="H9195" s="19">
        <v>1.2860485701586701E-4</v>
      </c>
    </row>
    <row r="9196" spans="8:8" ht="15" customHeight="1" x14ac:dyDescent="0.2">
      <c r="H9196" s="19">
        <v>-9.5895308405934097E-3</v>
      </c>
    </row>
    <row r="9197" spans="8:8" ht="15" customHeight="1" x14ac:dyDescent="0.2">
      <c r="H9197" s="19">
        <v>9.0975159677296608E-3</v>
      </c>
    </row>
    <row r="9198" spans="8:8" ht="15" customHeight="1" x14ac:dyDescent="0.2">
      <c r="H9198" s="19">
        <v>-9.3773948205698996E-4</v>
      </c>
    </row>
    <row r="9199" spans="8:8" ht="15" customHeight="1" x14ac:dyDescent="0.2">
      <c r="H9199" s="19">
        <v>2.4005216643666299E-3</v>
      </c>
    </row>
    <row r="9200" spans="8:8" ht="15" customHeight="1" x14ac:dyDescent="0.2">
      <c r="H9200" s="19">
        <v>1.36766773983736E-2</v>
      </c>
    </row>
    <row r="9201" spans="8:8" ht="15" customHeight="1" x14ac:dyDescent="0.2">
      <c r="H9201" s="19">
        <v>-6.9157615892622096E-3</v>
      </c>
    </row>
    <row r="9202" spans="8:8" ht="15" customHeight="1" x14ac:dyDescent="0.2">
      <c r="H9202" s="19">
        <v>5.9000702870930103E-3</v>
      </c>
    </row>
    <row r="9203" spans="8:8" ht="15" customHeight="1" x14ac:dyDescent="0.2">
      <c r="H9203" s="19">
        <v>8.83068052645564E-3</v>
      </c>
    </row>
    <row r="9204" spans="8:8" ht="15" customHeight="1" x14ac:dyDescent="0.2">
      <c r="H9204" s="19">
        <v>-3.9110069935534399E-3</v>
      </c>
    </row>
    <row r="9205" spans="8:8" ht="15" customHeight="1" x14ac:dyDescent="0.2">
      <c r="H9205" s="19">
        <v>3.9151763359643399E-3</v>
      </c>
    </row>
    <row r="9206" spans="8:8" ht="15" customHeight="1" x14ac:dyDescent="0.2">
      <c r="H9206" s="19">
        <v>1.05810804576249E-4</v>
      </c>
    </row>
    <row r="9207" spans="8:8" ht="15" customHeight="1" x14ac:dyDescent="0.2">
      <c r="H9207" s="19">
        <v>-1.1853665144362599E-2</v>
      </c>
    </row>
    <row r="9208" spans="8:8" ht="15" customHeight="1" x14ac:dyDescent="0.2">
      <c r="H9208" s="19">
        <v>-1.0838700107860101E-2</v>
      </c>
    </row>
    <row r="9209" spans="8:8" ht="15" customHeight="1" x14ac:dyDescent="0.2">
      <c r="H9209" s="19">
        <v>-4.1882734450391498E-3</v>
      </c>
    </row>
    <row r="9210" spans="8:8" ht="15" customHeight="1" x14ac:dyDescent="0.2">
      <c r="H9210" s="19">
        <v>2.8625829529107401E-3</v>
      </c>
    </row>
    <row r="9211" spans="8:8" ht="15" customHeight="1" x14ac:dyDescent="0.2">
      <c r="H9211" s="19">
        <v>-2.66453832064307E-3</v>
      </c>
    </row>
    <row r="9212" spans="8:8" ht="15" customHeight="1" x14ac:dyDescent="0.2">
      <c r="H9212" s="19">
        <v>1.03586524436111E-2</v>
      </c>
    </row>
    <row r="9213" spans="8:8" ht="15" customHeight="1" x14ac:dyDescent="0.2">
      <c r="H9213" s="19">
        <v>7.5817842103616103E-3</v>
      </c>
    </row>
    <row r="9214" spans="8:8" ht="15" customHeight="1" x14ac:dyDescent="0.2">
      <c r="H9214" s="19">
        <v>-3.3463703411237499E-3</v>
      </c>
    </row>
    <row r="9215" spans="8:8" ht="15" customHeight="1" x14ac:dyDescent="0.2">
      <c r="H9215" s="19">
        <v>1.5817868048167101E-2</v>
      </c>
    </row>
    <row r="9216" spans="8:8" ht="15" customHeight="1" x14ac:dyDescent="0.2">
      <c r="H9216" s="19">
        <v>-1.40627780448983E-2</v>
      </c>
    </row>
    <row r="9217" spans="8:8" ht="15" customHeight="1" x14ac:dyDescent="0.2">
      <c r="H9217" s="19">
        <v>-4.5984990884159896E-3</v>
      </c>
    </row>
    <row r="9218" spans="8:8" ht="15" customHeight="1" x14ac:dyDescent="0.2">
      <c r="H9218" s="19">
        <v>1.93325748583262E-2</v>
      </c>
    </row>
    <row r="9219" spans="8:8" ht="15" customHeight="1" x14ac:dyDescent="0.2">
      <c r="H9219" s="19">
        <v>-6.5183387012319304E-3</v>
      </c>
    </row>
    <row r="9220" spans="8:8" ht="15" customHeight="1" x14ac:dyDescent="0.2">
      <c r="H9220" s="19">
        <v>8.8008803168487301E-3</v>
      </c>
    </row>
    <row r="9221" spans="8:8" ht="15" customHeight="1" x14ac:dyDescent="0.2">
      <c r="H9221" s="19">
        <v>-5.8625363620556396E-3</v>
      </c>
    </row>
    <row r="9222" spans="8:8" ht="15" customHeight="1" x14ac:dyDescent="0.2">
      <c r="H9222" s="19">
        <v>6.88913106020329E-3</v>
      </c>
    </row>
    <row r="9223" spans="8:8" ht="15" customHeight="1" x14ac:dyDescent="0.2">
      <c r="H9223" s="19">
        <v>4.4856778837724801E-3</v>
      </c>
    </row>
    <row r="9224" spans="8:8" ht="15" customHeight="1" x14ac:dyDescent="0.2">
      <c r="H9224" s="19">
        <v>9.6061936441813895E-3</v>
      </c>
    </row>
    <row r="9225" spans="8:8" ht="15" customHeight="1" x14ac:dyDescent="0.2">
      <c r="H9225" s="19">
        <v>-8.2648417773470706E-3</v>
      </c>
    </row>
    <row r="9226" spans="8:8" ht="15" customHeight="1" x14ac:dyDescent="0.2">
      <c r="H9226" s="19">
        <v>1.9751132418346199E-4</v>
      </c>
    </row>
    <row r="9227" spans="8:8" ht="15" customHeight="1" x14ac:dyDescent="0.2">
      <c r="H9227" s="19">
        <v>-3.5136895877310999E-3</v>
      </c>
    </row>
    <row r="9228" spans="8:8" ht="15" customHeight="1" x14ac:dyDescent="0.2">
      <c r="H9228" s="19">
        <v>-1.3204652538812999E-3</v>
      </c>
    </row>
    <row r="9229" spans="8:8" ht="15" customHeight="1" x14ac:dyDescent="0.2">
      <c r="H9229" s="19">
        <v>1.16659391979691E-2</v>
      </c>
    </row>
    <row r="9230" spans="8:8" ht="15" customHeight="1" x14ac:dyDescent="0.2">
      <c r="H9230" s="19">
        <v>-1.0771879448262901E-2</v>
      </c>
    </row>
    <row r="9231" spans="8:8" ht="15" customHeight="1" x14ac:dyDescent="0.2">
      <c r="H9231" s="19">
        <v>1.7366312112567599E-2</v>
      </c>
    </row>
    <row r="9232" spans="8:8" ht="15" customHeight="1" x14ac:dyDescent="0.2">
      <c r="H9232" s="19">
        <v>2.74534139405896E-3</v>
      </c>
    </row>
    <row r="9233" spans="8:8" ht="15" customHeight="1" x14ac:dyDescent="0.2">
      <c r="H9233" s="19">
        <v>-7.9424285027027298E-3</v>
      </c>
    </row>
    <row r="9234" spans="8:8" ht="15" customHeight="1" x14ac:dyDescent="0.2">
      <c r="H9234" s="19">
        <v>1.9877420786575499E-3</v>
      </c>
    </row>
    <row r="9235" spans="8:8" ht="15" customHeight="1" x14ac:dyDescent="0.2">
      <c r="H9235" s="19">
        <v>-1.43667780366016E-2</v>
      </c>
    </row>
    <row r="9236" spans="8:8" ht="15" customHeight="1" x14ac:dyDescent="0.2">
      <c r="H9236" s="19">
        <v>-1.83601738810734E-3</v>
      </c>
    </row>
    <row r="9237" spans="8:8" ht="15" customHeight="1" x14ac:dyDescent="0.2">
      <c r="H9237" s="19">
        <v>2.9924348163906898E-2</v>
      </c>
    </row>
    <row r="9238" spans="8:8" ht="15" customHeight="1" x14ac:dyDescent="0.2">
      <c r="H9238" s="19">
        <v>1.4400979457257599E-2</v>
      </c>
    </row>
    <row r="9239" spans="8:8" ht="15" customHeight="1" x14ac:dyDescent="0.2">
      <c r="H9239" s="19">
        <v>-1.2677103767633899E-2</v>
      </c>
    </row>
    <row r="9240" spans="8:8" ht="15" customHeight="1" x14ac:dyDescent="0.2">
      <c r="H9240" s="19">
        <v>9.0186530931310894E-3</v>
      </c>
    </row>
    <row r="9241" spans="8:8" ht="15" customHeight="1" x14ac:dyDescent="0.2">
      <c r="H9241" s="19">
        <v>-4.91668948025874E-3</v>
      </c>
    </row>
    <row r="9242" spans="8:8" ht="15" customHeight="1" x14ac:dyDescent="0.2">
      <c r="H9242" s="19">
        <v>-7.4904264993810496E-4</v>
      </c>
    </row>
    <row r="9243" spans="8:8" ht="15" customHeight="1" x14ac:dyDescent="0.2">
      <c r="H9243" s="19">
        <v>1.6183219806451099E-2</v>
      </c>
    </row>
    <row r="9244" spans="8:8" ht="15" customHeight="1" x14ac:dyDescent="0.2">
      <c r="H9244" s="19">
        <v>-1.6772226542152899E-3</v>
      </c>
    </row>
    <row r="9245" spans="8:8" ht="15" customHeight="1" x14ac:dyDescent="0.2">
      <c r="H9245" s="19">
        <v>4.08739838326788E-3</v>
      </c>
    </row>
    <row r="9246" spans="8:8" ht="15" customHeight="1" x14ac:dyDescent="0.2">
      <c r="H9246" s="19">
        <v>-7.7125102958246899E-3</v>
      </c>
    </row>
    <row r="9247" spans="8:8" ht="15" customHeight="1" x14ac:dyDescent="0.2">
      <c r="H9247" s="19">
        <v>-3.5520291702273998E-3</v>
      </c>
    </row>
    <row r="9248" spans="8:8" ht="15" customHeight="1" x14ac:dyDescent="0.2">
      <c r="H9248" s="19">
        <v>-1.12306622946901E-3</v>
      </c>
    </row>
    <row r="9249" spans="8:8" ht="15" customHeight="1" x14ac:dyDescent="0.2">
      <c r="H9249" s="19">
        <v>-1.0604749580063601E-3</v>
      </c>
    </row>
    <row r="9250" spans="8:8" ht="15" customHeight="1" x14ac:dyDescent="0.2">
      <c r="H9250" s="19">
        <v>2.2023577563562101E-3</v>
      </c>
    </row>
    <row r="9251" spans="8:8" ht="15" customHeight="1" x14ac:dyDescent="0.2">
      <c r="H9251" s="19">
        <v>5.84993703110536E-3</v>
      </c>
    </row>
    <row r="9252" spans="8:8" ht="15" customHeight="1" x14ac:dyDescent="0.2">
      <c r="H9252" s="19">
        <v>1.0531403236408301E-2</v>
      </c>
    </row>
    <row r="9253" spans="8:8" ht="15" customHeight="1" x14ac:dyDescent="0.2">
      <c r="H9253" s="19">
        <v>-7.9817639717574395E-3</v>
      </c>
    </row>
    <row r="9254" spans="8:8" ht="15" customHeight="1" x14ac:dyDescent="0.2">
      <c r="H9254" s="19">
        <v>8.33314221959729E-3</v>
      </c>
    </row>
    <row r="9255" spans="8:8" ht="15" customHeight="1" x14ac:dyDescent="0.2">
      <c r="H9255" s="19">
        <v>-9.6923700908435606E-3</v>
      </c>
    </row>
    <row r="9256" spans="8:8" ht="15" customHeight="1" x14ac:dyDescent="0.2">
      <c r="H9256" s="19">
        <v>-2.2347083646922701E-3</v>
      </c>
    </row>
    <row r="9257" spans="8:8" ht="15" customHeight="1" x14ac:dyDescent="0.2">
      <c r="H9257" s="19">
        <v>-4.6130664869407497E-3</v>
      </c>
    </row>
    <row r="9258" spans="8:8" ht="15" customHeight="1" x14ac:dyDescent="0.2">
      <c r="H9258" s="19">
        <v>-1.73765647204778E-3</v>
      </c>
    </row>
    <row r="9259" spans="8:8" ht="15" customHeight="1" x14ac:dyDescent="0.2">
      <c r="H9259" s="19">
        <v>7.9422339524750901E-3</v>
      </c>
    </row>
    <row r="9260" spans="8:8" ht="15" customHeight="1" x14ac:dyDescent="0.2">
      <c r="H9260" s="19">
        <v>1.5659195728910499E-2</v>
      </c>
    </row>
    <row r="9261" spans="8:8" ht="15" customHeight="1" x14ac:dyDescent="0.2">
      <c r="H9261" s="19">
        <v>-4.2304811502206097E-3</v>
      </c>
    </row>
    <row r="9262" spans="8:8" ht="15" customHeight="1" x14ac:dyDescent="0.2">
      <c r="H9262" s="19">
        <v>3.3946203509985901E-3</v>
      </c>
    </row>
    <row r="9263" spans="8:8" ht="15" customHeight="1" x14ac:dyDescent="0.2">
      <c r="H9263" s="19">
        <v>-9.6634307008892795E-3</v>
      </c>
    </row>
    <row r="9264" spans="8:8" ht="15" customHeight="1" x14ac:dyDescent="0.2">
      <c r="H9264" s="19">
        <v>1.0803644582232701E-2</v>
      </c>
    </row>
    <row r="9265" spans="8:8" ht="15" customHeight="1" x14ac:dyDescent="0.2">
      <c r="H9265" s="19">
        <v>1.26575344154377E-2</v>
      </c>
    </row>
    <row r="9266" spans="8:8" ht="15" customHeight="1" x14ac:dyDescent="0.2">
      <c r="H9266" s="19">
        <v>-5.2363517174502201E-3</v>
      </c>
    </row>
    <row r="9267" spans="8:8" ht="15" customHeight="1" x14ac:dyDescent="0.2">
      <c r="H9267" s="19">
        <v>-6.3198566113287702E-4</v>
      </c>
    </row>
    <row r="9268" spans="8:8" ht="15" customHeight="1" x14ac:dyDescent="0.2">
      <c r="H9268" s="19">
        <v>1.2877670957749899E-3</v>
      </c>
    </row>
    <row r="9269" spans="8:8" ht="15" customHeight="1" x14ac:dyDescent="0.2">
      <c r="H9269" s="19">
        <v>2.9813282554441499E-3</v>
      </c>
    </row>
    <row r="9270" spans="8:8" ht="15" customHeight="1" x14ac:dyDescent="0.2">
      <c r="H9270" s="19">
        <v>5.0467951033238102E-3</v>
      </c>
    </row>
    <row r="9271" spans="8:8" ht="15" customHeight="1" x14ac:dyDescent="0.2">
      <c r="H9271" s="19">
        <v>-4.4524281042273997E-3</v>
      </c>
    </row>
    <row r="9272" spans="8:8" ht="15" customHeight="1" x14ac:dyDescent="0.2">
      <c r="H9272" s="19">
        <v>-1.82345729823221E-2</v>
      </c>
    </row>
    <row r="9273" spans="8:8" ht="15" customHeight="1" x14ac:dyDescent="0.2">
      <c r="H9273" s="19">
        <v>-3.8970815060277802E-3</v>
      </c>
    </row>
    <row r="9274" spans="8:8" ht="15" customHeight="1" x14ac:dyDescent="0.2">
      <c r="H9274" s="19">
        <v>-1.1540292941326399E-2</v>
      </c>
    </row>
    <row r="9275" spans="8:8" ht="15" customHeight="1" x14ac:dyDescent="0.2">
      <c r="H9275" s="19">
        <v>7.62092638015074E-3</v>
      </c>
    </row>
    <row r="9276" spans="8:8" ht="15" customHeight="1" x14ac:dyDescent="0.2">
      <c r="H9276" s="19">
        <v>2.6451729424098E-2</v>
      </c>
    </row>
    <row r="9277" spans="8:8" ht="15" customHeight="1" x14ac:dyDescent="0.2">
      <c r="H9277" s="19">
        <v>-5.3838853826608099E-3</v>
      </c>
    </row>
    <row r="9278" spans="8:8" ht="15" customHeight="1" x14ac:dyDescent="0.2">
      <c r="H9278" s="19">
        <v>-3.56654204516126E-3</v>
      </c>
    </row>
    <row r="9279" spans="8:8" ht="15" customHeight="1" x14ac:dyDescent="0.2">
      <c r="H9279" s="19">
        <v>1.6716681976984801E-4</v>
      </c>
    </row>
    <row r="9280" spans="8:8" ht="15" customHeight="1" x14ac:dyDescent="0.2">
      <c r="H9280" s="19">
        <v>-1.50274872135268E-3</v>
      </c>
    </row>
    <row r="9281" spans="8:8" ht="15" customHeight="1" x14ac:dyDescent="0.2">
      <c r="H9281" s="19">
        <v>7.9057444804409901E-3</v>
      </c>
    </row>
    <row r="9282" spans="8:8" ht="15" customHeight="1" x14ac:dyDescent="0.2">
      <c r="H9282" s="19">
        <v>-3.1998664021033801E-3</v>
      </c>
    </row>
    <row r="9283" spans="8:8" ht="15" customHeight="1" x14ac:dyDescent="0.2">
      <c r="H9283" s="19">
        <v>-4.3125984819019003E-3</v>
      </c>
    </row>
    <row r="9284" spans="8:8" ht="15" customHeight="1" x14ac:dyDescent="0.2">
      <c r="H9284" s="19">
        <v>-5.3992379658683396E-3</v>
      </c>
    </row>
    <row r="9285" spans="8:8" ht="15" customHeight="1" x14ac:dyDescent="0.2">
      <c r="H9285" s="19">
        <v>1.8172955582436801E-2</v>
      </c>
    </row>
    <row r="9286" spans="8:8" ht="15" customHeight="1" x14ac:dyDescent="0.2">
      <c r="H9286" s="19">
        <v>5.5429844456203201E-3</v>
      </c>
    </row>
    <row r="9287" spans="8:8" ht="15" customHeight="1" x14ac:dyDescent="0.2">
      <c r="H9287" s="19">
        <v>-5.7854412080540797E-3</v>
      </c>
    </row>
    <row r="9288" spans="8:8" ht="15" customHeight="1" x14ac:dyDescent="0.2">
      <c r="H9288" s="19">
        <v>8.6192084878337107E-3</v>
      </c>
    </row>
    <row r="9289" spans="8:8" ht="15" customHeight="1" x14ac:dyDescent="0.2">
      <c r="H9289" s="19">
        <v>1.0136676022053001E-2</v>
      </c>
    </row>
    <row r="9290" spans="8:8" ht="15" customHeight="1" x14ac:dyDescent="0.2">
      <c r="H9290" s="19">
        <v>-6.1771526722562402E-4</v>
      </c>
    </row>
    <row r="9291" spans="8:8" ht="15" customHeight="1" x14ac:dyDescent="0.2">
      <c r="H9291" s="19">
        <v>1.1403733191115E-2</v>
      </c>
    </row>
    <row r="9292" spans="8:8" ht="15" customHeight="1" x14ac:dyDescent="0.2">
      <c r="H9292" s="19">
        <v>-1.7337223101618199E-2</v>
      </c>
    </row>
    <row r="9293" spans="8:8" ht="15" customHeight="1" x14ac:dyDescent="0.2">
      <c r="H9293" s="19">
        <v>-1.49336212448515E-2</v>
      </c>
    </row>
    <row r="9294" spans="8:8" ht="15" customHeight="1" x14ac:dyDescent="0.2">
      <c r="H9294" s="19">
        <v>1.1697076228645801E-3</v>
      </c>
    </row>
    <row r="9295" spans="8:8" ht="15" customHeight="1" x14ac:dyDescent="0.2">
      <c r="H9295" s="19">
        <v>1.0583276805023301E-2</v>
      </c>
    </row>
    <row r="9296" spans="8:8" ht="15" customHeight="1" x14ac:dyDescent="0.2">
      <c r="H9296" s="19">
        <v>-2.43648651604892E-3</v>
      </c>
    </row>
    <row r="9297" spans="8:8" ht="15" customHeight="1" x14ac:dyDescent="0.2">
      <c r="H9297" s="19">
        <v>8.2913158564043594E-3</v>
      </c>
    </row>
    <row r="9298" spans="8:8" ht="15" customHeight="1" x14ac:dyDescent="0.2">
      <c r="H9298" s="19">
        <v>1.0190680102474E-2</v>
      </c>
    </row>
    <row r="9299" spans="8:8" ht="15" customHeight="1" x14ac:dyDescent="0.2">
      <c r="H9299" s="19">
        <v>-5.1763367533255904E-3</v>
      </c>
    </row>
    <row r="9300" spans="8:8" ht="15" customHeight="1" x14ac:dyDescent="0.2">
      <c r="H9300" s="19">
        <v>-2.0794232911350099E-2</v>
      </c>
    </row>
    <row r="9301" spans="8:8" ht="15" customHeight="1" x14ac:dyDescent="0.2">
      <c r="H9301" s="19">
        <v>1.5280768899287801E-2</v>
      </c>
    </row>
    <row r="9302" spans="8:8" ht="15" customHeight="1" x14ac:dyDescent="0.2">
      <c r="H9302" s="19">
        <v>1.1322296157017299E-2</v>
      </c>
    </row>
    <row r="9303" spans="8:8" ht="15" customHeight="1" x14ac:dyDescent="0.2">
      <c r="H9303" s="19">
        <v>-8.7687162545354806E-3</v>
      </c>
    </row>
    <row r="9304" spans="8:8" ht="15" customHeight="1" x14ac:dyDescent="0.2">
      <c r="H9304" s="19">
        <v>-5.9452882945926402E-3</v>
      </c>
    </row>
    <row r="9305" spans="8:8" ht="15" customHeight="1" x14ac:dyDescent="0.2">
      <c r="H9305" s="19">
        <v>1.67873056875926E-2</v>
      </c>
    </row>
    <row r="9306" spans="8:8" ht="15" customHeight="1" x14ac:dyDescent="0.2">
      <c r="H9306" s="19">
        <v>1.35530650243131E-3</v>
      </c>
    </row>
    <row r="9307" spans="8:8" ht="15" customHeight="1" x14ac:dyDescent="0.2">
      <c r="H9307" s="19">
        <v>-6.4839222371686498E-3</v>
      </c>
    </row>
    <row r="9308" spans="8:8" ht="15" customHeight="1" x14ac:dyDescent="0.2">
      <c r="H9308" s="19">
        <v>4.3147714337307902E-3</v>
      </c>
    </row>
    <row r="9309" spans="8:8" ht="15" customHeight="1" x14ac:dyDescent="0.2">
      <c r="H9309" s="19">
        <v>4.3633420786936697E-3</v>
      </c>
    </row>
    <row r="9310" spans="8:8" ht="15" customHeight="1" x14ac:dyDescent="0.2">
      <c r="H9310" s="19">
        <v>-6.9537096913259502E-3</v>
      </c>
    </row>
    <row r="9311" spans="8:8" ht="15" customHeight="1" x14ac:dyDescent="0.2">
      <c r="H9311" s="19">
        <v>-7.15581028167399E-3</v>
      </c>
    </row>
    <row r="9312" spans="8:8" ht="15" customHeight="1" x14ac:dyDescent="0.2">
      <c r="H9312" s="19">
        <v>-1.5705376244745299E-3</v>
      </c>
    </row>
    <row r="9313" spans="8:8" ht="15" customHeight="1" x14ac:dyDescent="0.2">
      <c r="H9313" s="19">
        <v>-8.5875805973034697E-3</v>
      </c>
    </row>
    <row r="9314" spans="8:8" ht="15" customHeight="1" x14ac:dyDescent="0.2">
      <c r="H9314" s="19">
        <v>3.82527918207371E-4</v>
      </c>
    </row>
    <row r="9315" spans="8:8" ht="15" customHeight="1" x14ac:dyDescent="0.2">
      <c r="H9315" s="19">
        <v>1.36860562423399E-2</v>
      </c>
    </row>
    <row r="9316" spans="8:8" ht="15" customHeight="1" x14ac:dyDescent="0.2">
      <c r="H9316" s="19">
        <v>-8.7298332237615499E-4</v>
      </c>
    </row>
    <row r="9317" spans="8:8" ht="15" customHeight="1" x14ac:dyDescent="0.2">
      <c r="H9317" s="19">
        <v>9.37981963691145E-3</v>
      </c>
    </row>
    <row r="9318" spans="8:8" ht="15" customHeight="1" x14ac:dyDescent="0.2">
      <c r="H9318" s="19">
        <v>1.4865686528753599E-5</v>
      </c>
    </row>
    <row r="9319" spans="8:8" ht="15" customHeight="1" x14ac:dyDescent="0.2">
      <c r="H9319" s="19">
        <v>1.19859394046414E-2</v>
      </c>
    </row>
    <row r="9320" spans="8:8" ht="15" customHeight="1" x14ac:dyDescent="0.2">
      <c r="H9320" s="19">
        <v>9.96638246133974E-3</v>
      </c>
    </row>
    <row r="9321" spans="8:8" ht="15" customHeight="1" x14ac:dyDescent="0.2">
      <c r="H9321" s="19">
        <v>4.4754465299108202E-3</v>
      </c>
    </row>
    <row r="9322" spans="8:8" ht="15" customHeight="1" x14ac:dyDescent="0.2">
      <c r="H9322" s="19">
        <v>2.2494932627375999E-3</v>
      </c>
    </row>
    <row r="9323" spans="8:8" ht="15" customHeight="1" x14ac:dyDescent="0.2">
      <c r="H9323" s="19">
        <v>3.7200773082940401E-3</v>
      </c>
    </row>
    <row r="9324" spans="8:8" ht="15" customHeight="1" x14ac:dyDescent="0.2">
      <c r="H9324" s="19">
        <v>-2.6491623569250898E-3</v>
      </c>
    </row>
    <row r="9325" spans="8:8" ht="15" customHeight="1" x14ac:dyDescent="0.2">
      <c r="H9325" s="19">
        <v>-1.1869704434566501E-2</v>
      </c>
    </row>
    <row r="9326" spans="8:8" ht="15" customHeight="1" x14ac:dyDescent="0.2">
      <c r="H9326" s="19">
        <v>2.7359897055566E-3</v>
      </c>
    </row>
    <row r="9327" spans="8:8" ht="15" customHeight="1" x14ac:dyDescent="0.2">
      <c r="H9327" s="19">
        <v>-4.8231918249567801E-3</v>
      </c>
    </row>
    <row r="9328" spans="8:8" ht="15" customHeight="1" x14ac:dyDescent="0.2">
      <c r="H9328" s="19">
        <v>-7.29778268532069E-3</v>
      </c>
    </row>
    <row r="9329" spans="8:8" ht="15" customHeight="1" x14ac:dyDescent="0.2">
      <c r="H9329" s="19">
        <v>-3.2038131997857702E-3</v>
      </c>
    </row>
    <row r="9330" spans="8:8" ht="15" customHeight="1" x14ac:dyDescent="0.2">
      <c r="H9330" s="19">
        <v>1.5025573936723E-4</v>
      </c>
    </row>
    <row r="9331" spans="8:8" ht="15" customHeight="1" x14ac:dyDescent="0.2">
      <c r="H9331" s="19">
        <v>1.0740334620592099E-2</v>
      </c>
    </row>
    <row r="9332" spans="8:8" ht="15" customHeight="1" x14ac:dyDescent="0.2">
      <c r="H9332" s="19">
        <v>2.9828706803183601E-3</v>
      </c>
    </row>
    <row r="9333" spans="8:8" ht="15" customHeight="1" x14ac:dyDescent="0.2">
      <c r="H9333" s="19">
        <v>-7.6002831548703798E-3</v>
      </c>
    </row>
    <row r="9334" spans="8:8" ht="15" customHeight="1" x14ac:dyDescent="0.2">
      <c r="H9334" s="19">
        <v>7.1699828921686004E-3</v>
      </c>
    </row>
    <row r="9335" spans="8:8" ht="15" customHeight="1" x14ac:dyDescent="0.2">
      <c r="H9335" s="19">
        <v>8.6251254112123101E-4</v>
      </c>
    </row>
    <row r="9336" spans="8:8" ht="15" customHeight="1" x14ac:dyDescent="0.2">
      <c r="H9336" s="19">
        <v>-5.1846428412585096E-3</v>
      </c>
    </row>
    <row r="9337" spans="8:8" ht="15" customHeight="1" x14ac:dyDescent="0.2">
      <c r="H9337" s="19">
        <v>-3.0213290154761101E-3</v>
      </c>
    </row>
    <row r="9338" spans="8:8" ht="15" customHeight="1" x14ac:dyDescent="0.2">
      <c r="H9338" s="19">
        <v>1.3080087325147901E-2</v>
      </c>
    </row>
    <row r="9339" spans="8:8" ht="15" customHeight="1" x14ac:dyDescent="0.2">
      <c r="H9339" s="19">
        <v>5.4418472469990996E-3</v>
      </c>
    </row>
    <row r="9340" spans="8:8" ht="15" customHeight="1" x14ac:dyDescent="0.2">
      <c r="H9340" s="19">
        <v>-1.18352379326188E-2</v>
      </c>
    </row>
    <row r="9341" spans="8:8" ht="15" customHeight="1" x14ac:dyDescent="0.2">
      <c r="H9341" s="19">
        <v>9.3865374217467993E-3</v>
      </c>
    </row>
    <row r="9342" spans="8:8" ht="15" customHeight="1" x14ac:dyDescent="0.2">
      <c r="H9342" s="19">
        <v>-4.5214261080626797E-3</v>
      </c>
    </row>
    <row r="9343" spans="8:8" ht="15" customHeight="1" x14ac:dyDescent="0.2">
      <c r="H9343" s="19">
        <v>4.4825498158000297E-3</v>
      </c>
    </row>
    <row r="9344" spans="8:8" ht="15" customHeight="1" x14ac:dyDescent="0.2">
      <c r="H9344" s="19">
        <v>-4.9335870574475403E-3</v>
      </c>
    </row>
    <row r="9345" spans="8:8" ht="15" customHeight="1" x14ac:dyDescent="0.2">
      <c r="H9345" s="19">
        <v>2.9666615921881802E-3</v>
      </c>
    </row>
    <row r="9346" spans="8:8" ht="15" customHeight="1" x14ac:dyDescent="0.2">
      <c r="H9346" s="19">
        <v>-2.8817888079628101E-3</v>
      </c>
    </row>
    <row r="9347" spans="8:8" ht="15" customHeight="1" x14ac:dyDescent="0.2">
      <c r="H9347" s="19">
        <v>5.6905131210546896E-4</v>
      </c>
    </row>
    <row r="9348" spans="8:8" ht="15" customHeight="1" x14ac:dyDescent="0.2">
      <c r="H9348" s="19">
        <v>-8.7543952143818004E-3</v>
      </c>
    </row>
    <row r="9349" spans="8:8" ht="15" customHeight="1" x14ac:dyDescent="0.2">
      <c r="H9349" s="19">
        <v>8.5976713980987496E-3</v>
      </c>
    </row>
    <row r="9350" spans="8:8" ht="15" customHeight="1" x14ac:dyDescent="0.2">
      <c r="H9350" s="19">
        <v>5.2708567088178499E-3</v>
      </c>
    </row>
    <row r="9351" spans="8:8" ht="15" customHeight="1" x14ac:dyDescent="0.2">
      <c r="H9351" s="19">
        <v>-1.6094469682174501E-2</v>
      </c>
    </row>
    <row r="9352" spans="8:8" ht="15" customHeight="1" x14ac:dyDescent="0.2">
      <c r="H9352" s="19">
        <v>6.8137980024553903E-3</v>
      </c>
    </row>
    <row r="9353" spans="8:8" ht="15" customHeight="1" x14ac:dyDescent="0.2">
      <c r="H9353" s="19">
        <v>6.7145727966421596E-3</v>
      </c>
    </row>
    <row r="9354" spans="8:8" ht="15" customHeight="1" x14ac:dyDescent="0.2">
      <c r="H9354" s="19">
        <v>1.35047498272569E-2</v>
      </c>
    </row>
    <row r="9355" spans="8:8" ht="15" customHeight="1" x14ac:dyDescent="0.2">
      <c r="H9355" s="19">
        <v>1.5928366014435501E-2</v>
      </c>
    </row>
    <row r="9356" spans="8:8" ht="15" customHeight="1" x14ac:dyDescent="0.2">
      <c r="H9356" s="19">
        <v>6.2663309813031803E-5</v>
      </c>
    </row>
    <row r="9357" spans="8:8" ht="15" customHeight="1" x14ac:dyDescent="0.2">
      <c r="H9357" s="19">
        <v>-3.9951306667526196E-3</v>
      </c>
    </row>
    <row r="9358" spans="8:8" ht="15" customHeight="1" x14ac:dyDescent="0.2">
      <c r="H9358" s="19">
        <v>1.06943026420773E-3</v>
      </c>
    </row>
    <row r="9359" spans="8:8" ht="15" customHeight="1" x14ac:dyDescent="0.2">
      <c r="H9359" s="19">
        <v>4.6773168853215799E-3</v>
      </c>
    </row>
    <row r="9360" spans="8:8" ht="15" customHeight="1" x14ac:dyDescent="0.2">
      <c r="H9360" s="19">
        <v>1.1951510504296501E-2</v>
      </c>
    </row>
    <row r="9361" spans="8:8" ht="15" customHeight="1" x14ac:dyDescent="0.2">
      <c r="H9361" s="19">
        <v>2.7178801333201399E-3</v>
      </c>
    </row>
    <row r="9362" spans="8:8" ht="15" customHeight="1" x14ac:dyDescent="0.2">
      <c r="H9362" s="19">
        <v>9.5173309298877996E-3</v>
      </c>
    </row>
    <row r="9363" spans="8:8" ht="15" customHeight="1" x14ac:dyDescent="0.2">
      <c r="H9363" s="19">
        <v>1.8063443754488501E-3</v>
      </c>
    </row>
    <row r="9364" spans="8:8" ht="15" customHeight="1" x14ac:dyDescent="0.2">
      <c r="H9364" s="19">
        <v>6.0382828809196496E-3</v>
      </c>
    </row>
    <row r="9365" spans="8:8" ht="15" customHeight="1" x14ac:dyDescent="0.2">
      <c r="H9365" s="19">
        <v>-1.91239690093602E-3</v>
      </c>
    </row>
    <row r="9366" spans="8:8" ht="15" customHeight="1" x14ac:dyDescent="0.2">
      <c r="H9366" s="19">
        <v>-2.3110387671068299E-3</v>
      </c>
    </row>
    <row r="9367" spans="8:8" ht="15" customHeight="1" x14ac:dyDescent="0.2">
      <c r="H9367" s="19">
        <v>4.6115998513324898E-3</v>
      </c>
    </row>
    <row r="9368" spans="8:8" ht="15" customHeight="1" x14ac:dyDescent="0.2">
      <c r="H9368" s="19">
        <v>-5.0088981084760098E-3</v>
      </c>
    </row>
    <row r="9369" spans="8:8" ht="15" customHeight="1" x14ac:dyDescent="0.2">
      <c r="H9369" s="19">
        <v>2.03995423593753E-2</v>
      </c>
    </row>
    <row r="9370" spans="8:8" ht="15" customHeight="1" x14ac:dyDescent="0.2">
      <c r="H9370" s="19">
        <v>1.7959394254796899E-2</v>
      </c>
    </row>
    <row r="9371" spans="8:8" ht="15" customHeight="1" x14ac:dyDescent="0.2">
      <c r="H9371" s="19">
        <v>-4.8759677955994797E-3</v>
      </c>
    </row>
    <row r="9372" spans="8:8" ht="15" customHeight="1" x14ac:dyDescent="0.2">
      <c r="H9372" s="19">
        <v>-1.46899186962525E-4</v>
      </c>
    </row>
    <row r="9373" spans="8:8" ht="15" customHeight="1" x14ac:dyDescent="0.2">
      <c r="H9373" s="19">
        <v>-5.10896180353867E-3</v>
      </c>
    </row>
    <row r="9374" spans="8:8" ht="15" customHeight="1" x14ac:dyDescent="0.2">
      <c r="H9374" s="19">
        <v>-5.0403947862893202E-3</v>
      </c>
    </row>
    <row r="9375" spans="8:8" ht="15" customHeight="1" x14ac:dyDescent="0.2">
      <c r="H9375" s="19">
        <v>-2.3470612033764798E-2</v>
      </c>
    </row>
    <row r="9376" spans="8:8" ht="15" customHeight="1" x14ac:dyDescent="0.2">
      <c r="H9376" s="19">
        <v>-8.6904459356252402E-3</v>
      </c>
    </row>
    <row r="9377" spans="8:8" ht="15" customHeight="1" x14ac:dyDescent="0.2">
      <c r="H9377" s="19">
        <v>-5.7871278948163404E-3</v>
      </c>
    </row>
    <row r="9378" spans="8:8" ht="15" customHeight="1" x14ac:dyDescent="0.2">
      <c r="H9378" s="19">
        <v>-3.2725174108318598E-3</v>
      </c>
    </row>
    <row r="9379" spans="8:8" ht="15" customHeight="1" x14ac:dyDescent="0.2">
      <c r="H9379" s="19">
        <v>-5.1838877954003501E-4</v>
      </c>
    </row>
    <row r="9380" spans="8:8" ht="15" customHeight="1" x14ac:dyDescent="0.2">
      <c r="H9380" s="19">
        <v>-1.7355917074397399E-3</v>
      </c>
    </row>
    <row r="9381" spans="8:8" ht="15" customHeight="1" x14ac:dyDescent="0.2">
      <c r="H9381" s="19">
        <v>2.6045588144816601E-2</v>
      </c>
    </row>
    <row r="9382" spans="8:8" ht="15" customHeight="1" x14ac:dyDescent="0.2">
      <c r="H9382" s="19">
        <v>4.6607111108640303E-3</v>
      </c>
    </row>
    <row r="9383" spans="8:8" ht="15" customHeight="1" x14ac:dyDescent="0.2">
      <c r="H9383" s="19">
        <v>3.9829512711409797E-3</v>
      </c>
    </row>
    <row r="9384" spans="8:8" ht="15" customHeight="1" x14ac:dyDescent="0.2">
      <c r="H9384" s="19">
        <v>-6.4323684700650101E-4</v>
      </c>
    </row>
    <row r="9385" spans="8:8" ht="15" customHeight="1" x14ac:dyDescent="0.2">
      <c r="H9385" s="19">
        <v>1.3579189490466201E-2</v>
      </c>
    </row>
    <row r="9386" spans="8:8" ht="15" customHeight="1" x14ac:dyDescent="0.2">
      <c r="H9386" s="19">
        <v>-4.5853359883356202E-3</v>
      </c>
    </row>
    <row r="9387" spans="8:8" ht="15" customHeight="1" x14ac:dyDescent="0.2">
      <c r="H9387" s="19">
        <v>8.8091537373789393E-3</v>
      </c>
    </row>
    <row r="9388" spans="8:8" ht="15" customHeight="1" x14ac:dyDescent="0.2">
      <c r="H9388" s="19">
        <v>-3.6851768444251499E-4</v>
      </c>
    </row>
    <row r="9389" spans="8:8" ht="15" customHeight="1" x14ac:dyDescent="0.2">
      <c r="H9389" s="19">
        <v>1.7154558516027001E-3</v>
      </c>
    </row>
    <row r="9390" spans="8:8" ht="15" customHeight="1" x14ac:dyDescent="0.2">
      <c r="H9390" s="19">
        <v>1.5014840053267299E-3</v>
      </c>
    </row>
    <row r="9391" spans="8:8" ht="15" customHeight="1" x14ac:dyDescent="0.2">
      <c r="H9391" s="19">
        <v>8.6285455250564008E-3</v>
      </c>
    </row>
    <row r="9392" spans="8:8" ht="15" customHeight="1" x14ac:dyDescent="0.2">
      <c r="H9392" s="19">
        <v>-1.21242908528803E-2</v>
      </c>
    </row>
    <row r="9393" spans="8:8" ht="15" customHeight="1" x14ac:dyDescent="0.2">
      <c r="H9393" s="19">
        <v>-3.8542839295501699E-3</v>
      </c>
    </row>
    <row r="9394" spans="8:8" ht="15" customHeight="1" x14ac:dyDescent="0.2">
      <c r="H9394" s="19">
        <v>-3.4815164761052698E-3</v>
      </c>
    </row>
    <row r="9395" spans="8:8" ht="15" customHeight="1" x14ac:dyDescent="0.2">
      <c r="H9395" s="19">
        <v>1.23373107431703E-2</v>
      </c>
    </row>
    <row r="9396" spans="8:8" ht="15" customHeight="1" x14ac:dyDescent="0.2">
      <c r="H9396" s="19">
        <v>-9.2986880158507403E-3</v>
      </c>
    </row>
    <row r="9397" spans="8:8" ht="15" customHeight="1" x14ac:dyDescent="0.2">
      <c r="H9397" s="19">
        <v>-1.25997038905404E-2</v>
      </c>
    </row>
    <row r="9398" spans="8:8" ht="15" customHeight="1" x14ac:dyDescent="0.2">
      <c r="H9398" s="19">
        <v>-9.8191725174637898E-3</v>
      </c>
    </row>
    <row r="9399" spans="8:8" ht="15" customHeight="1" x14ac:dyDescent="0.2">
      <c r="H9399" s="19">
        <v>-6.4123030636844703E-3</v>
      </c>
    </row>
    <row r="9400" spans="8:8" ht="15" customHeight="1" x14ac:dyDescent="0.2">
      <c r="H9400" s="19">
        <v>-3.2287769802769001E-3</v>
      </c>
    </row>
    <row r="9401" spans="8:8" ht="15" customHeight="1" x14ac:dyDescent="0.2">
      <c r="H9401" s="19">
        <v>-3.5135552463891602E-3</v>
      </c>
    </row>
    <row r="9402" spans="8:8" ht="15" customHeight="1" x14ac:dyDescent="0.2">
      <c r="H9402" s="19">
        <v>5.2291503600971796E-3</v>
      </c>
    </row>
    <row r="9403" spans="8:8" ht="15" customHeight="1" x14ac:dyDescent="0.2">
      <c r="H9403" s="19">
        <v>1.24670697726087E-2</v>
      </c>
    </row>
    <row r="9404" spans="8:8" ht="15" customHeight="1" x14ac:dyDescent="0.2">
      <c r="H9404" s="19">
        <v>5.2586138965004898E-3</v>
      </c>
    </row>
    <row r="9405" spans="8:8" ht="15" customHeight="1" x14ac:dyDescent="0.2">
      <c r="H9405" s="19">
        <v>1.60266555483058E-3</v>
      </c>
    </row>
    <row r="9406" spans="8:8" ht="15" customHeight="1" x14ac:dyDescent="0.2">
      <c r="H9406" s="19">
        <v>7.4728011931138099E-3</v>
      </c>
    </row>
    <row r="9407" spans="8:8" ht="15" customHeight="1" x14ac:dyDescent="0.2">
      <c r="H9407" s="19">
        <v>-4.0326641622361898E-3</v>
      </c>
    </row>
    <row r="9408" spans="8:8" ht="15" customHeight="1" x14ac:dyDescent="0.2">
      <c r="H9408" s="19">
        <v>1.204874422676E-2</v>
      </c>
    </row>
    <row r="9409" spans="8:8" ht="15" customHeight="1" x14ac:dyDescent="0.2">
      <c r="H9409" s="19">
        <v>7.21499408412368E-3</v>
      </c>
    </row>
    <row r="9410" spans="8:8" ht="15" customHeight="1" x14ac:dyDescent="0.2">
      <c r="H9410" s="19">
        <v>-1.75447063652511E-2</v>
      </c>
    </row>
    <row r="9411" spans="8:8" ht="15" customHeight="1" x14ac:dyDescent="0.2">
      <c r="H9411" s="19">
        <v>-4.4749159890467797E-3</v>
      </c>
    </row>
    <row r="9412" spans="8:8" ht="15" customHeight="1" x14ac:dyDescent="0.2">
      <c r="H9412" s="19">
        <v>-5.9980584765249503E-3</v>
      </c>
    </row>
    <row r="9413" spans="8:8" ht="15" customHeight="1" x14ac:dyDescent="0.2">
      <c r="H9413" s="19">
        <v>-8.6988581031290507E-3</v>
      </c>
    </row>
    <row r="9414" spans="8:8" ht="15" customHeight="1" x14ac:dyDescent="0.2">
      <c r="H9414" s="19">
        <v>-3.4817483912018502E-3</v>
      </c>
    </row>
    <row r="9415" spans="8:8" ht="15" customHeight="1" x14ac:dyDescent="0.2">
      <c r="H9415" s="19">
        <v>-5.67960919947922E-3</v>
      </c>
    </row>
    <row r="9416" spans="8:8" ht="15" customHeight="1" x14ac:dyDescent="0.2">
      <c r="H9416" s="19">
        <v>1.7614247025224E-3</v>
      </c>
    </row>
    <row r="9417" spans="8:8" ht="15" customHeight="1" x14ac:dyDescent="0.2">
      <c r="H9417" s="19">
        <v>3.1611979443127401E-3</v>
      </c>
    </row>
    <row r="9418" spans="8:8" ht="15" customHeight="1" x14ac:dyDescent="0.2">
      <c r="H9418" s="19">
        <v>-6.0072988284993103E-3</v>
      </c>
    </row>
    <row r="9419" spans="8:8" ht="15" customHeight="1" x14ac:dyDescent="0.2">
      <c r="H9419" s="19">
        <v>-1.50423266710714E-2</v>
      </c>
    </row>
    <row r="9420" spans="8:8" ht="15" customHeight="1" x14ac:dyDescent="0.2">
      <c r="H9420" s="19">
        <v>-5.42735053562829E-4</v>
      </c>
    </row>
    <row r="9421" spans="8:8" ht="15" customHeight="1" x14ac:dyDescent="0.2">
      <c r="H9421" s="19">
        <v>5.6700015475729003E-3</v>
      </c>
    </row>
    <row r="9422" spans="8:8" ht="15" customHeight="1" x14ac:dyDescent="0.2">
      <c r="H9422" s="19">
        <v>-2.2522377355523801E-3</v>
      </c>
    </row>
    <row r="9423" spans="8:8" ht="15" customHeight="1" x14ac:dyDescent="0.2">
      <c r="H9423" s="19">
        <v>-5.8892357548945701E-3</v>
      </c>
    </row>
    <row r="9424" spans="8:8" ht="15" customHeight="1" x14ac:dyDescent="0.2">
      <c r="H9424" s="19">
        <v>1.9670931178088501E-2</v>
      </c>
    </row>
    <row r="9425" spans="8:8" ht="15" customHeight="1" x14ac:dyDescent="0.2">
      <c r="H9425" s="19">
        <v>1.49707676581369E-2</v>
      </c>
    </row>
    <row r="9426" spans="8:8" ht="15" customHeight="1" x14ac:dyDescent="0.2">
      <c r="H9426" s="19">
        <v>5.9452181363801497E-3</v>
      </c>
    </row>
    <row r="9427" spans="8:8" ht="15" customHeight="1" x14ac:dyDescent="0.2">
      <c r="H9427" s="19">
        <v>-1.05771605349633E-2</v>
      </c>
    </row>
    <row r="9428" spans="8:8" ht="15" customHeight="1" x14ac:dyDescent="0.2">
      <c r="H9428" s="19">
        <v>-7.9214053460978998E-3</v>
      </c>
    </row>
    <row r="9429" spans="8:8" ht="15" customHeight="1" x14ac:dyDescent="0.2">
      <c r="H9429" s="19">
        <v>-4.8464779626938197E-3</v>
      </c>
    </row>
    <row r="9430" spans="8:8" ht="15" customHeight="1" x14ac:dyDescent="0.2">
      <c r="H9430" s="19">
        <v>-5.4231581971695498E-3</v>
      </c>
    </row>
    <row r="9431" spans="8:8" ht="15" customHeight="1" x14ac:dyDescent="0.2">
      <c r="H9431" s="19">
        <v>-4.70925913324397E-3</v>
      </c>
    </row>
    <row r="9432" spans="8:8" ht="15" customHeight="1" x14ac:dyDescent="0.2">
      <c r="H9432" s="19">
        <v>9.6139912051556003E-4</v>
      </c>
    </row>
    <row r="9433" spans="8:8" ht="15" customHeight="1" x14ac:dyDescent="0.2">
      <c r="H9433" s="19">
        <v>4.4580233199896704E-3</v>
      </c>
    </row>
    <row r="9434" spans="8:8" ht="15" customHeight="1" x14ac:dyDescent="0.2">
      <c r="H9434" s="19">
        <v>9.0178055412839103E-3</v>
      </c>
    </row>
    <row r="9435" spans="8:8" ht="15" customHeight="1" x14ac:dyDescent="0.2">
      <c r="H9435" s="19">
        <v>2.2053445998337601E-2</v>
      </c>
    </row>
    <row r="9436" spans="8:8" ht="15" customHeight="1" x14ac:dyDescent="0.2">
      <c r="H9436" s="19">
        <v>1.6804238152383199E-2</v>
      </c>
    </row>
    <row r="9437" spans="8:8" ht="15" customHeight="1" x14ac:dyDescent="0.2">
      <c r="H9437" s="19">
        <v>-1.0118517580669201E-2</v>
      </c>
    </row>
    <row r="9438" spans="8:8" ht="15" customHeight="1" x14ac:dyDescent="0.2">
      <c r="H9438" s="19">
        <v>8.7122361688589198E-3</v>
      </c>
    </row>
    <row r="9439" spans="8:8" ht="15" customHeight="1" x14ac:dyDescent="0.2">
      <c r="H9439" s="19">
        <v>-1.7295171627834201E-3</v>
      </c>
    </row>
    <row r="9440" spans="8:8" ht="15" customHeight="1" x14ac:dyDescent="0.2">
      <c r="H9440" s="19">
        <v>1.5899907360321801E-2</v>
      </c>
    </row>
    <row r="9441" spans="8:8" ht="15" customHeight="1" x14ac:dyDescent="0.2">
      <c r="H9441" s="19">
        <v>-4.3435852174288497E-3</v>
      </c>
    </row>
    <row r="9442" spans="8:8" ht="15" customHeight="1" x14ac:dyDescent="0.2">
      <c r="H9442" s="19">
        <v>3.95857282064497E-3</v>
      </c>
    </row>
    <row r="9443" spans="8:8" ht="15" customHeight="1" x14ac:dyDescent="0.2">
      <c r="H9443" s="19">
        <v>-2.6051976497320301E-2</v>
      </c>
    </row>
    <row r="9444" spans="8:8" ht="15" customHeight="1" x14ac:dyDescent="0.2">
      <c r="H9444" s="19">
        <v>-3.3568565817669901E-3</v>
      </c>
    </row>
    <row r="9445" spans="8:8" ht="15" customHeight="1" x14ac:dyDescent="0.2">
      <c r="H9445" s="19">
        <v>2.4708761381149798E-3</v>
      </c>
    </row>
    <row r="9446" spans="8:8" ht="15" customHeight="1" x14ac:dyDescent="0.2">
      <c r="H9446" s="19">
        <v>1.8805496333253301E-2</v>
      </c>
    </row>
    <row r="9447" spans="8:8" ht="15" customHeight="1" x14ac:dyDescent="0.2">
      <c r="H9447" s="19">
        <v>-5.41515830225257E-3</v>
      </c>
    </row>
    <row r="9448" spans="8:8" ht="15" customHeight="1" x14ac:dyDescent="0.2">
      <c r="H9448" s="19">
        <v>1.41402832656126E-2</v>
      </c>
    </row>
    <row r="9449" spans="8:8" ht="15" customHeight="1" x14ac:dyDescent="0.2">
      <c r="H9449" s="19">
        <v>3.0243023630748102E-3</v>
      </c>
    </row>
    <row r="9450" spans="8:8" ht="15" customHeight="1" x14ac:dyDescent="0.2">
      <c r="H9450" s="19">
        <v>-1.2465752013075999E-3</v>
      </c>
    </row>
    <row r="9451" spans="8:8" ht="15" customHeight="1" x14ac:dyDescent="0.2">
      <c r="H9451" s="19">
        <v>2.5789740699379199E-2</v>
      </c>
    </row>
    <row r="9452" spans="8:8" ht="15" customHeight="1" x14ac:dyDescent="0.2">
      <c r="H9452" s="19">
        <v>4.8095210872296599E-3</v>
      </c>
    </row>
    <row r="9453" spans="8:8" ht="15" customHeight="1" x14ac:dyDescent="0.2">
      <c r="H9453" s="19">
        <v>-2.5883136311693499E-3</v>
      </c>
    </row>
    <row r="9454" spans="8:8" ht="15" customHeight="1" x14ac:dyDescent="0.2">
      <c r="H9454" s="19">
        <v>9.0736403109624806E-3</v>
      </c>
    </row>
    <row r="9455" spans="8:8" ht="15" customHeight="1" x14ac:dyDescent="0.2">
      <c r="H9455" s="19">
        <v>-1.2158559128617E-2</v>
      </c>
    </row>
    <row r="9456" spans="8:8" ht="15" customHeight="1" x14ac:dyDescent="0.2">
      <c r="H9456" s="19">
        <v>-2.2133594842760401E-3</v>
      </c>
    </row>
    <row r="9457" spans="8:8" ht="15" customHeight="1" x14ac:dyDescent="0.2">
      <c r="H9457" s="19">
        <v>9.7848653432415205E-3</v>
      </c>
    </row>
    <row r="9458" spans="8:8" ht="15" customHeight="1" x14ac:dyDescent="0.2">
      <c r="H9458" s="19">
        <v>-2.95321633071788E-3</v>
      </c>
    </row>
    <row r="9459" spans="8:8" ht="15" customHeight="1" x14ac:dyDescent="0.2">
      <c r="H9459" s="19">
        <v>4.29890671744211E-3</v>
      </c>
    </row>
    <row r="9460" spans="8:8" ht="15" customHeight="1" x14ac:dyDescent="0.2">
      <c r="H9460" s="19">
        <v>-8.7184163289859007E-3</v>
      </c>
    </row>
    <row r="9461" spans="8:8" ht="15" customHeight="1" x14ac:dyDescent="0.2">
      <c r="H9461" s="19">
        <v>-1.3001534366449399E-3</v>
      </c>
    </row>
    <row r="9462" spans="8:8" ht="15" customHeight="1" x14ac:dyDescent="0.2">
      <c r="H9462" s="19">
        <v>1.0468024046674899E-2</v>
      </c>
    </row>
    <row r="9463" spans="8:8" ht="15" customHeight="1" x14ac:dyDescent="0.2">
      <c r="H9463" s="19">
        <v>8.3568495792594403E-3</v>
      </c>
    </row>
    <row r="9464" spans="8:8" ht="15" customHeight="1" x14ac:dyDescent="0.2">
      <c r="H9464" s="19">
        <v>-6.2164508847026003E-3</v>
      </c>
    </row>
    <row r="9465" spans="8:8" ht="15" customHeight="1" x14ac:dyDescent="0.2">
      <c r="H9465" s="19">
        <v>1.20842894383186E-2</v>
      </c>
    </row>
    <row r="9466" spans="8:8" ht="15" customHeight="1" x14ac:dyDescent="0.2">
      <c r="H9466" s="19">
        <v>7.28711447043275E-3</v>
      </c>
    </row>
    <row r="9467" spans="8:8" ht="15" customHeight="1" x14ac:dyDescent="0.2">
      <c r="H9467" s="19">
        <v>6.97983953917843E-3</v>
      </c>
    </row>
    <row r="9468" spans="8:8" ht="15" customHeight="1" x14ac:dyDescent="0.2">
      <c r="H9468" s="19">
        <v>1.36092014705346E-2</v>
      </c>
    </row>
    <row r="9469" spans="8:8" ht="15" customHeight="1" x14ac:dyDescent="0.2">
      <c r="H9469" s="19">
        <v>3.7511377390642502E-3</v>
      </c>
    </row>
    <row r="9470" spans="8:8" ht="15" customHeight="1" x14ac:dyDescent="0.2">
      <c r="H9470" s="19">
        <v>7.7630402329903698E-3</v>
      </c>
    </row>
    <row r="9471" spans="8:8" ht="15" customHeight="1" x14ac:dyDescent="0.2">
      <c r="H9471" s="19">
        <v>-1.3230188125789501E-2</v>
      </c>
    </row>
    <row r="9472" spans="8:8" ht="15" customHeight="1" x14ac:dyDescent="0.2">
      <c r="H9472" s="19">
        <v>-1.59184662155658E-2</v>
      </c>
    </row>
    <row r="9473" spans="8:8" ht="15" customHeight="1" x14ac:dyDescent="0.2">
      <c r="H9473" s="19">
        <v>-7.1124996849633998E-3</v>
      </c>
    </row>
    <row r="9474" spans="8:8" ht="15" customHeight="1" x14ac:dyDescent="0.2">
      <c r="H9474" s="19">
        <v>3.9356016107077703E-3</v>
      </c>
    </row>
    <row r="9475" spans="8:8" ht="15" customHeight="1" x14ac:dyDescent="0.2">
      <c r="H9475" s="19">
        <v>1.3253425750347299E-2</v>
      </c>
    </row>
    <row r="9476" spans="8:8" ht="15" customHeight="1" x14ac:dyDescent="0.2">
      <c r="H9476" s="19">
        <v>-8.5399793669936504E-3</v>
      </c>
    </row>
    <row r="9477" spans="8:8" ht="15" customHeight="1" x14ac:dyDescent="0.2">
      <c r="H9477" s="19">
        <v>1.50308767156716E-2</v>
      </c>
    </row>
    <row r="9478" spans="8:8" ht="15" customHeight="1" x14ac:dyDescent="0.2">
      <c r="H9478" s="19">
        <v>-2.1455277787169299E-3</v>
      </c>
    </row>
    <row r="9479" spans="8:8" ht="15" customHeight="1" x14ac:dyDescent="0.2">
      <c r="H9479" s="19">
        <v>-1.6505435325217201E-3</v>
      </c>
    </row>
    <row r="9480" spans="8:8" ht="15" customHeight="1" x14ac:dyDescent="0.2">
      <c r="H9480" s="19">
        <v>3.9117073963845696E-3</v>
      </c>
    </row>
    <row r="9481" spans="8:8" ht="15" customHeight="1" x14ac:dyDescent="0.2">
      <c r="H9481" s="19">
        <v>-1.0277750900736999E-2</v>
      </c>
    </row>
    <row r="9482" spans="8:8" ht="15" customHeight="1" x14ac:dyDescent="0.2">
      <c r="H9482" s="19">
        <v>4.3070186646330401E-4</v>
      </c>
    </row>
    <row r="9483" spans="8:8" ht="15" customHeight="1" x14ac:dyDescent="0.2">
      <c r="H9483" s="19">
        <v>1.84342869242663E-2</v>
      </c>
    </row>
    <row r="9484" spans="8:8" ht="15" customHeight="1" x14ac:dyDescent="0.2">
      <c r="H9484" s="19">
        <v>3.6399830686901502E-3</v>
      </c>
    </row>
    <row r="9485" spans="8:8" ht="15" customHeight="1" x14ac:dyDescent="0.2">
      <c r="H9485" s="19">
        <v>-1.03973206201188E-2</v>
      </c>
    </row>
    <row r="9486" spans="8:8" ht="15" customHeight="1" x14ac:dyDescent="0.2">
      <c r="H9486" s="19">
        <v>-9.3378681539279598E-3</v>
      </c>
    </row>
    <row r="9487" spans="8:8" ht="15" customHeight="1" x14ac:dyDescent="0.2">
      <c r="H9487" s="19">
        <v>5.3668321954010196E-4</v>
      </c>
    </row>
    <row r="9488" spans="8:8" ht="15" customHeight="1" x14ac:dyDescent="0.2">
      <c r="H9488" s="19">
        <v>-1.68667133728239E-3</v>
      </c>
    </row>
    <row r="9489" spans="8:8" ht="15" customHeight="1" x14ac:dyDescent="0.2">
      <c r="H9489" s="19">
        <v>-7.3150821050781099E-3</v>
      </c>
    </row>
    <row r="9490" spans="8:8" ht="15" customHeight="1" x14ac:dyDescent="0.2">
      <c r="H9490" s="19">
        <v>4.3793475904355403E-3</v>
      </c>
    </row>
    <row r="9491" spans="8:8" ht="15" customHeight="1" x14ac:dyDescent="0.2">
      <c r="H9491" s="19">
        <v>7.5450902442934396E-3</v>
      </c>
    </row>
    <row r="9492" spans="8:8" ht="15" customHeight="1" x14ac:dyDescent="0.2">
      <c r="H9492" s="19">
        <v>1.19477090535643E-2</v>
      </c>
    </row>
    <row r="9493" spans="8:8" ht="15" customHeight="1" x14ac:dyDescent="0.2">
      <c r="H9493" s="19">
        <v>1.7488991438847901E-2</v>
      </c>
    </row>
    <row r="9494" spans="8:8" ht="15" customHeight="1" x14ac:dyDescent="0.2">
      <c r="H9494" s="19">
        <v>3.69100915571663E-4</v>
      </c>
    </row>
    <row r="9495" spans="8:8" ht="15" customHeight="1" x14ac:dyDescent="0.2">
      <c r="H9495" s="19">
        <v>-1.7674036894907801E-2</v>
      </c>
    </row>
    <row r="9496" spans="8:8" ht="15" customHeight="1" x14ac:dyDescent="0.2">
      <c r="H9496" s="19">
        <v>2.7945142797567799E-3</v>
      </c>
    </row>
    <row r="9497" spans="8:8" ht="15" customHeight="1" x14ac:dyDescent="0.2">
      <c r="H9497" s="19">
        <v>2.28008695555787E-3</v>
      </c>
    </row>
    <row r="9498" spans="8:8" ht="15" customHeight="1" x14ac:dyDescent="0.2">
      <c r="H9498" s="19">
        <v>4.7501582535198301E-3</v>
      </c>
    </row>
    <row r="9499" spans="8:8" ht="15" customHeight="1" x14ac:dyDescent="0.2">
      <c r="H9499" s="19">
        <v>-1.8530157781386099E-3</v>
      </c>
    </row>
    <row r="9500" spans="8:8" ht="15" customHeight="1" x14ac:dyDescent="0.2">
      <c r="H9500" s="19">
        <v>1.31794789509395E-2</v>
      </c>
    </row>
    <row r="9501" spans="8:8" ht="15" customHeight="1" x14ac:dyDescent="0.2">
      <c r="H9501" s="19">
        <v>5.9951300349922899E-3</v>
      </c>
    </row>
    <row r="9502" spans="8:8" ht="15" customHeight="1" x14ac:dyDescent="0.2">
      <c r="H9502" s="19">
        <v>-4.5225015556376903E-3</v>
      </c>
    </row>
    <row r="9503" spans="8:8" ht="15" customHeight="1" x14ac:dyDescent="0.2">
      <c r="H9503" s="19">
        <v>1.7789816185170601E-2</v>
      </c>
    </row>
    <row r="9504" spans="8:8" ht="15" customHeight="1" x14ac:dyDescent="0.2">
      <c r="H9504" s="19">
        <v>1.03124029398173E-2</v>
      </c>
    </row>
    <row r="9505" spans="8:8" ht="15" customHeight="1" x14ac:dyDescent="0.2">
      <c r="H9505" s="19">
        <v>2.0149588925056899E-3</v>
      </c>
    </row>
    <row r="9506" spans="8:8" ht="15" customHeight="1" x14ac:dyDescent="0.2">
      <c r="H9506" s="19">
        <v>-3.8917184024762101E-3</v>
      </c>
    </row>
    <row r="9507" spans="8:8" ht="15" customHeight="1" x14ac:dyDescent="0.2">
      <c r="H9507" s="19">
        <v>-3.6503847350339001E-3</v>
      </c>
    </row>
    <row r="9508" spans="8:8" ht="15" customHeight="1" x14ac:dyDescent="0.2">
      <c r="H9508" s="19">
        <v>1.5207792072034199E-2</v>
      </c>
    </row>
    <row r="9509" spans="8:8" ht="15" customHeight="1" x14ac:dyDescent="0.2">
      <c r="H9509" s="19">
        <v>3.0513128945111102E-3</v>
      </c>
    </row>
    <row r="9510" spans="8:8" ht="15" customHeight="1" x14ac:dyDescent="0.2">
      <c r="H9510" s="19">
        <v>-7.3837327150850596E-4</v>
      </c>
    </row>
    <row r="9511" spans="8:8" ht="15" customHeight="1" x14ac:dyDescent="0.2">
      <c r="H9511" s="19">
        <v>-2.7503886044156199E-3</v>
      </c>
    </row>
    <row r="9512" spans="8:8" ht="15" customHeight="1" x14ac:dyDescent="0.2">
      <c r="H9512" s="19">
        <v>2.14110475484324E-3</v>
      </c>
    </row>
    <row r="9513" spans="8:8" ht="15" customHeight="1" x14ac:dyDescent="0.2">
      <c r="H9513" s="19">
        <v>-4.5365683611051097E-3</v>
      </c>
    </row>
    <row r="9514" spans="8:8" ht="15" customHeight="1" x14ac:dyDescent="0.2">
      <c r="H9514" s="19">
        <v>-2.72076768505891E-3</v>
      </c>
    </row>
    <row r="9515" spans="8:8" ht="15" customHeight="1" x14ac:dyDescent="0.2">
      <c r="H9515" s="19">
        <v>-7.0512535194709597E-3</v>
      </c>
    </row>
    <row r="9516" spans="8:8" ht="15" customHeight="1" x14ac:dyDescent="0.2">
      <c r="H9516" s="19">
        <v>1.8763967906360202E-2</v>
      </c>
    </row>
    <row r="9517" spans="8:8" ht="15" customHeight="1" x14ac:dyDescent="0.2">
      <c r="H9517" s="19">
        <v>8.6799823594309999E-3</v>
      </c>
    </row>
    <row r="9518" spans="8:8" ht="15" customHeight="1" x14ac:dyDescent="0.2">
      <c r="H9518" s="19">
        <v>1.9786761001838599E-2</v>
      </c>
    </row>
    <row r="9519" spans="8:8" ht="15" customHeight="1" x14ac:dyDescent="0.2">
      <c r="H9519" s="19">
        <v>-1.17702502811511E-2</v>
      </c>
    </row>
    <row r="9520" spans="8:8" ht="15" customHeight="1" x14ac:dyDescent="0.2">
      <c r="H9520" s="19">
        <v>1.36650626965887E-2</v>
      </c>
    </row>
    <row r="9521" spans="8:8" ht="15" customHeight="1" x14ac:dyDescent="0.2">
      <c r="H9521" s="19">
        <v>1.28754944491373E-2</v>
      </c>
    </row>
    <row r="9522" spans="8:8" ht="15" customHeight="1" x14ac:dyDescent="0.2">
      <c r="H9522" s="19">
        <v>8.5709471584350001E-3</v>
      </c>
    </row>
    <row r="9523" spans="8:8" ht="15" customHeight="1" x14ac:dyDescent="0.2">
      <c r="H9523" s="19">
        <v>-8.0866388320323199E-3</v>
      </c>
    </row>
    <row r="9524" spans="8:8" ht="15" customHeight="1" x14ac:dyDescent="0.2">
      <c r="H9524" s="19">
        <v>-1.51583328104448E-2</v>
      </c>
    </row>
    <row r="9525" spans="8:8" ht="15" customHeight="1" x14ac:dyDescent="0.2">
      <c r="H9525" s="19">
        <v>-3.62102882610363E-3</v>
      </c>
    </row>
    <row r="9526" spans="8:8" ht="15" customHeight="1" x14ac:dyDescent="0.2">
      <c r="H9526" s="19">
        <v>6.3519309811679199E-3</v>
      </c>
    </row>
    <row r="9527" spans="8:8" ht="15" customHeight="1" x14ac:dyDescent="0.2">
      <c r="H9527" s="19">
        <v>-1.38869160581817E-2</v>
      </c>
    </row>
    <row r="9528" spans="8:8" ht="15" customHeight="1" x14ac:dyDescent="0.2">
      <c r="H9528" s="19">
        <v>6.2934757375753003E-4</v>
      </c>
    </row>
    <row r="9529" spans="8:8" ht="15" customHeight="1" x14ac:dyDescent="0.2">
      <c r="H9529" s="19">
        <v>1.2417307594038999E-2</v>
      </c>
    </row>
    <row r="9530" spans="8:8" ht="15" customHeight="1" x14ac:dyDescent="0.2">
      <c r="H9530" s="19">
        <v>1.04733661764042E-2</v>
      </c>
    </row>
    <row r="9531" spans="8:8" ht="15" customHeight="1" x14ac:dyDescent="0.2">
      <c r="H9531" s="19">
        <v>3.9578126866495799E-3</v>
      </c>
    </row>
    <row r="9532" spans="8:8" ht="15" customHeight="1" x14ac:dyDescent="0.2">
      <c r="H9532" s="19">
        <v>-8.4293364884785102E-3</v>
      </c>
    </row>
    <row r="9533" spans="8:8" ht="15" customHeight="1" x14ac:dyDescent="0.2">
      <c r="H9533" s="19">
        <v>-1.4275267239156101E-2</v>
      </c>
    </row>
    <row r="9534" spans="8:8" ht="15" customHeight="1" x14ac:dyDescent="0.2">
      <c r="H9534" s="19">
        <v>-1.5926650419767199E-3</v>
      </c>
    </row>
    <row r="9535" spans="8:8" ht="15" customHeight="1" x14ac:dyDescent="0.2">
      <c r="H9535" s="19">
        <v>2.0776986797227301E-3</v>
      </c>
    </row>
    <row r="9536" spans="8:8" ht="15" customHeight="1" x14ac:dyDescent="0.2">
      <c r="H9536" s="19">
        <v>-7.8947472189046795E-4</v>
      </c>
    </row>
    <row r="9537" spans="8:8" ht="15" customHeight="1" x14ac:dyDescent="0.2">
      <c r="H9537" s="19">
        <v>8.0209540588772194E-3</v>
      </c>
    </row>
    <row r="9538" spans="8:8" ht="15" customHeight="1" x14ac:dyDescent="0.2">
      <c r="H9538" s="19">
        <v>2.4829348550194602E-3</v>
      </c>
    </row>
    <row r="9539" spans="8:8" ht="15" customHeight="1" x14ac:dyDescent="0.2">
      <c r="H9539" s="19">
        <v>7.9997873120929205E-3</v>
      </c>
    </row>
    <row r="9540" spans="8:8" ht="15" customHeight="1" x14ac:dyDescent="0.2">
      <c r="H9540" s="19">
        <v>-8.0973371426960507E-3</v>
      </c>
    </row>
    <row r="9541" spans="8:8" ht="15" customHeight="1" x14ac:dyDescent="0.2">
      <c r="H9541" s="19">
        <v>1.8776054599917901E-4</v>
      </c>
    </row>
    <row r="9542" spans="8:8" ht="15" customHeight="1" x14ac:dyDescent="0.2">
      <c r="H9542" s="19">
        <v>-6.9988419279223999E-3</v>
      </c>
    </row>
    <row r="9543" spans="8:8" ht="15" customHeight="1" x14ac:dyDescent="0.2">
      <c r="H9543" s="19">
        <v>-2.5260981168629699E-3</v>
      </c>
    </row>
    <row r="9544" spans="8:8" ht="15" customHeight="1" x14ac:dyDescent="0.2">
      <c r="H9544" s="19">
        <v>-8.4617278927112301E-3</v>
      </c>
    </row>
    <row r="9545" spans="8:8" ht="15" customHeight="1" x14ac:dyDescent="0.2">
      <c r="H9545" s="19">
        <v>5.23576569725695E-4</v>
      </c>
    </row>
    <row r="9546" spans="8:8" ht="15" customHeight="1" x14ac:dyDescent="0.2">
      <c r="H9546" s="19">
        <v>8.8834423385290395E-4</v>
      </c>
    </row>
    <row r="9547" spans="8:8" ht="15" customHeight="1" x14ac:dyDescent="0.2">
      <c r="H9547" s="19">
        <v>-3.9572211176771297E-3</v>
      </c>
    </row>
    <row r="9548" spans="8:8" ht="15" customHeight="1" x14ac:dyDescent="0.2">
      <c r="H9548" s="19">
        <v>2.7039537711746301E-3</v>
      </c>
    </row>
    <row r="9549" spans="8:8" ht="15" customHeight="1" x14ac:dyDescent="0.2">
      <c r="H9549" s="19">
        <v>2.9342424059102699E-3</v>
      </c>
    </row>
    <row r="9550" spans="8:8" ht="15" customHeight="1" x14ac:dyDescent="0.2">
      <c r="H9550" s="19">
        <v>-9.4574351392630101E-4</v>
      </c>
    </row>
    <row r="9551" spans="8:8" ht="15" customHeight="1" x14ac:dyDescent="0.2">
      <c r="H9551" s="19">
        <v>-7.1757604063212802E-3</v>
      </c>
    </row>
    <row r="9552" spans="8:8" ht="15" customHeight="1" x14ac:dyDescent="0.2">
      <c r="H9552" s="19">
        <v>1.00250307071007E-2</v>
      </c>
    </row>
    <row r="9553" spans="8:8" ht="15" customHeight="1" x14ac:dyDescent="0.2">
      <c r="H9553" s="19">
        <v>1.30989517532421E-2</v>
      </c>
    </row>
    <row r="9554" spans="8:8" ht="15" customHeight="1" x14ac:dyDescent="0.2">
      <c r="H9554" s="19">
        <v>9.38446402860473E-3</v>
      </c>
    </row>
    <row r="9555" spans="8:8" ht="15" customHeight="1" x14ac:dyDescent="0.2">
      <c r="H9555" s="19">
        <v>6.2218029566244099E-4</v>
      </c>
    </row>
    <row r="9556" spans="8:8" ht="15" customHeight="1" x14ac:dyDescent="0.2">
      <c r="H9556" s="19">
        <v>5.6736138179818299E-3</v>
      </c>
    </row>
    <row r="9557" spans="8:8" ht="15" customHeight="1" x14ac:dyDescent="0.2">
      <c r="H9557" s="19">
        <v>1.03150607797531E-2</v>
      </c>
    </row>
    <row r="9558" spans="8:8" ht="15" customHeight="1" x14ac:dyDescent="0.2">
      <c r="H9558" s="19">
        <v>-1.15383494192306E-2</v>
      </c>
    </row>
    <row r="9559" spans="8:8" ht="15" customHeight="1" x14ac:dyDescent="0.2">
      <c r="H9559" s="19">
        <v>-1.443145293778E-3</v>
      </c>
    </row>
    <row r="9560" spans="8:8" ht="15" customHeight="1" x14ac:dyDescent="0.2">
      <c r="H9560" s="19">
        <v>-2.9807287390616801E-3</v>
      </c>
    </row>
    <row r="9561" spans="8:8" ht="15" customHeight="1" x14ac:dyDescent="0.2">
      <c r="H9561" s="19">
        <v>1.6434138438246801E-2</v>
      </c>
    </row>
    <row r="9562" spans="8:8" ht="15" customHeight="1" x14ac:dyDescent="0.2">
      <c r="H9562" s="19">
        <v>-1.09185213898101E-2</v>
      </c>
    </row>
    <row r="9563" spans="8:8" ht="15" customHeight="1" x14ac:dyDescent="0.2">
      <c r="H9563" s="19">
        <v>1.59528229181559E-2</v>
      </c>
    </row>
    <row r="9564" spans="8:8" ht="15" customHeight="1" x14ac:dyDescent="0.2">
      <c r="H9564" s="19">
        <v>-1.4482793098625399E-3</v>
      </c>
    </row>
    <row r="9565" spans="8:8" ht="15" customHeight="1" x14ac:dyDescent="0.2">
      <c r="H9565" s="19">
        <v>-9.3078405850368501E-3</v>
      </c>
    </row>
    <row r="9566" spans="8:8" ht="15" customHeight="1" x14ac:dyDescent="0.2">
      <c r="H9566" s="19">
        <v>-2.8842217149433499E-4</v>
      </c>
    </row>
    <row r="9567" spans="8:8" ht="15" customHeight="1" x14ac:dyDescent="0.2">
      <c r="H9567" s="19">
        <v>-9.3974691749662605E-3</v>
      </c>
    </row>
    <row r="9568" spans="8:8" ht="15" customHeight="1" x14ac:dyDescent="0.2">
      <c r="H9568" s="19">
        <v>-6.0777938917636097E-3</v>
      </c>
    </row>
    <row r="9569" spans="8:8" ht="15" customHeight="1" x14ac:dyDescent="0.2">
      <c r="H9569" s="19">
        <v>1.0745223906353201E-2</v>
      </c>
    </row>
    <row r="9570" spans="8:8" ht="15" customHeight="1" x14ac:dyDescent="0.2">
      <c r="H9570" s="19">
        <v>-8.6373079033686996E-3</v>
      </c>
    </row>
    <row r="9571" spans="8:8" ht="15" customHeight="1" x14ac:dyDescent="0.2">
      <c r="H9571" s="19">
        <v>-2.3456417248084099E-2</v>
      </c>
    </row>
    <row r="9572" spans="8:8" ht="15" customHeight="1" x14ac:dyDescent="0.2">
      <c r="H9572" s="19">
        <v>7.1695679573612198E-3</v>
      </c>
    </row>
    <row r="9573" spans="8:8" ht="15" customHeight="1" x14ac:dyDescent="0.2">
      <c r="H9573" s="19">
        <v>-1.40832039052259E-3</v>
      </c>
    </row>
    <row r="9574" spans="8:8" ht="15" customHeight="1" x14ac:dyDescent="0.2">
      <c r="H9574" s="19">
        <v>6.40818081106251E-3</v>
      </c>
    </row>
    <row r="9575" spans="8:8" ht="15" customHeight="1" x14ac:dyDescent="0.2">
      <c r="H9575" s="19">
        <v>-5.3640011806397399E-4</v>
      </c>
    </row>
    <row r="9576" spans="8:8" ht="15" customHeight="1" x14ac:dyDescent="0.2">
      <c r="H9576" s="19">
        <v>-2.3940199808180401E-4</v>
      </c>
    </row>
    <row r="9577" spans="8:8" ht="15" customHeight="1" x14ac:dyDescent="0.2">
      <c r="H9577" s="19">
        <v>5.1471256714788298E-4</v>
      </c>
    </row>
    <row r="9578" spans="8:8" ht="15" customHeight="1" x14ac:dyDescent="0.2">
      <c r="H9578" s="19">
        <v>5.0366263048627503E-3</v>
      </c>
    </row>
    <row r="9579" spans="8:8" ht="15" customHeight="1" x14ac:dyDescent="0.2">
      <c r="H9579" s="19">
        <v>-8.6881495920916995E-3</v>
      </c>
    </row>
    <row r="9580" spans="8:8" ht="15" customHeight="1" x14ac:dyDescent="0.2">
      <c r="H9580" s="19">
        <v>-7.33762105045189E-3</v>
      </c>
    </row>
    <row r="9581" spans="8:8" ht="15" customHeight="1" x14ac:dyDescent="0.2">
      <c r="H9581" s="19">
        <v>-1.4098002630977101E-2</v>
      </c>
    </row>
    <row r="9582" spans="8:8" ht="15" customHeight="1" x14ac:dyDescent="0.2">
      <c r="H9582" s="19">
        <v>6.1338527381882097E-3</v>
      </c>
    </row>
    <row r="9583" spans="8:8" ht="15" customHeight="1" x14ac:dyDescent="0.2">
      <c r="H9583" s="19">
        <v>9.2960931453736802E-4</v>
      </c>
    </row>
    <row r="9584" spans="8:8" ht="15" customHeight="1" x14ac:dyDescent="0.2">
      <c r="H9584" s="19">
        <v>1.9054877622491799E-2</v>
      </c>
    </row>
    <row r="9585" spans="8:8" ht="15" customHeight="1" x14ac:dyDescent="0.2">
      <c r="H9585" s="19">
        <v>8.9174886646950101E-4</v>
      </c>
    </row>
    <row r="9586" spans="8:8" ht="15" customHeight="1" x14ac:dyDescent="0.2">
      <c r="H9586" s="19">
        <v>-2.0396835929979498E-3</v>
      </c>
    </row>
    <row r="9587" spans="8:8" ht="15" customHeight="1" x14ac:dyDescent="0.2">
      <c r="H9587" s="19">
        <v>6.9504705076432602E-3</v>
      </c>
    </row>
    <row r="9588" spans="8:8" ht="15" customHeight="1" x14ac:dyDescent="0.2">
      <c r="H9588" s="19">
        <v>-9.2967569032610699E-3</v>
      </c>
    </row>
    <row r="9589" spans="8:8" ht="15" customHeight="1" x14ac:dyDescent="0.2">
      <c r="H9589" s="19">
        <v>1.25391816778166E-2</v>
      </c>
    </row>
    <row r="9590" spans="8:8" ht="15" customHeight="1" x14ac:dyDescent="0.2">
      <c r="H9590" s="19">
        <v>-2.0990796309194398E-2</v>
      </c>
    </row>
    <row r="9591" spans="8:8" ht="15" customHeight="1" x14ac:dyDescent="0.2">
      <c r="H9591" s="19">
        <v>-1.4255940817067801E-2</v>
      </c>
    </row>
    <row r="9592" spans="8:8" ht="15" customHeight="1" x14ac:dyDescent="0.2">
      <c r="H9592" s="19">
        <v>2.3628652944625902E-3</v>
      </c>
    </row>
    <row r="9593" spans="8:8" ht="15" customHeight="1" x14ac:dyDescent="0.2">
      <c r="H9593" s="19">
        <v>8.1316958759398705E-3</v>
      </c>
    </row>
    <row r="9594" spans="8:8" ht="15" customHeight="1" x14ac:dyDescent="0.2">
      <c r="H9594" s="19">
        <v>1.6488905257666001E-2</v>
      </c>
    </row>
    <row r="9595" spans="8:8" ht="15" customHeight="1" x14ac:dyDescent="0.2">
      <c r="H9595" s="19">
        <v>-1.42011466290112E-2</v>
      </c>
    </row>
    <row r="9596" spans="8:8" ht="15" customHeight="1" x14ac:dyDescent="0.2">
      <c r="H9596" s="19">
        <v>4.8216061832854398E-3</v>
      </c>
    </row>
    <row r="9597" spans="8:8" ht="15" customHeight="1" x14ac:dyDescent="0.2">
      <c r="H9597" s="19">
        <v>1.3979954862093301E-2</v>
      </c>
    </row>
    <row r="9598" spans="8:8" ht="15" customHeight="1" x14ac:dyDescent="0.2">
      <c r="H9598" s="19">
        <v>1.36851522802097E-2</v>
      </c>
    </row>
    <row r="9599" spans="8:8" ht="15" customHeight="1" x14ac:dyDescent="0.2">
      <c r="H9599" s="19">
        <v>4.5366008639936197E-3</v>
      </c>
    </row>
    <row r="9600" spans="8:8" ht="15" customHeight="1" x14ac:dyDescent="0.2">
      <c r="H9600" s="19">
        <v>-2.07187255663759E-3</v>
      </c>
    </row>
    <row r="9601" spans="8:8" ht="15" customHeight="1" x14ac:dyDescent="0.2">
      <c r="H9601" s="19">
        <v>-3.4946636962609199E-3</v>
      </c>
    </row>
    <row r="9602" spans="8:8" ht="15" customHeight="1" x14ac:dyDescent="0.2">
      <c r="H9602" s="19">
        <v>7.4992974779469002E-3</v>
      </c>
    </row>
    <row r="9603" spans="8:8" ht="15" customHeight="1" x14ac:dyDescent="0.2">
      <c r="H9603" s="19">
        <v>-1.2357054321683599E-2</v>
      </c>
    </row>
    <row r="9604" spans="8:8" ht="15" customHeight="1" x14ac:dyDescent="0.2">
      <c r="H9604" s="19">
        <v>6.1508227086143402E-3</v>
      </c>
    </row>
    <row r="9605" spans="8:8" ht="15" customHeight="1" x14ac:dyDescent="0.2">
      <c r="H9605" s="19">
        <v>-9.5368983846193193E-3</v>
      </c>
    </row>
    <row r="9606" spans="8:8" ht="15" customHeight="1" x14ac:dyDescent="0.2">
      <c r="H9606" s="19">
        <v>1.25132884167416E-2</v>
      </c>
    </row>
    <row r="9607" spans="8:8" ht="15" customHeight="1" x14ac:dyDescent="0.2">
      <c r="H9607" s="19">
        <v>1.5131097238678601E-2</v>
      </c>
    </row>
    <row r="9608" spans="8:8" ht="15" customHeight="1" x14ac:dyDescent="0.2">
      <c r="H9608" s="19">
        <v>-4.1496201736307596E-3</v>
      </c>
    </row>
    <row r="9609" spans="8:8" ht="15" customHeight="1" x14ac:dyDescent="0.2">
      <c r="H9609" s="19">
        <v>-4.6730474368261504E-3</v>
      </c>
    </row>
    <row r="9610" spans="8:8" ht="15" customHeight="1" x14ac:dyDescent="0.2">
      <c r="H9610" s="19">
        <v>-4.6536663024923496E-3</v>
      </c>
    </row>
    <row r="9611" spans="8:8" ht="15" customHeight="1" x14ac:dyDescent="0.2">
      <c r="H9611" s="19">
        <v>2.05462590371659E-2</v>
      </c>
    </row>
    <row r="9612" spans="8:8" ht="15" customHeight="1" x14ac:dyDescent="0.2">
      <c r="H9612" s="19">
        <v>1.53042792158373E-2</v>
      </c>
    </row>
    <row r="9613" spans="8:8" ht="15" customHeight="1" x14ac:dyDescent="0.2">
      <c r="H9613" s="19">
        <v>5.39601079972291E-3</v>
      </c>
    </row>
    <row r="9614" spans="8:8" ht="15" customHeight="1" x14ac:dyDescent="0.2">
      <c r="H9614" s="19">
        <v>7.1735483752465102E-3</v>
      </c>
    </row>
    <row r="9615" spans="8:8" ht="15" customHeight="1" x14ac:dyDescent="0.2">
      <c r="H9615" s="19">
        <v>-7.6332043064017299E-4</v>
      </c>
    </row>
    <row r="9616" spans="8:8" ht="15" customHeight="1" x14ac:dyDescent="0.2">
      <c r="H9616" s="19">
        <v>1.1140961276834199E-2</v>
      </c>
    </row>
    <row r="9617" spans="8:8" ht="15" customHeight="1" x14ac:dyDescent="0.2">
      <c r="H9617" s="19">
        <v>-5.4784488035022599E-3</v>
      </c>
    </row>
    <row r="9618" spans="8:8" ht="15" customHeight="1" x14ac:dyDescent="0.2">
      <c r="H9618" s="19">
        <v>-8.8097718838597693E-3</v>
      </c>
    </row>
    <row r="9619" spans="8:8" ht="15" customHeight="1" x14ac:dyDescent="0.2">
      <c r="H9619" s="19">
        <v>-1.22829076502962E-2</v>
      </c>
    </row>
    <row r="9620" spans="8:8" ht="15" customHeight="1" x14ac:dyDescent="0.2">
      <c r="H9620" s="19">
        <v>-8.5987459344399695E-3</v>
      </c>
    </row>
    <row r="9621" spans="8:8" ht="15" customHeight="1" x14ac:dyDescent="0.2">
      <c r="H9621" s="19">
        <v>8.7011731245523107E-3</v>
      </c>
    </row>
    <row r="9622" spans="8:8" ht="15" customHeight="1" x14ac:dyDescent="0.2">
      <c r="H9622" s="19">
        <v>-5.4265649049666303E-3</v>
      </c>
    </row>
    <row r="9623" spans="8:8" ht="15" customHeight="1" x14ac:dyDescent="0.2">
      <c r="H9623" s="19">
        <v>6.9506324010612701E-3</v>
      </c>
    </row>
    <row r="9624" spans="8:8" ht="15" customHeight="1" x14ac:dyDescent="0.2">
      <c r="H9624" s="19">
        <v>-4.73459636783419E-3</v>
      </c>
    </row>
    <row r="9625" spans="8:8" ht="15" customHeight="1" x14ac:dyDescent="0.2">
      <c r="H9625" s="19">
        <v>-1.07482122680592E-2</v>
      </c>
    </row>
    <row r="9626" spans="8:8" ht="15" customHeight="1" x14ac:dyDescent="0.2">
      <c r="H9626" s="19">
        <v>1.0162233832191299E-3</v>
      </c>
    </row>
    <row r="9627" spans="8:8" ht="15" customHeight="1" x14ac:dyDescent="0.2">
      <c r="H9627" s="19">
        <v>-8.5361571122601707E-3</v>
      </c>
    </row>
    <row r="9628" spans="8:8" ht="15" customHeight="1" x14ac:dyDescent="0.2">
      <c r="H9628" s="19">
        <v>5.9180070613433699E-3</v>
      </c>
    </row>
    <row r="9629" spans="8:8" ht="15" customHeight="1" x14ac:dyDescent="0.2">
      <c r="H9629" s="19">
        <v>-1.65447692159198E-2</v>
      </c>
    </row>
    <row r="9630" spans="8:8" ht="15" customHeight="1" x14ac:dyDescent="0.2">
      <c r="H9630" s="19">
        <v>-2.7742820646916602E-2</v>
      </c>
    </row>
    <row r="9631" spans="8:8" ht="15" customHeight="1" x14ac:dyDescent="0.2">
      <c r="H9631" s="19">
        <v>2.27267664041939E-2</v>
      </c>
    </row>
    <row r="9632" spans="8:8" ht="15" customHeight="1" x14ac:dyDescent="0.2">
      <c r="H9632" s="19">
        <v>2.55044099903502E-2</v>
      </c>
    </row>
    <row r="9633" spans="8:8" ht="15" customHeight="1" x14ac:dyDescent="0.2">
      <c r="H9633" s="19">
        <v>-4.9416368610215398E-4</v>
      </c>
    </row>
    <row r="9634" spans="8:8" ht="15" customHeight="1" x14ac:dyDescent="0.2">
      <c r="H9634" s="19">
        <v>1.3609115060334599E-3</v>
      </c>
    </row>
    <row r="9635" spans="8:8" ht="15" customHeight="1" x14ac:dyDescent="0.2">
      <c r="H9635" s="19">
        <v>6.5940552606473897E-3</v>
      </c>
    </row>
    <row r="9636" spans="8:8" ht="15" customHeight="1" x14ac:dyDescent="0.2">
      <c r="H9636" s="19">
        <v>-4.8853326017490504E-4</v>
      </c>
    </row>
    <row r="9637" spans="8:8" ht="15" customHeight="1" x14ac:dyDescent="0.2">
      <c r="H9637" s="19">
        <v>3.2374635783738601E-2</v>
      </c>
    </row>
    <row r="9638" spans="8:8" ht="15" customHeight="1" x14ac:dyDescent="0.2">
      <c r="H9638" s="19">
        <v>-6.32226327425937E-4</v>
      </c>
    </row>
    <row r="9639" spans="8:8" ht="15" customHeight="1" x14ac:dyDescent="0.2">
      <c r="H9639" s="19">
        <v>-4.5616587620220701E-3</v>
      </c>
    </row>
    <row r="9640" spans="8:8" ht="15" customHeight="1" x14ac:dyDescent="0.2">
      <c r="H9640" s="19">
        <v>-2.0018428596505902E-2</v>
      </c>
    </row>
    <row r="9641" spans="8:8" ht="15" customHeight="1" x14ac:dyDescent="0.2">
      <c r="H9641" s="19">
        <v>-2.4672323277416101E-3</v>
      </c>
    </row>
    <row r="9642" spans="8:8" ht="15" customHeight="1" x14ac:dyDescent="0.2">
      <c r="H9642" s="19">
        <v>-1.32671755840799E-2</v>
      </c>
    </row>
    <row r="9643" spans="8:8" ht="15" customHeight="1" x14ac:dyDescent="0.2">
      <c r="H9643" s="19">
        <v>2.3210298483260901E-2</v>
      </c>
    </row>
    <row r="9644" spans="8:8" ht="15" customHeight="1" x14ac:dyDescent="0.2">
      <c r="H9644" s="19">
        <v>-4.3512221499493403E-3</v>
      </c>
    </row>
    <row r="9645" spans="8:8" ht="15" customHeight="1" x14ac:dyDescent="0.2">
      <c r="H9645" s="19">
        <v>-9.2721418829581296E-3</v>
      </c>
    </row>
    <row r="9646" spans="8:8" ht="15" customHeight="1" x14ac:dyDescent="0.2">
      <c r="H9646" s="19">
        <v>2.5674096123958698E-3</v>
      </c>
    </row>
    <row r="9647" spans="8:8" ht="15" customHeight="1" x14ac:dyDescent="0.2">
      <c r="H9647" s="19">
        <v>-2.4135953545414098E-3</v>
      </c>
    </row>
    <row r="9648" spans="8:8" ht="15" customHeight="1" x14ac:dyDescent="0.2">
      <c r="H9648" s="19">
        <v>7.8331684151428192E-3</v>
      </c>
    </row>
    <row r="9649" spans="8:8" ht="15" customHeight="1" x14ac:dyDescent="0.2">
      <c r="H9649" s="19">
        <v>-8.5447865422905601E-3</v>
      </c>
    </row>
    <row r="9650" spans="8:8" ht="15" customHeight="1" x14ac:dyDescent="0.2">
      <c r="H9650" s="19">
        <v>7.1579570805854103E-3</v>
      </c>
    </row>
    <row r="9651" spans="8:8" ht="15" customHeight="1" x14ac:dyDescent="0.2">
      <c r="H9651" s="19">
        <v>-8.5027164715505508E-3</v>
      </c>
    </row>
    <row r="9652" spans="8:8" ht="15" customHeight="1" x14ac:dyDescent="0.2">
      <c r="H9652" s="19">
        <v>3.6441672955148802E-3</v>
      </c>
    </row>
    <row r="9653" spans="8:8" ht="15" customHeight="1" x14ac:dyDescent="0.2">
      <c r="H9653" s="19">
        <v>6.22771036852535E-3</v>
      </c>
    </row>
    <row r="9654" spans="8:8" ht="15" customHeight="1" x14ac:dyDescent="0.2">
      <c r="H9654" s="19">
        <v>1.7046976576028602E-2</v>
      </c>
    </row>
    <row r="9655" spans="8:8" ht="15" customHeight="1" x14ac:dyDescent="0.2">
      <c r="H9655" s="19">
        <v>-2.20023796930528E-3</v>
      </c>
    </row>
    <row r="9656" spans="8:8" ht="15" customHeight="1" x14ac:dyDescent="0.2">
      <c r="H9656" s="19">
        <v>9.1633063449642303E-3</v>
      </c>
    </row>
    <row r="9657" spans="8:8" ht="15" customHeight="1" x14ac:dyDescent="0.2">
      <c r="H9657" s="19">
        <v>1.69104882786263E-2</v>
      </c>
    </row>
    <row r="9658" spans="8:8" ht="15" customHeight="1" x14ac:dyDescent="0.2">
      <c r="H9658" s="19">
        <v>9.51347824347493E-3</v>
      </c>
    </row>
    <row r="9659" spans="8:8" ht="15" customHeight="1" x14ac:dyDescent="0.2">
      <c r="H9659" s="19">
        <v>1.1192727019223799E-2</v>
      </c>
    </row>
    <row r="9660" spans="8:8" ht="15" customHeight="1" x14ac:dyDescent="0.2">
      <c r="H9660" s="19">
        <v>1.67212683233854E-3</v>
      </c>
    </row>
    <row r="9661" spans="8:8" ht="15" customHeight="1" x14ac:dyDescent="0.2">
      <c r="H9661" s="19">
        <v>-1.16950819684548E-2</v>
      </c>
    </row>
    <row r="9662" spans="8:8" ht="15" customHeight="1" x14ac:dyDescent="0.2">
      <c r="H9662" s="19">
        <v>-8.3585367216812197E-3</v>
      </c>
    </row>
    <row r="9663" spans="8:8" ht="15" customHeight="1" x14ac:dyDescent="0.2">
      <c r="H9663" s="19">
        <v>-8.4221284657636092E-3</v>
      </c>
    </row>
    <row r="9664" spans="8:8" ht="15" customHeight="1" x14ac:dyDescent="0.2">
      <c r="H9664" s="19">
        <v>1.30723444556835E-3</v>
      </c>
    </row>
    <row r="9665" spans="8:8" ht="15" customHeight="1" x14ac:dyDescent="0.2">
      <c r="H9665" s="19">
        <v>-7.5209731544026203E-3</v>
      </c>
    </row>
    <row r="9666" spans="8:8" ht="15" customHeight="1" x14ac:dyDescent="0.2">
      <c r="H9666" s="19">
        <v>-1.80481825278386E-3</v>
      </c>
    </row>
    <row r="9667" spans="8:8" ht="15" customHeight="1" x14ac:dyDescent="0.2">
      <c r="H9667" s="19">
        <v>-4.2701532871715899E-3</v>
      </c>
    </row>
    <row r="9668" spans="8:8" ht="15" customHeight="1" x14ac:dyDescent="0.2">
      <c r="H9668" s="19">
        <v>2.3245715924014001E-2</v>
      </c>
    </row>
    <row r="9669" spans="8:8" ht="15" customHeight="1" x14ac:dyDescent="0.2">
      <c r="H9669" s="19">
        <v>2.2959278294999299E-2</v>
      </c>
    </row>
    <row r="9670" spans="8:8" ht="15" customHeight="1" x14ac:dyDescent="0.2">
      <c r="H9670" s="19">
        <v>-6.7997283724161497E-3</v>
      </c>
    </row>
    <row r="9671" spans="8:8" ht="15" customHeight="1" x14ac:dyDescent="0.2">
      <c r="H9671" s="19">
        <v>2.7078336861797898E-3</v>
      </c>
    </row>
    <row r="9672" spans="8:8" ht="15" customHeight="1" x14ac:dyDescent="0.2">
      <c r="H9672" s="19">
        <v>-7.26565155845698E-3</v>
      </c>
    </row>
    <row r="9673" spans="8:8" ht="15" customHeight="1" x14ac:dyDescent="0.2">
      <c r="H9673" s="19">
        <v>-5.9636356401973501E-3</v>
      </c>
    </row>
    <row r="9674" spans="8:8" ht="15" customHeight="1" x14ac:dyDescent="0.2">
      <c r="H9674" s="19">
        <v>-1.4513465765652401E-2</v>
      </c>
    </row>
    <row r="9675" spans="8:8" ht="15" customHeight="1" x14ac:dyDescent="0.2">
      <c r="H9675" s="19">
        <v>-8.8809832612082897E-3</v>
      </c>
    </row>
    <row r="9676" spans="8:8" ht="15" customHeight="1" x14ac:dyDescent="0.2">
      <c r="H9676" s="19">
        <v>1.32960660801676E-2</v>
      </c>
    </row>
    <row r="9677" spans="8:8" ht="15" customHeight="1" x14ac:dyDescent="0.2">
      <c r="H9677" s="19">
        <v>1.9128315096047801E-3</v>
      </c>
    </row>
    <row r="9678" spans="8:8" ht="15" customHeight="1" x14ac:dyDescent="0.2">
      <c r="H9678" s="19">
        <v>-1.4918703802865001E-4</v>
      </c>
    </row>
    <row r="9679" spans="8:8" ht="15" customHeight="1" x14ac:dyDescent="0.2">
      <c r="H9679" s="19">
        <v>8.42649498411621E-3</v>
      </c>
    </row>
    <row r="9680" spans="8:8" ht="15" customHeight="1" x14ac:dyDescent="0.2">
      <c r="H9680" s="19">
        <v>7.7552839125890997E-3</v>
      </c>
    </row>
    <row r="9681" spans="8:8" ht="15" customHeight="1" x14ac:dyDescent="0.2">
      <c r="H9681" s="19">
        <v>8.17855973919915E-3</v>
      </c>
    </row>
    <row r="9682" spans="8:8" ht="15" customHeight="1" x14ac:dyDescent="0.2">
      <c r="H9682" s="19">
        <v>-1.09040029217383E-2</v>
      </c>
    </row>
    <row r="9683" spans="8:8" ht="15" customHeight="1" x14ac:dyDescent="0.2">
      <c r="H9683" s="19">
        <v>7.1269302077999804E-3</v>
      </c>
    </row>
    <row r="9684" spans="8:8" ht="15" customHeight="1" x14ac:dyDescent="0.2">
      <c r="H9684" s="19">
        <v>3.4869942959755902E-3</v>
      </c>
    </row>
    <row r="9685" spans="8:8" ht="15" customHeight="1" x14ac:dyDescent="0.2">
      <c r="H9685" s="19">
        <v>7.7325723930211903E-3</v>
      </c>
    </row>
    <row r="9686" spans="8:8" ht="15" customHeight="1" x14ac:dyDescent="0.2">
      <c r="H9686" s="19">
        <v>-1.6767149359887799E-2</v>
      </c>
    </row>
    <row r="9687" spans="8:8" ht="15" customHeight="1" x14ac:dyDescent="0.2">
      <c r="H9687" s="19">
        <v>-2.77123487585711E-3</v>
      </c>
    </row>
    <row r="9688" spans="8:8" ht="15" customHeight="1" x14ac:dyDescent="0.2">
      <c r="H9688" s="19">
        <v>-8.4990684731214398E-3</v>
      </c>
    </row>
    <row r="9689" spans="8:8" ht="15" customHeight="1" x14ac:dyDescent="0.2">
      <c r="H9689" s="19">
        <v>6.7296669966603398E-3</v>
      </c>
    </row>
    <row r="9690" spans="8:8" ht="15" customHeight="1" x14ac:dyDescent="0.2">
      <c r="H9690" s="19">
        <v>1.7495266481722602E-2</v>
      </c>
    </row>
    <row r="9691" spans="8:8" ht="15" customHeight="1" x14ac:dyDescent="0.2">
      <c r="H9691" s="19">
        <v>7.4228264178622999E-3</v>
      </c>
    </row>
    <row r="9692" spans="8:8" ht="15" customHeight="1" x14ac:dyDescent="0.2">
      <c r="H9692" s="19">
        <v>-1.78545419426426E-3</v>
      </c>
    </row>
    <row r="9693" spans="8:8" ht="15" customHeight="1" x14ac:dyDescent="0.2">
      <c r="H9693" s="19">
        <v>-5.2195387998531099E-4</v>
      </c>
    </row>
    <row r="9694" spans="8:8" ht="15" customHeight="1" x14ac:dyDescent="0.2">
      <c r="H9694" s="19">
        <v>4.92502220427496E-3</v>
      </c>
    </row>
    <row r="9695" spans="8:8" ht="15" customHeight="1" x14ac:dyDescent="0.2">
      <c r="H9695" s="19">
        <v>-1.9796879091262098E-2</v>
      </c>
    </row>
    <row r="9696" spans="8:8" ht="15" customHeight="1" x14ac:dyDescent="0.2">
      <c r="H9696" s="19">
        <v>-1.8952289922149999E-2</v>
      </c>
    </row>
    <row r="9697" spans="8:8" ht="15" customHeight="1" x14ac:dyDescent="0.2">
      <c r="H9697" s="19">
        <v>-3.10357309391413E-3</v>
      </c>
    </row>
    <row r="9698" spans="8:8" ht="15" customHeight="1" x14ac:dyDescent="0.2">
      <c r="H9698" s="19">
        <v>-4.5076681830749704E-3</v>
      </c>
    </row>
    <row r="9699" spans="8:8" ht="15" customHeight="1" x14ac:dyDescent="0.2">
      <c r="H9699" s="19">
        <v>-1.65947979765977E-3</v>
      </c>
    </row>
    <row r="9700" spans="8:8" ht="15" customHeight="1" x14ac:dyDescent="0.2">
      <c r="H9700" s="19">
        <v>1.8796558805019199E-2</v>
      </c>
    </row>
    <row r="9701" spans="8:8" ht="15" customHeight="1" x14ac:dyDescent="0.2">
      <c r="H9701" s="19">
        <v>-1.9349072055635401E-2</v>
      </c>
    </row>
    <row r="9702" spans="8:8" ht="15" customHeight="1" x14ac:dyDescent="0.2">
      <c r="H9702" s="19">
        <v>-4.3885660685243701E-4</v>
      </c>
    </row>
    <row r="9703" spans="8:8" ht="15" customHeight="1" x14ac:dyDescent="0.2">
      <c r="H9703" s="19">
        <v>1.67966959943014E-3</v>
      </c>
    </row>
    <row r="9704" spans="8:8" ht="15" customHeight="1" x14ac:dyDescent="0.2">
      <c r="H9704" s="19">
        <v>1.26827907957274E-2</v>
      </c>
    </row>
    <row r="9705" spans="8:8" ht="15" customHeight="1" x14ac:dyDescent="0.2">
      <c r="H9705" s="19">
        <v>2.27047423647331E-4</v>
      </c>
    </row>
    <row r="9706" spans="8:8" ht="15" customHeight="1" x14ac:dyDescent="0.2">
      <c r="H9706" s="19">
        <v>-9.6093766831386492E-3</v>
      </c>
    </row>
    <row r="9707" spans="8:8" ht="15" customHeight="1" x14ac:dyDescent="0.2">
      <c r="H9707" s="19">
        <v>-2.3419821661198399E-2</v>
      </c>
    </row>
    <row r="9708" spans="8:8" ht="15" customHeight="1" x14ac:dyDescent="0.2">
      <c r="H9708" s="19">
        <v>-7.1995323373673604E-3</v>
      </c>
    </row>
    <row r="9709" spans="8:8" ht="15" customHeight="1" x14ac:dyDescent="0.2">
      <c r="H9709" s="19">
        <v>2.8767205040610201E-3</v>
      </c>
    </row>
    <row r="9710" spans="8:8" ht="15" customHeight="1" x14ac:dyDescent="0.2">
      <c r="H9710" s="19">
        <v>-6.9153574862185598E-3</v>
      </c>
    </row>
    <row r="9711" spans="8:8" ht="15" customHeight="1" x14ac:dyDescent="0.2">
      <c r="H9711" s="19">
        <v>-2.74993462435136E-3</v>
      </c>
    </row>
    <row r="9712" spans="8:8" ht="15" customHeight="1" x14ac:dyDescent="0.2">
      <c r="H9712" s="19">
        <v>7.9963413032718006E-3</v>
      </c>
    </row>
    <row r="9713" spans="8:8" ht="15" customHeight="1" x14ac:dyDescent="0.2">
      <c r="H9713" s="19">
        <v>-1.0856027124078E-2</v>
      </c>
    </row>
    <row r="9714" spans="8:8" ht="15" customHeight="1" x14ac:dyDescent="0.2">
      <c r="H9714" s="19">
        <v>1.27687061722539E-2</v>
      </c>
    </row>
    <row r="9715" spans="8:8" ht="15" customHeight="1" x14ac:dyDescent="0.2">
      <c r="H9715" s="19">
        <v>2.88096545276604E-3</v>
      </c>
    </row>
    <row r="9716" spans="8:8" ht="15" customHeight="1" x14ac:dyDescent="0.2">
      <c r="H9716" s="19">
        <v>7.1250298809330901E-3</v>
      </c>
    </row>
    <row r="9717" spans="8:8" ht="15" customHeight="1" x14ac:dyDescent="0.2">
      <c r="H9717" s="19">
        <v>-1.3225381718803299E-2</v>
      </c>
    </row>
    <row r="9718" spans="8:8" ht="15" customHeight="1" x14ac:dyDescent="0.2">
      <c r="H9718" s="19">
        <v>1.73534307070197E-3</v>
      </c>
    </row>
    <row r="9719" spans="8:8" ht="15" customHeight="1" x14ac:dyDescent="0.2">
      <c r="H9719" s="19">
        <v>8.7661917250159392E-3</v>
      </c>
    </row>
    <row r="9720" spans="8:8" ht="15" customHeight="1" x14ac:dyDescent="0.2">
      <c r="H9720" s="19">
        <v>6.8141506498478697E-3</v>
      </c>
    </row>
    <row r="9721" spans="8:8" ht="15" customHeight="1" x14ac:dyDescent="0.2">
      <c r="H9721" s="19">
        <v>-2.9802901599734902E-3</v>
      </c>
    </row>
    <row r="9722" spans="8:8" ht="15" customHeight="1" x14ac:dyDescent="0.2">
      <c r="H9722" s="19">
        <v>-1.8718263800134301E-3</v>
      </c>
    </row>
    <row r="9723" spans="8:8" ht="15" customHeight="1" x14ac:dyDescent="0.2">
      <c r="H9723" s="19">
        <v>-1.13139996742424E-2</v>
      </c>
    </row>
    <row r="9724" spans="8:8" ht="15" customHeight="1" x14ac:dyDescent="0.2">
      <c r="H9724" s="19">
        <v>-9.0225113967414405E-3</v>
      </c>
    </row>
    <row r="9725" spans="8:8" ht="15" customHeight="1" x14ac:dyDescent="0.2">
      <c r="H9725" s="19">
        <v>-7.0450836154251802E-3</v>
      </c>
    </row>
    <row r="9726" spans="8:8" ht="15" customHeight="1" x14ac:dyDescent="0.2">
      <c r="H9726" s="19">
        <v>-1.2749430471455899E-2</v>
      </c>
    </row>
    <row r="9727" spans="8:8" ht="15" customHeight="1" x14ac:dyDescent="0.2">
      <c r="H9727" s="19">
        <v>-2.9599713044192399E-3</v>
      </c>
    </row>
    <row r="9728" spans="8:8" ht="15" customHeight="1" x14ac:dyDescent="0.2">
      <c r="H9728" s="19">
        <v>1.0090183475255299E-2</v>
      </c>
    </row>
    <row r="9729" spans="8:8" ht="15" customHeight="1" x14ac:dyDescent="0.2">
      <c r="H9729" s="19">
        <v>3.9402910612533204E-3</v>
      </c>
    </row>
    <row r="9730" spans="8:8" ht="15" customHeight="1" x14ac:dyDescent="0.2">
      <c r="H9730" s="19">
        <v>9.70665255987062E-3</v>
      </c>
    </row>
    <row r="9731" spans="8:8" ht="15" customHeight="1" x14ac:dyDescent="0.2">
      <c r="H9731" s="19">
        <v>-1.7737748907551198E-2</v>
      </c>
    </row>
    <row r="9732" spans="8:8" ht="15" customHeight="1" x14ac:dyDescent="0.2">
      <c r="H9732" s="19">
        <v>-3.4161428328874999E-3</v>
      </c>
    </row>
    <row r="9733" spans="8:8" ht="15" customHeight="1" x14ac:dyDescent="0.2">
      <c r="H9733" s="19">
        <v>1.1847689511154001E-2</v>
      </c>
    </row>
    <row r="9734" spans="8:8" ht="15" customHeight="1" x14ac:dyDescent="0.2">
      <c r="H9734" s="19">
        <v>-1.8044611093219299E-2</v>
      </c>
    </row>
    <row r="9735" spans="8:8" ht="15" customHeight="1" x14ac:dyDescent="0.2">
      <c r="H9735" s="19">
        <v>1.43316108540087E-2</v>
      </c>
    </row>
    <row r="9736" spans="8:8" ht="15" customHeight="1" x14ac:dyDescent="0.2">
      <c r="H9736" s="19">
        <v>-1.5783809972543699E-3</v>
      </c>
    </row>
    <row r="9737" spans="8:8" ht="15" customHeight="1" x14ac:dyDescent="0.2">
      <c r="H9737" s="19">
        <v>1.5723366214021799E-2</v>
      </c>
    </row>
    <row r="9738" spans="8:8" ht="15" customHeight="1" x14ac:dyDescent="0.2">
      <c r="H9738" s="19">
        <v>-9.5549123758698201E-3</v>
      </c>
    </row>
    <row r="9739" spans="8:8" ht="15" customHeight="1" x14ac:dyDescent="0.2">
      <c r="H9739" s="19">
        <v>-3.5736090178606502E-3</v>
      </c>
    </row>
    <row r="9740" spans="8:8" ht="15" customHeight="1" x14ac:dyDescent="0.2">
      <c r="H9740" s="19">
        <v>-1.24022005205896E-2</v>
      </c>
    </row>
    <row r="9741" spans="8:8" ht="15" customHeight="1" x14ac:dyDescent="0.2">
      <c r="H9741" s="19">
        <v>-2.1008022695255899E-2</v>
      </c>
    </row>
    <row r="9742" spans="8:8" ht="15" customHeight="1" x14ac:dyDescent="0.2">
      <c r="H9742" s="19">
        <v>-1.0661059021732199E-3</v>
      </c>
    </row>
    <row r="9743" spans="8:8" ht="15" customHeight="1" x14ac:dyDescent="0.2">
      <c r="H9743" s="19">
        <v>5.7352889283007503E-3</v>
      </c>
    </row>
    <row r="9744" spans="8:8" ht="15" customHeight="1" x14ac:dyDescent="0.2">
      <c r="H9744" s="19">
        <v>1.11474019382904E-2</v>
      </c>
    </row>
    <row r="9745" spans="8:8" ht="15" customHeight="1" x14ac:dyDescent="0.2">
      <c r="H9745" s="19">
        <v>5.8812517758955202E-3</v>
      </c>
    </row>
    <row r="9746" spans="8:8" ht="15" customHeight="1" x14ac:dyDescent="0.2">
      <c r="H9746" s="19">
        <v>3.7405981082718298E-3</v>
      </c>
    </row>
    <row r="9747" spans="8:8" ht="15" customHeight="1" x14ac:dyDescent="0.2">
      <c r="H9747" s="19">
        <v>7.0039660720612202E-3</v>
      </c>
    </row>
    <row r="9748" spans="8:8" ht="15" customHeight="1" x14ac:dyDescent="0.2">
      <c r="H9748" s="19">
        <v>5.0107234076940399E-3</v>
      </c>
    </row>
    <row r="9749" spans="8:8" ht="15" customHeight="1" x14ac:dyDescent="0.2">
      <c r="H9749" s="19">
        <v>5.8328465119040097E-3</v>
      </c>
    </row>
    <row r="9750" spans="8:8" ht="15" customHeight="1" x14ac:dyDescent="0.2">
      <c r="H9750" s="19">
        <v>4.21763988960242E-3</v>
      </c>
    </row>
    <row r="9751" spans="8:8" ht="15" customHeight="1" x14ac:dyDescent="0.2">
      <c r="H9751" s="19">
        <v>9.6026684984934808E-3</v>
      </c>
    </row>
    <row r="9752" spans="8:8" ht="15" customHeight="1" x14ac:dyDescent="0.2">
      <c r="H9752" s="19">
        <v>-3.9071610328313099E-3</v>
      </c>
    </row>
    <row r="9753" spans="8:8" ht="15" customHeight="1" x14ac:dyDescent="0.2">
      <c r="H9753" s="19">
        <v>7.93191258190948E-3</v>
      </c>
    </row>
    <row r="9754" spans="8:8" ht="15" customHeight="1" x14ac:dyDescent="0.2">
      <c r="H9754" s="19">
        <v>4.9649628783655902E-3</v>
      </c>
    </row>
    <row r="9755" spans="8:8" ht="15" customHeight="1" x14ac:dyDescent="0.2">
      <c r="H9755" s="19">
        <v>9.0969529287833108E-3</v>
      </c>
    </row>
    <row r="9756" spans="8:8" ht="15" customHeight="1" x14ac:dyDescent="0.2">
      <c r="H9756" s="19">
        <v>1.1829571204633499E-3</v>
      </c>
    </row>
    <row r="9757" spans="8:8" ht="15" customHeight="1" x14ac:dyDescent="0.2">
      <c r="H9757" s="19">
        <v>2.9006708734331901E-3</v>
      </c>
    </row>
    <row r="9758" spans="8:8" ht="15" customHeight="1" x14ac:dyDescent="0.2">
      <c r="H9758" s="19">
        <v>-1.9127867302347199E-2</v>
      </c>
    </row>
    <row r="9759" spans="8:8" ht="15" customHeight="1" x14ac:dyDescent="0.2">
      <c r="H9759" s="19">
        <v>1.33104654014672E-2</v>
      </c>
    </row>
    <row r="9760" spans="8:8" ht="15" customHeight="1" x14ac:dyDescent="0.2">
      <c r="H9760" s="19">
        <v>9.8942805909624006E-3</v>
      </c>
    </row>
    <row r="9761" spans="8:8" ht="15" customHeight="1" x14ac:dyDescent="0.2">
      <c r="H9761" s="19">
        <v>-2.2256789288408602E-3</v>
      </c>
    </row>
    <row r="9762" spans="8:8" ht="15" customHeight="1" x14ac:dyDescent="0.2">
      <c r="H9762" s="19">
        <v>-1.4140185981039201E-3</v>
      </c>
    </row>
    <row r="9763" spans="8:8" ht="15" customHeight="1" x14ac:dyDescent="0.2">
      <c r="H9763" s="19">
        <v>9.6078617257231193E-3</v>
      </c>
    </row>
    <row r="9764" spans="8:8" ht="15" customHeight="1" x14ac:dyDescent="0.2">
      <c r="H9764" s="19">
        <v>8.04190470329714E-3</v>
      </c>
    </row>
    <row r="9765" spans="8:8" ht="15" customHeight="1" x14ac:dyDescent="0.2">
      <c r="H9765" s="19">
        <v>6.6489553528897901E-3</v>
      </c>
    </row>
    <row r="9766" spans="8:8" ht="15" customHeight="1" x14ac:dyDescent="0.2">
      <c r="H9766" s="19">
        <v>8.6959366647867704E-4</v>
      </c>
    </row>
    <row r="9767" spans="8:8" ht="15" customHeight="1" x14ac:dyDescent="0.2">
      <c r="H9767" s="19">
        <v>7.5683929030961796E-3</v>
      </c>
    </row>
    <row r="9768" spans="8:8" ht="15" customHeight="1" x14ac:dyDescent="0.2">
      <c r="H9768" s="19">
        <v>6.5149714899428897E-3</v>
      </c>
    </row>
    <row r="9769" spans="8:8" ht="15" customHeight="1" x14ac:dyDescent="0.2">
      <c r="H9769" s="19">
        <v>-1.6505815697573398E-2</v>
      </c>
    </row>
    <row r="9770" spans="8:8" ht="15" customHeight="1" x14ac:dyDescent="0.2">
      <c r="H9770" s="19">
        <v>-6.1922079283156101E-3</v>
      </c>
    </row>
    <row r="9771" spans="8:8" ht="15" customHeight="1" x14ac:dyDescent="0.2">
      <c r="H9771" s="19">
        <v>3.9840807088614497E-3</v>
      </c>
    </row>
    <row r="9772" spans="8:8" ht="15" customHeight="1" x14ac:dyDescent="0.2">
      <c r="H9772" s="19">
        <v>4.6607224827826697E-3</v>
      </c>
    </row>
    <row r="9773" spans="8:8" ht="15" customHeight="1" x14ac:dyDescent="0.2">
      <c r="H9773" s="19">
        <v>-1.25036439824726E-2</v>
      </c>
    </row>
    <row r="9774" spans="8:8" ht="15" customHeight="1" x14ac:dyDescent="0.2">
      <c r="H9774" s="19">
        <v>1.00020233839416E-2</v>
      </c>
    </row>
    <row r="9775" spans="8:8" ht="15" customHeight="1" x14ac:dyDescent="0.2">
      <c r="H9775" s="19">
        <v>-8.6666328456445705E-3</v>
      </c>
    </row>
    <row r="9776" spans="8:8" ht="15" customHeight="1" x14ac:dyDescent="0.2">
      <c r="H9776" s="19">
        <v>-2.8009666080647502E-2</v>
      </c>
    </row>
    <row r="9777" spans="8:8" ht="15" customHeight="1" x14ac:dyDescent="0.2">
      <c r="H9777" s="19">
        <v>-5.2422820946082397E-3</v>
      </c>
    </row>
    <row r="9778" spans="8:8" ht="15" customHeight="1" x14ac:dyDescent="0.2">
      <c r="H9778" s="19">
        <v>-4.4011586663341403E-3</v>
      </c>
    </row>
    <row r="9779" spans="8:8" ht="15" customHeight="1" x14ac:dyDescent="0.2">
      <c r="H9779" s="19">
        <v>-7.4224821736348298E-3</v>
      </c>
    </row>
    <row r="9780" spans="8:8" ht="15" customHeight="1" x14ac:dyDescent="0.2">
      <c r="H9780" s="19">
        <v>-7.9797445346877806E-3</v>
      </c>
    </row>
    <row r="9781" spans="8:8" ht="15" customHeight="1" x14ac:dyDescent="0.2">
      <c r="H9781" s="19">
        <v>-5.5012854918594098E-3</v>
      </c>
    </row>
    <row r="9782" spans="8:8" ht="15" customHeight="1" x14ac:dyDescent="0.2">
      <c r="H9782" s="19">
        <v>1.8445926382015199E-2</v>
      </c>
    </row>
    <row r="9783" spans="8:8" ht="15" customHeight="1" x14ac:dyDescent="0.2">
      <c r="H9783" s="19">
        <v>1.4510698758751101E-2</v>
      </c>
    </row>
    <row r="9784" spans="8:8" ht="15" customHeight="1" x14ac:dyDescent="0.2">
      <c r="H9784" s="19">
        <v>-8.1256288967803299E-3</v>
      </c>
    </row>
    <row r="9785" spans="8:8" ht="15" customHeight="1" x14ac:dyDescent="0.2">
      <c r="H9785" s="19">
        <v>-3.0019410916702102E-3</v>
      </c>
    </row>
    <row r="9786" spans="8:8" ht="15" customHeight="1" x14ac:dyDescent="0.2">
      <c r="H9786" s="19">
        <v>-1.49491185267445E-3</v>
      </c>
    </row>
    <row r="9787" spans="8:8" ht="15" customHeight="1" x14ac:dyDescent="0.2">
      <c r="H9787" s="19">
        <v>8.1383283415495094E-3</v>
      </c>
    </row>
    <row r="9788" spans="8:8" ht="15" customHeight="1" x14ac:dyDescent="0.2">
      <c r="H9788" s="19">
        <v>-1.20223674962646E-2</v>
      </c>
    </row>
    <row r="9789" spans="8:8" ht="15" customHeight="1" x14ac:dyDescent="0.2">
      <c r="H9789" s="19">
        <v>-8.2723654988494898E-3</v>
      </c>
    </row>
    <row r="9790" spans="8:8" ht="15" customHeight="1" x14ac:dyDescent="0.2">
      <c r="H9790" s="19">
        <v>-7.73243040647779E-3</v>
      </c>
    </row>
    <row r="9791" spans="8:8" ht="15" customHeight="1" x14ac:dyDescent="0.2">
      <c r="H9791" s="19">
        <v>-3.6395553049470499E-3</v>
      </c>
    </row>
    <row r="9792" spans="8:8" ht="15" customHeight="1" x14ac:dyDescent="0.2">
      <c r="H9792" s="19">
        <v>-1.44466287394902E-2</v>
      </c>
    </row>
    <row r="9793" spans="8:8" ht="15" customHeight="1" x14ac:dyDescent="0.2">
      <c r="H9793" s="19">
        <v>-3.43530514206469E-4</v>
      </c>
    </row>
    <row r="9794" spans="8:8" ht="15" customHeight="1" x14ac:dyDescent="0.2">
      <c r="H9794" s="19">
        <v>-1.38525988349592E-2</v>
      </c>
    </row>
    <row r="9795" spans="8:8" ht="15" customHeight="1" x14ac:dyDescent="0.2">
      <c r="H9795" s="19">
        <v>-4.09559807073897E-3</v>
      </c>
    </row>
    <row r="9796" spans="8:8" ht="15" customHeight="1" x14ac:dyDescent="0.2">
      <c r="H9796" s="19">
        <v>3.1968857272150701E-2</v>
      </c>
    </row>
    <row r="9797" spans="8:8" ht="15" customHeight="1" x14ac:dyDescent="0.2">
      <c r="H9797" s="19">
        <v>-3.9975487942083103E-3</v>
      </c>
    </row>
    <row r="9798" spans="8:8" ht="15" customHeight="1" x14ac:dyDescent="0.2">
      <c r="H9798" s="19">
        <v>-2.3947652478161399E-2</v>
      </c>
    </row>
    <row r="9799" spans="8:8" ht="15" customHeight="1" x14ac:dyDescent="0.2">
      <c r="H9799" s="19">
        <v>-3.0865844602178901E-4</v>
      </c>
    </row>
    <row r="9800" spans="8:8" ht="15" customHeight="1" x14ac:dyDescent="0.2">
      <c r="H9800" s="19">
        <v>6.7618555391514403E-3</v>
      </c>
    </row>
    <row r="9801" spans="8:8" ht="15" customHeight="1" x14ac:dyDescent="0.2">
      <c r="H9801" s="19">
        <v>1.5836671153395699E-3</v>
      </c>
    </row>
    <row r="9802" spans="8:8" ht="15" customHeight="1" x14ac:dyDescent="0.2">
      <c r="H9802" s="19">
        <v>1.12995605790739E-2</v>
      </c>
    </row>
    <row r="9803" spans="8:8" ht="15" customHeight="1" x14ac:dyDescent="0.2">
      <c r="H9803" s="19">
        <v>-1.13811320023292E-2</v>
      </c>
    </row>
    <row r="9804" spans="8:8" ht="15" customHeight="1" x14ac:dyDescent="0.2">
      <c r="H9804" s="19">
        <v>4.1678400942686197E-4</v>
      </c>
    </row>
    <row r="9805" spans="8:8" ht="15" customHeight="1" x14ac:dyDescent="0.2">
      <c r="H9805" s="19">
        <v>-4.4703377695929003E-3</v>
      </c>
    </row>
    <row r="9806" spans="8:8" ht="15" customHeight="1" x14ac:dyDescent="0.2">
      <c r="H9806" s="19">
        <v>-3.1423417425644802E-4</v>
      </c>
    </row>
    <row r="9807" spans="8:8" ht="15" customHeight="1" x14ac:dyDescent="0.2">
      <c r="H9807" s="19">
        <v>-5.8477089054509998E-3</v>
      </c>
    </row>
    <row r="9808" spans="8:8" ht="15" customHeight="1" x14ac:dyDescent="0.2">
      <c r="H9808" s="19">
        <v>-9.0081415884797397E-3</v>
      </c>
    </row>
    <row r="9809" spans="8:8" ht="15" customHeight="1" x14ac:dyDescent="0.2">
      <c r="H9809" s="19">
        <v>1.2250882798234899E-2</v>
      </c>
    </row>
    <row r="9810" spans="8:8" ht="15" customHeight="1" x14ac:dyDescent="0.2">
      <c r="H9810" s="19">
        <v>5.7957997522251102E-3</v>
      </c>
    </row>
    <row r="9811" spans="8:8" ht="15" customHeight="1" x14ac:dyDescent="0.2">
      <c r="H9811" s="19">
        <v>-1.2664651700488701E-2</v>
      </c>
    </row>
    <row r="9812" spans="8:8" ht="15" customHeight="1" x14ac:dyDescent="0.2">
      <c r="H9812" s="19">
        <v>-1.57162803925794E-3</v>
      </c>
    </row>
    <row r="9813" spans="8:8" ht="15" customHeight="1" x14ac:dyDescent="0.2">
      <c r="H9813" s="19">
        <v>-1.06064649550614E-3</v>
      </c>
    </row>
    <row r="9814" spans="8:8" ht="15" customHeight="1" x14ac:dyDescent="0.2">
      <c r="H9814" s="19">
        <v>1.59162432424781E-2</v>
      </c>
    </row>
    <row r="9815" spans="8:8" ht="15" customHeight="1" x14ac:dyDescent="0.2">
      <c r="H9815" s="19">
        <v>-9.14998574488304E-3</v>
      </c>
    </row>
    <row r="9816" spans="8:8" ht="15" customHeight="1" x14ac:dyDescent="0.2">
      <c r="H9816" s="19">
        <v>-9.7316870403771501E-4</v>
      </c>
    </row>
    <row r="9817" spans="8:8" ht="15" customHeight="1" x14ac:dyDescent="0.2">
      <c r="H9817" s="19">
        <v>2.48449792629325E-3</v>
      </c>
    </row>
    <row r="9818" spans="8:8" ht="15" customHeight="1" x14ac:dyDescent="0.2">
      <c r="H9818" s="19">
        <v>8.3048955222944105E-3</v>
      </c>
    </row>
    <row r="9819" spans="8:8" ht="15" customHeight="1" x14ac:dyDescent="0.2">
      <c r="H9819" s="19">
        <v>-2.88731227416128E-3</v>
      </c>
    </row>
    <row r="9820" spans="8:8" ht="15" customHeight="1" x14ac:dyDescent="0.2">
      <c r="H9820" s="19">
        <v>2.0028348670591101E-3</v>
      </c>
    </row>
    <row r="9821" spans="8:8" ht="15" customHeight="1" x14ac:dyDescent="0.2">
      <c r="H9821" s="19">
        <v>-1.7192956928256301E-2</v>
      </c>
    </row>
    <row r="9822" spans="8:8" ht="15" customHeight="1" x14ac:dyDescent="0.2">
      <c r="H9822" s="19">
        <v>-7.6484290680595103E-3</v>
      </c>
    </row>
    <row r="9823" spans="8:8" ht="15" customHeight="1" x14ac:dyDescent="0.2">
      <c r="H9823" s="19">
        <v>3.3550657428967302E-3</v>
      </c>
    </row>
    <row r="9824" spans="8:8" ht="15" customHeight="1" x14ac:dyDescent="0.2">
      <c r="H9824" s="19">
        <v>2.23176728383663E-2</v>
      </c>
    </row>
    <row r="9825" spans="8:8" ht="15" customHeight="1" x14ac:dyDescent="0.2">
      <c r="H9825" s="19">
        <v>-1.5859183835145299E-2</v>
      </c>
    </row>
    <row r="9826" spans="8:8" ht="15" customHeight="1" x14ac:dyDescent="0.2">
      <c r="H9826" s="19">
        <v>-9.8046101645048508E-3</v>
      </c>
    </row>
    <row r="9827" spans="8:8" ht="15" customHeight="1" x14ac:dyDescent="0.2">
      <c r="H9827" s="19">
        <v>-5.65216710802228E-3</v>
      </c>
    </row>
    <row r="9828" spans="8:8" ht="15" customHeight="1" x14ac:dyDescent="0.2">
      <c r="H9828" s="19">
        <v>8.2833927078369005E-4</v>
      </c>
    </row>
    <row r="9829" spans="8:8" ht="15" customHeight="1" x14ac:dyDescent="0.2">
      <c r="H9829" s="19">
        <v>-3.5066164604585299E-4</v>
      </c>
    </row>
    <row r="9830" spans="8:8" ht="15" customHeight="1" x14ac:dyDescent="0.2">
      <c r="H9830" s="19">
        <v>-2.2444363113021302E-3</v>
      </c>
    </row>
    <row r="9831" spans="8:8" ht="15" customHeight="1" x14ac:dyDescent="0.2">
      <c r="H9831" s="19">
        <v>1.16801662652961E-2</v>
      </c>
    </row>
    <row r="9832" spans="8:8" ht="15" customHeight="1" x14ac:dyDescent="0.2">
      <c r="H9832" s="19">
        <v>-1.9723059507244699E-2</v>
      </c>
    </row>
    <row r="9833" spans="8:8" ht="15" customHeight="1" x14ac:dyDescent="0.2">
      <c r="H9833" s="19">
        <v>-5.3900045351919501E-3</v>
      </c>
    </row>
    <row r="9834" spans="8:8" ht="15" customHeight="1" x14ac:dyDescent="0.2">
      <c r="H9834" s="19">
        <v>1.06446903456313E-2</v>
      </c>
    </row>
    <row r="9835" spans="8:8" ht="15" customHeight="1" x14ac:dyDescent="0.2">
      <c r="H9835" s="19">
        <v>5.6770528312624798E-4</v>
      </c>
    </row>
    <row r="9836" spans="8:8" ht="15" customHeight="1" x14ac:dyDescent="0.2">
      <c r="H9836" s="19">
        <v>1.0317894941694701E-2</v>
      </c>
    </row>
    <row r="9837" spans="8:8" ht="15" customHeight="1" x14ac:dyDescent="0.2">
      <c r="H9837" s="19">
        <v>-2.59813410399162E-2</v>
      </c>
    </row>
    <row r="9838" spans="8:8" ht="15" customHeight="1" x14ac:dyDescent="0.2">
      <c r="H9838" s="19">
        <v>-1.1905626968354399E-2</v>
      </c>
    </row>
    <row r="9839" spans="8:8" ht="15" customHeight="1" x14ac:dyDescent="0.2">
      <c r="H9839" s="19">
        <v>-6.04740109288056E-3</v>
      </c>
    </row>
    <row r="9840" spans="8:8" ht="15" customHeight="1" x14ac:dyDescent="0.2">
      <c r="H9840" s="19">
        <v>1.6717490014955198E-2</v>
      </c>
    </row>
    <row r="9841" spans="8:8" ht="15" customHeight="1" x14ac:dyDescent="0.2">
      <c r="H9841" s="19">
        <v>1.25578431889757E-2</v>
      </c>
    </row>
    <row r="9842" spans="8:8" ht="15" customHeight="1" x14ac:dyDescent="0.2">
      <c r="H9842" s="19">
        <v>-1.2532402409449999E-3</v>
      </c>
    </row>
    <row r="9843" spans="8:8" ht="15" customHeight="1" x14ac:dyDescent="0.2">
      <c r="H9843" s="19">
        <v>-3.2006881038185199E-3</v>
      </c>
    </row>
    <row r="9844" spans="8:8" ht="15" customHeight="1" x14ac:dyDescent="0.2">
      <c r="H9844" s="19">
        <v>-5.2384280213354601E-3</v>
      </c>
    </row>
    <row r="9845" spans="8:8" ht="15" customHeight="1" x14ac:dyDescent="0.2">
      <c r="H9845" s="19">
        <v>-6.51561492309279E-3</v>
      </c>
    </row>
    <row r="9846" spans="8:8" ht="15" customHeight="1" x14ac:dyDescent="0.2">
      <c r="H9846" s="19">
        <v>1.07243405330114E-2</v>
      </c>
    </row>
    <row r="9847" spans="8:8" ht="15" customHeight="1" x14ac:dyDescent="0.2">
      <c r="H9847" s="19">
        <v>2.0160694671896499E-3</v>
      </c>
    </row>
    <row r="9848" spans="8:8" ht="15" customHeight="1" x14ac:dyDescent="0.2">
      <c r="H9848" s="19">
        <v>2.6029793304340802E-2</v>
      </c>
    </row>
    <row r="9849" spans="8:8" ht="15" customHeight="1" x14ac:dyDescent="0.2">
      <c r="H9849" s="19">
        <v>-8.9112943833721502E-3</v>
      </c>
    </row>
    <row r="9850" spans="8:8" ht="15" customHeight="1" x14ac:dyDescent="0.2">
      <c r="H9850" s="19">
        <v>5.50758220636234E-3</v>
      </c>
    </row>
    <row r="9851" spans="8:8" ht="15" customHeight="1" x14ac:dyDescent="0.2">
      <c r="H9851" s="19">
        <v>1.4127172131004199E-2</v>
      </c>
    </row>
    <row r="9852" spans="8:8" ht="15" customHeight="1" x14ac:dyDescent="0.2">
      <c r="H9852" s="19">
        <v>-9.7177405292851195E-4</v>
      </c>
    </row>
    <row r="9853" spans="8:8" ht="15" customHeight="1" x14ac:dyDescent="0.2">
      <c r="H9853" s="19">
        <v>-9.0479646200499805E-3</v>
      </c>
    </row>
    <row r="9854" spans="8:8" ht="15" customHeight="1" x14ac:dyDescent="0.2">
      <c r="H9854" s="19">
        <v>-4.5836134701817497E-3</v>
      </c>
    </row>
    <row r="9855" spans="8:8" ht="15" customHeight="1" x14ac:dyDescent="0.2">
      <c r="H9855" s="19">
        <v>2.1431868580894901E-2</v>
      </c>
    </row>
    <row r="9856" spans="8:8" ht="15" customHeight="1" x14ac:dyDescent="0.2">
      <c r="H9856" s="19">
        <v>-1.02468744552422E-3</v>
      </c>
    </row>
    <row r="9857" spans="8:8" ht="15" customHeight="1" x14ac:dyDescent="0.2">
      <c r="H9857" s="19">
        <v>2.19827522912431E-2</v>
      </c>
    </row>
    <row r="9858" spans="8:8" ht="15" customHeight="1" x14ac:dyDescent="0.2">
      <c r="H9858" s="19">
        <v>9.7990281171949408E-3</v>
      </c>
    </row>
    <row r="9859" spans="8:8" ht="15" customHeight="1" x14ac:dyDescent="0.2">
      <c r="H9859" s="19">
        <v>-2.8042640642073702E-3</v>
      </c>
    </row>
    <row r="9860" spans="8:8" ht="15" customHeight="1" x14ac:dyDescent="0.2">
      <c r="H9860" s="19">
        <v>4.8589829242050298E-3</v>
      </c>
    </row>
    <row r="9861" spans="8:8" ht="15" customHeight="1" x14ac:dyDescent="0.2">
      <c r="H9861" s="19">
        <v>8.1044531261597191E-3</v>
      </c>
    </row>
    <row r="9862" spans="8:8" ht="15" customHeight="1" x14ac:dyDescent="0.2">
      <c r="H9862" s="19">
        <v>-1.35699541468851E-2</v>
      </c>
    </row>
    <row r="9863" spans="8:8" ht="15" customHeight="1" x14ac:dyDescent="0.2">
      <c r="H9863" s="19">
        <v>1.4066162101258699E-3</v>
      </c>
    </row>
    <row r="9864" spans="8:8" ht="15" customHeight="1" x14ac:dyDescent="0.2">
      <c r="H9864" s="19">
        <v>-2.7161588507416002E-3</v>
      </c>
    </row>
    <row r="9865" spans="8:8" ht="15" customHeight="1" x14ac:dyDescent="0.2">
      <c r="H9865" s="19">
        <v>2.8396323833045E-3</v>
      </c>
    </row>
    <row r="9866" spans="8:8" ht="15" customHeight="1" x14ac:dyDescent="0.2">
      <c r="H9866" s="19">
        <v>2.29799737314606E-3</v>
      </c>
    </row>
    <row r="9867" spans="8:8" ht="15" customHeight="1" x14ac:dyDescent="0.2">
      <c r="H9867" s="19">
        <v>7.6158875589018701E-3</v>
      </c>
    </row>
    <row r="9868" spans="8:8" ht="15" customHeight="1" x14ac:dyDescent="0.2">
      <c r="H9868" s="19">
        <v>-2.16977292546555E-3</v>
      </c>
    </row>
    <row r="9869" spans="8:8" ht="15" customHeight="1" x14ac:dyDescent="0.2">
      <c r="H9869" s="19">
        <v>-3.4164300102313598E-4</v>
      </c>
    </row>
    <row r="9870" spans="8:8" ht="15" customHeight="1" x14ac:dyDescent="0.2">
      <c r="H9870" s="19">
        <v>1.09788595406297E-3</v>
      </c>
    </row>
    <row r="9871" spans="8:8" ht="15" customHeight="1" x14ac:dyDescent="0.2">
      <c r="H9871" s="19">
        <v>7.57437456857246E-3</v>
      </c>
    </row>
    <row r="9872" spans="8:8" ht="15" customHeight="1" x14ac:dyDescent="0.2">
      <c r="H9872" s="19">
        <v>-6.7657290987305002E-3</v>
      </c>
    </row>
    <row r="9873" spans="8:8" ht="15" customHeight="1" x14ac:dyDescent="0.2">
      <c r="H9873" s="19">
        <v>-5.3377689876282601E-3</v>
      </c>
    </row>
    <row r="9874" spans="8:8" ht="15" customHeight="1" x14ac:dyDescent="0.2">
      <c r="H9874" s="19">
        <v>-3.1784702907288898E-3</v>
      </c>
    </row>
    <row r="9875" spans="8:8" ht="15" customHeight="1" x14ac:dyDescent="0.2">
      <c r="H9875" s="19">
        <v>6.4722176085734396E-3</v>
      </c>
    </row>
    <row r="9876" spans="8:8" ht="15" customHeight="1" x14ac:dyDescent="0.2">
      <c r="H9876" s="19">
        <v>-1.06176280339518E-2</v>
      </c>
    </row>
    <row r="9877" spans="8:8" ht="15" customHeight="1" x14ac:dyDescent="0.2">
      <c r="H9877" s="19">
        <v>6.4566876554492504E-4</v>
      </c>
    </row>
    <row r="9878" spans="8:8" ht="15" customHeight="1" x14ac:dyDescent="0.2">
      <c r="H9878" s="19">
        <v>1.5878636586282599E-3</v>
      </c>
    </row>
    <row r="9879" spans="8:8" ht="15" customHeight="1" x14ac:dyDescent="0.2">
      <c r="H9879" s="19">
        <v>-1.0992106056593801E-2</v>
      </c>
    </row>
    <row r="9880" spans="8:8" ht="15" customHeight="1" x14ac:dyDescent="0.2">
      <c r="H9880" s="19">
        <v>1.1851384425963301E-2</v>
      </c>
    </row>
    <row r="9881" spans="8:8" ht="15" customHeight="1" x14ac:dyDescent="0.2">
      <c r="H9881" s="19">
        <v>1.47276249708512E-2</v>
      </c>
    </row>
    <row r="9882" spans="8:8" ht="15" customHeight="1" x14ac:dyDescent="0.2">
      <c r="H9882" s="19">
        <v>-4.4711205728894697E-3</v>
      </c>
    </row>
    <row r="9883" spans="8:8" ht="15" customHeight="1" x14ac:dyDescent="0.2">
      <c r="H9883" s="19">
        <v>-7.6933266777848104E-3</v>
      </c>
    </row>
    <row r="9884" spans="8:8" ht="15" customHeight="1" x14ac:dyDescent="0.2">
      <c r="H9884" s="19">
        <v>7.8219727879301707E-3</v>
      </c>
    </row>
    <row r="9885" spans="8:8" ht="15" customHeight="1" x14ac:dyDescent="0.2">
      <c r="H9885" s="19">
        <v>-7.5555587949685801E-3</v>
      </c>
    </row>
    <row r="9886" spans="8:8" ht="15" customHeight="1" x14ac:dyDescent="0.2">
      <c r="H9886" s="19">
        <v>8.5538124726525794E-3</v>
      </c>
    </row>
    <row r="9887" spans="8:8" ht="15" customHeight="1" x14ac:dyDescent="0.2">
      <c r="H9887" s="19">
        <v>4.8406583144528503E-3</v>
      </c>
    </row>
    <row r="9888" spans="8:8" ht="15" customHeight="1" x14ac:dyDescent="0.2">
      <c r="H9888" s="19">
        <v>-5.4807932378889796E-4</v>
      </c>
    </row>
    <row r="9889" spans="8:8" ht="15" customHeight="1" x14ac:dyDescent="0.2">
      <c r="H9889" s="19">
        <v>5.0588418070434901E-4</v>
      </c>
    </row>
    <row r="9890" spans="8:8" ht="15" customHeight="1" x14ac:dyDescent="0.2">
      <c r="H9890" s="19">
        <v>-5.9074171624609196E-3</v>
      </c>
    </row>
    <row r="9891" spans="8:8" ht="15" customHeight="1" x14ac:dyDescent="0.2">
      <c r="H9891" s="19">
        <v>4.2736033569592703E-3</v>
      </c>
    </row>
    <row r="9892" spans="8:8" ht="15" customHeight="1" x14ac:dyDescent="0.2">
      <c r="H9892" s="19">
        <v>-2.2585969214206402E-3</v>
      </c>
    </row>
    <row r="9893" spans="8:8" ht="15" customHeight="1" x14ac:dyDescent="0.2">
      <c r="H9893" s="19">
        <v>1.8450870421528301E-3</v>
      </c>
    </row>
    <row r="9894" spans="8:8" ht="15" customHeight="1" x14ac:dyDescent="0.2">
      <c r="H9894" s="19">
        <v>2.55260373141646E-3</v>
      </c>
    </row>
    <row r="9895" spans="8:8" ht="15" customHeight="1" x14ac:dyDescent="0.2">
      <c r="H9895" s="19">
        <v>1.8523202741175999E-3</v>
      </c>
    </row>
    <row r="9896" spans="8:8" ht="15" customHeight="1" x14ac:dyDescent="0.2">
      <c r="H9896" s="19">
        <v>-1.3147129450991699E-2</v>
      </c>
    </row>
    <row r="9897" spans="8:8" ht="15" customHeight="1" x14ac:dyDescent="0.2">
      <c r="H9897" s="19">
        <v>-2.2327139211230098E-3</v>
      </c>
    </row>
    <row r="9898" spans="8:8" ht="15" customHeight="1" x14ac:dyDescent="0.2">
      <c r="H9898" s="19">
        <v>-5.8973573328983996E-3</v>
      </c>
    </row>
    <row r="9899" spans="8:8" ht="15" customHeight="1" x14ac:dyDescent="0.2">
      <c r="H9899" s="19">
        <v>2.7603477689002801E-3</v>
      </c>
    </row>
    <row r="9900" spans="8:8" ht="15" customHeight="1" x14ac:dyDescent="0.2">
      <c r="H9900" s="19">
        <v>1.7401687260138201E-3</v>
      </c>
    </row>
    <row r="9901" spans="8:8" ht="15" customHeight="1" x14ac:dyDescent="0.2">
      <c r="H9901" s="19">
        <v>-3.26135104174132E-3</v>
      </c>
    </row>
    <row r="9902" spans="8:8" ht="15" customHeight="1" x14ac:dyDescent="0.2">
      <c r="H9902" s="19">
        <v>2.4006314997792001E-3</v>
      </c>
    </row>
    <row r="9903" spans="8:8" ht="15" customHeight="1" x14ac:dyDescent="0.2">
      <c r="H9903" s="19">
        <v>1.5039484923356701E-2</v>
      </c>
    </row>
    <row r="9904" spans="8:8" ht="15" customHeight="1" x14ac:dyDescent="0.2">
      <c r="H9904" s="19">
        <v>-1.2716031333906801E-2</v>
      </c>
    </row>
    <row r="9905" spans="8:8" ht="15" customHeight="1" x14ac:dyDescent="0.2">
      <c r="H9905" s="19">
        <v>-1.8261889042420501E-2</v>
      </c>
    </row>
    <row r="9906" spans="8:8" ht="15" customHeight="1" x14ac:dyDescent="0.2">
      <c r="H9906" s="19">
        <v>3.7198538171366598E-2</v>
      </c>
    </row>
    <row r="9907" spans="8:8" ht="15" customHeight="1" x14ac:dyDescent="0.2">
      <c r="H9907" s="19">
        <v>-1.3347719314812099E-2</v>
      </c>
    </row>
    <row r="9908" spans="8:8" ht="15" customHeight="1" x14ac:dyDescent="0.2">
      <c r="H9908" s="19">
        <v>-2.44591009443294E-2</v>
      </c>
    </row>
    <row r="9909" spans="8:8" ht="15" customHeight="1" x14ac:dyDescent="0.2">
      <c r="H9909" s="19">
        <v>1.50213383032243E-2</v>
      </c>
    </row>
    <row r="9910" spans="8:8" ht="15" customHeight="1" x14ac:dyDescent="0.2">
      <c r="H9910" s="19">
        <v>-1.5099667135707101E-2</v>
      </c>
    </row>
    <row r="9911" spans="8:8" ht="15" customHeight="1" x14ac:dyDescent="0.2">
      <c r="H9911" s="19">
        <v>-1.20471233524828E-2</v>
      </c>
    </row>
    <row r="9912" spans="8:8" ht="15" customHeight="1" x14ac:dyDescent="0.2">
      <c r="H9912" s="19">
        <v>4.7732635185457097E-3</v>
      </c>
    </row>
    <row r="9913" spans="8:8" ht="15" customHeight="1" x14ac:dyDescent="0.2">
      <c r="H9913" s="19">
        <v>-1.6650220140457798E-2</v>
      </c>
    </row>
    <row r="9914" spans="8:8" ht="15" customHeight="1" x14ac:dyDescent="0.2">
      <c r="H9914" s="19">
        <v>5.2195536518827397E-3</v>
      </c>
    </row>
    <row r="9915" spans="8:8" ht="15" customHeight="1" x14ac:dyDescent="0.2">
      <c r="H9915" s="19">
        <v>4.6145661805194302E-4</v>
      </c>
    </row>
    <row r="9916" spans="8:8" ht="15" customHeight="1" x14ac:dyDescent="0.2">
      <c r="H9916" s="19">
        <v>-3.5711737039692899E-3</v>
      </c>
    </row>
    <row r="9917" spans="8:8" ht="15" customHeight="1" x14ac:dyDescent="0.2">
      <c r="H9917" s="19">
        <v>-2.4731498802796799E-2</v>
      </c>
    </row>
    <row r="9918" spans="8:8" ht="15" customHeight="1" x14ac:dyDescent="0.2">
      <c r="H9918" s="19">
        <v>-1.6781451951068602E-2</v>
      </c>
    </row>
    <row r="9919" spans="8:8" ht="15" customHeight="1" x14ac:dyDescent="0.2">
      <c r="H9919" s="19">
        <v>-3.5061015587367198E-3</v>
      </c>
    </row>
    <row r="9920" spans="8:8" ht="15" customHeight="1" x14ac:dyDescent="0.2">
      <c r="H9920" s="19">
        <v>4.6957661979748497E-3</v>
      </c>
    </row>
    <row r="9921" spans="8:8" ht="15" customHeight="1" x14ac:dyDescent="0.2">
      <c r="H9921" s="19">
        <v>1.23751957204133E-2</v>
      </c>
    </row>
    <row r="9922" spans="8:8" ht="15" customHeight="1" x14ac:dyDescent="0.2">
      <c r="H9922" s="19">
        <v>-3.8044950908595202E-3</v>
      </c>
    </row>
    <row r="9923" spans="8:8" ht="15" customHeight="1" x14ac:dyDescent="0.2">
      <c r="H9923" s="19">
        <v>-1.15696378612115E-2</v>
      </c>
    </row>
    <row r="9924" spans="8:8" ht="15" customHeight="1" x14ac:dyDescent="0.2">
      <c r="H9924" s="19">
        <v>-4.60503756846126E-3</v>
      </c>
    </row>
    <row r="9925" spans="8:8" ht="15" customHeight="1" x14ac:dyDescent="0.2">
      <c r="H9925" s="19">
        <v>8.2408086093748896E-3</v>
      </c>
    </row>
    <row r="9926" spans="8:8" ht="15" customHeight="1" x14ac:dyDescent="0.2">
      <c r="H9926" s="19">
        <v>-1.16048222139456E-3</v>
      </c>
    </row>
    <row r="9927" spans="8:8" ht="15" customHeight="1" x14ac:dyDescent="0.2">
      <c r="H9927" s="19">
        <v>-9.2343072026637198E-3</v>
      </c>
    </row>
    <row r="9928" spans="8:8" ht="15" customHeight="1" x14ac:dyDescent="0.2">
      <c r="H9928" s="19">
        <v>4.6476638879844401E-3</v>
      </c>
    </row>
    <row r="9929" spans="8:8" ht="15" customHeight="1" x14ac:dyDescent="0.2">
      <c r="H9929" s="19">
        <v>-7.0778651216678199E-3</v>
      </c>
    </row>
    <row r="9930" spans="8:8" ht="15" customHeight="1" x14ac:dyDescent="0.2">
      <c r="H9930" s="19">
        <v>4.9030618035081201E-4</v>
      </c>
    </row>
    <row r="9931" spans="8:8" ht="15" customHeight="1" x14ac:dyDescent="0.2">
      <c r="H9931" s="19">
        <v>-5.1530717244194495E-4</v>
      </c>
    </row>
    <row r="9932" spans="8:8" ht="15" customHeight="1" x14ac:dyDescent="0.2">
      <c r="H9932" s="19">
        <v>1.20390454316087E-3</v>
      </c>
    </row>
    <row r="9933" spans="8:8" ht="15" customHeight="1" x14ac:dyDescent="0.2">
      <c r="H9933" s="19">
        <v>-5.5461112424929704E-3</v>
      </c>
    </row>
    <row r="9934" spans="8:8" ht="15" customHeight="1" x14ac:dyDescent="0.2">
      <c r="H9934" s="19">
        <v>1.3782562241989799E-3</v>
      </c>
    </row>
    <row r="9935" spans="8:8" ht="15" customHeight="1" x14ac:dyDescent="0.2">
      <c r="H9935" s="19">
        <v>-1.41922686605097E-2</v>
      </c>
    </row>
    <row r="9936" spans="8:8" ht="15" customHeight="1" x14ac:dyDescent="0.2">
      <c r="H9936" s="19">
        <v>8.7422699189634301E-3</v>
      </c>
    </row>
    <row r="9937" spans="8:8" ht="15" customHeight="1" x14ac:dyDescent="0.2">
      <c r="H9937" s="19">
        <v>-6.7771165427811997E-4</v>
      </c>
    </row>
    <row r="9938" spans="8:8" ht="15" customHeight="1" x14ac:dyDescent="0.2">
      <c r="H9938" s="19">
        <v>3.1181466187775301E-3</v>
      </c>
    </row>
    <row r="9939" spans="8:8" ht="15" customHeight="1" x14ac:dyDescent="0.2">
      <c r="H9939" s="19">
        <v>-1.8973039015752698E-2</v>
      </c>
    </row>
    <row r="9940" spans="8:8" ht="15" customHeight="1" x14ac:dyDescent="0.2">
      <c r="H9940" s="19">
        <v>1.1303695377830599E-2</v>
      </c>
    </row>
    <row r="9941" spans="8:8" ht="15" customHeight="1" x14ac:dyDescent="0.2">
      <c r="H9941" s="19">
        <v>-1.80558172100201E-2</v>
      </c>
    </row>
    <row r="9942" spans="8:8" ht="15" customHeight="1" x14ac:dyDescent="0.2">
      <c r="H9942" s="19">
        <v>4.4175642833900498E-3</v>
      </c>
    </row>
    <row r="9943" spans="8:8" ht="15" customHeight="1" x14ac:dyDescent="0.2">
      <c r="H9943" s="19">
        <v>-7.4289862368206202E-4</v>
      </c>
    </row>
    <row r="9944" spans="8:8" ht="15" customHeight="1" x14ac:dyDescent="0.2">
      <c r="H9944" s="19">
        <v>-1.2219831286297901E-2</v>
      </c>
    </row>
    <row r="9945" spans="8:8" ht="15" customHeight="1" x14ac:dyDescent="0.2">
      <c r="H9945" s="19">
        <v>1.1905680542625701E-3</v>
      </c>
    </row>
    <row r="9946" spans="8:8" ht="15" customHeight="1" x14ac:dyDescent="0.2">
      <c r="H9946" s="19">
        <v>-1.8201964025904599E-2</v>
      </c>
    </row>
    <row r="9947" spans="8:8" ht="15" customHeight="1" x14ac:dyDescent="0.2">
      <c r="H9947" s="19">
        <v>7.3988748951529801E-3</v>
      </c>
    </row>
    <row r="9948" spans="8:8" ht="15" customHeight="1" x14ac:dyDescent="0.2">
      <c r="H9948" s="19">
        <v>8.6787341381363101E-3</v>
      </c>
    </row>
    <row r="9949" spans="8:8" ht="15" customHeight="1" x14ac:dyDescent="0.2">
      <c r="H9949" s="19">
        <v>-1.40502018029232E-4</v>
      </c>
    </row>
    <row r="9950" spans="8:8" ht="15" customHeight="1" x14ac:dyDescent="0.2">
      <c r="H9950" s="19">
        <v>9.7690483324796296E-3</v>
      </c>
    </row>
    <row r="9951" spans="8:8" ht="15" customHeight="1" x14ac:dyDescent="0.2">
      <c r="H9951" s="19">
        <v>-7.12577586929333E-3</v>
      </c>
    </row>
    <row r="9952" spans="8:8" ht="15" customHeight="1" x14ac:dyDescent="0.2">
      <c r="H9952" s="19">
        <v>1.0773360369391201E-2</v>
      </c>
    </row>
    <row r="9953" spans="8:8" ht="15" customHeight="1" x14ac:dyDescent="0.2">
      <c r="H9953" s="19">
        <v>2.5602341561036098E-3</v>
      </c>
    </row>
    <row r="9954" spans="8:8" ht="15" customHeight="1" x14ac:dyDescent="0.2">
      <c r="H9954" s="19">
        <v>6.61931843053683E-3</v>
      </c>
    </row>
    <row r="9955" spans="8:8" ht="15" customHeight="1" x14ac:dyDescent="0.2">
      <c r="H9955" s="19">
        <v>8.8150329360983503E-3</v>
      </c>
    </row>
    <row r="9956" spans="8:8" ht="15" customHeight="1" x14ac:dyDescent="0.2">
      <c r="H9956" s="19">
        <v>-9.9532236394167806E-3</v>
      </c>
    </row>
    <row r="9957" spans="8:8" ht="15" customHeight="1" x14ac:dyDescent="0.2">
      <c r="H9957" s="19">
        <v>-1.6574283951209801E-3</v>
      </c>
    </row>
    <row r="9958" spans="8:8" ht="15" customHeight="1" x14ac:dyDescent="0.2">
      <c r="H9958" s="19">
        <v>9.1487822004781907E-3</v>
      </c>
    </row>
    <row r="9959" spans="8:8" ht="15" customHeight="1" x14ac:dyDescent="0.2">
      <c r="H9959" s="19">
        <v>1.5137041356624499E-2</v>
      </c>
    </row>
    <row r="9960" spans="8:8" ht="15" customHeight="1" x14ac:dyDescent="0.2">
      <c r="H9960" s="19">
        <v>-8.0318611732086895E-4</v>
      </c>
    </row>
    <row r="9961" spans="8:8" ht="15" customHeight="1" x14ac:dyDescent="0.2">
      <c r="H9961" s="19">
        <v>-1.0136008504829401E-2</v>
      </c>
    </row>
    <row r="9962" spans="8:8" ht="15" customHeight="1" x14ac:dyDescent="0.2">
      <c r="H9962" s="19">
        <v>-1.0266064293522101E-2</v>
      </c>
    </row>
    <row r="9963" spans="8:8" ht="15" customHeight="1" x14ac:dyDescent="0.2">
      <c r="H9963" s="19">
        <v>-1.44093105675159E-2</v>
      </c>
    </row>
    <row r="9964" spans="8:8" ht="15" customHeight="1" x14ac:dyDescent="0.2">
      <c r="H9964" s="19">
        <v>-2.2730411690752399E-3</v>
      </c>
    </row>
    <row r="9965" spans="8:8" ht="15" customHeight="1" x14ac:dyDescent="0.2">
      <c r="H9965" s="19">
        <v>-6.0841261343029798E-3</v>
      </c>
    </row>
    <row r="9966" spans="8:8" ht="15" customHeight="1" x14ac:dyDescent="0.2">
      <c r="H9966" s="19">
        <v>-1.21492892825507E-2</v>
      </c>
    </row>
    <row r="9967" spans="8:8" ht="15" customHeight="1" x14ac:dyDescent="0.2">
      <c r="H9967" s="19">
        <v>-1.1393848076275399E-3</v>
      </c>
    </row>
    <row r="9968" spans="8:8" ht="15" customHeight="1" x14ac:dyDescent="0.2">
      <c r="H9968" s="19">
        <v>-1.57295409493159E-2</v>
      </c>
    </row>
    <row r="9969" spans="8:8" ht="15" customHeight="1" x14ac:dyDescent="0.2">
      <c r="H9969" s="19">
        <v>-3.8233878405413398E-3</v>
      </c>
    </row>
    <row r="9970" spans="8:8" ht="15" customHeight="1" x14ac:dyDescent="0.2">
      <c r="H9970" s="19">
        <v>-4.00203164650988E-3</v>
      </c>
    </row>
    <row r="9971" spans="8:8" ht="15" customHeight="1" x14ac:dyDescent="0.2">
      <c r="H9971" s="19">
        <v>-1.22890103671544E-2</v>
      </c>
    </row>
    <row r="9972" spans="8:8" ht="15" customHeight="1" x14ac:dyDescent="0.2">
      <c r="H9972" s="19">
        <v>1.35787081756012E-3</v>
      </c>
    </row>
    <row r="9973" spans="8:8" ht="15" customHeight="1" x14ac:dyDescent="0.2">
      <c r="H9973" s="19">
        <v>5.9063154518075101E-4</v>
      </c>
    </row>
    <row r="9974" spans="8:8" ht="15" customHeight="1" x14ac:dyDescent="0.2">
      <c r="H9974" s="19">
        <v>-1.13834080810365E-2</v>
      </c>
    </row>
    <row r="9975" spans="8:8" ht="15" customHeight="1" x14ac:dyDescent="0.2">
      <c r="H9975" s="19">
        <v>-5.8967374193297098E-3</v>
      </c>
    </row>
    <row r="9976" spans="8:8" ht="15" customHeight="1" x14ac:dyDescent="0.2">
      <c r="H9976" s="19">
        <v>7.0319270020776196E-3</v>
      </c>
    </row>
    <row r="9977" spans="8:8" ht="15" customHeight="1" x14ac:dyDescent="0.2">
      <c r="H9977" s="19">
        <v>2.5621270718964601E-3</v>
      </c>
    </row>
    <row r="9978" spans="8:8" ht="15" customHeight="1" x14ac:dyDescent="0.2">
      <c r="H9978" s="19">
        <v>-4.5247842904720496E-3</v>
      </c>
    </row>
    <row r="9979" spans="8:8" ht="15" customHeight="1" x14ac:dyDescent="0.2">
      <c r="H9979" s="19">
        <v>1.1887277087535999E-2</v>
      </c>
    </row>
    <row r="9980" spans="8:8" ht="15" customHeight="1" x14ac:dyDescent="0.2">
      <c r="H9980" s="19">
        <v>1.11109036246995E-3</v>
      </c>
    </row>
    <row r="9981" spans="8:8" ht="15" customHeight="1" x14ac:dyDescent="0.2">
      <c r="H9981" s="19">
        <v>6.9863872836875198E-3</v>
      </c>
    </row>
    <row r="9982" spans="8:8" ht="15" customHeight="1" x14ac:dyDescent="0.2">
      <c r="H9982" s="19">
        <v>-7.19170365974267E-3</v>
      </c>
    </row>
    <row r="9983" spans="8:8" ht="15" customHeight="1" x14ac:dyDescent="0.2">
      <c r="H9983" s="19">
        <v>-5.2013930842509104E-3</v>
      </c>
    </row>
    <row r="9984" spans="8:8" ht="15" customHeight="1" x14ac:dyDescent="0.2">
      <c r="H9984" s="19">
        <v>-6.9196696291358804E-3</v>
      </c>
    </row>
    <row r="9985" spans="8:8" ht="15" customHeight="1" x14ac:dyDescent="0.2">
      <c r="H9985" s="19">
        <v>-1.6195900206796499E-2</v>
      </c>
    </row>
    <row r="9986" spans="8:8" ht="15" customHeight="1" x14ac:dyDescent="0.2">
      <c r="H9986" s="19">
        <v>9.5424965253194695E-3</v>
      </c>
    </row>
    <row r="9987" spans="8:8" ht="15" customHeight="1" x14ac:dyDescent="0.2">
      <c r="H9987" s="19">
        <v>5.0512780464524298E-3</v>
      </c>
    </row>
    <row r="9988" spans="8:8" ht="15" customHeight="1" x14ac:dyDescent="0.2">
      <c r="H9988" s="19">
        <v>-9.0371115048934799E-3</v>
      </c>
    </row>
    <row r="9989" spans="8:8" ht="15" customHeight="1" x14ac:dyDescent="0.2">
      <c r="H9989" s="19">
        <v>-1.4981155924706399E-2</v>
      </c>
    </row>
    <row r="9990" spans="8:8" ht="15" customHeight="1" x14ac:dyDescent="0.2">
      <c r="H9990" s="19">
        <v>-7.51844471241134E-3</v>
      </c>
    </row>
    <row r="9991" spans="8:8" ht="15" customHeight="1" x14ac:dyDescent="0.2">
      <c r="H9991" s="19">
        <v>-1.5907964722653101E-2</v>
      </c>
    </row>
    <row r="9992" spans="8:8" ht="15" customHeight="1" x14ac:dyDescent="0.2">
      <c r="H9992" s="19">
        <v>-3.4954550938892698E-3</v>
      </c>
    </row>
    <row r="9993" spans="8:8" ht="15" customHeight="1" x14ac:dyDescent="0.2">
      <c r="H9993" s="19">
        <v>4.1979258078411203E-3</v>
      </c>
    </row>
    <row r="9994" spans="8:8" ht="15" customHeight="1" x14ac:dyDescent="0.2">
      <c r="H9994" s="19">
        <v>-6.81820788269661E-3</v>
      </c>
    </row>
    <row r="9995" spans="8:8" ht="15" customHeight="1" x14ac:dyDescent="0.2">
      <c r="H9995" s="19">
        <v>1.0758963190174499E-2</v>
      </c>
    </row>
    <row r="9996" spans="8:8" ht="15" customHeight="1" x14ac:dyDescent="0.2">
      <c r="H9996" s="19">
        <v>3.9509667621695499E-3</v>
      </c>
    </row>
    <row r="9997" spans="8:8" ht="15" customHeight="1" x14ac:dyDescent="0.2">
      <c r="H9997" s="19">
        <v>6.6953787456552104E-3</v>
      </c>
    </row>
    <row r="9998" spans="8:8" ht="15" customHeight="1" x14ac:dyDescent="0.2">
      <c r="H9998" s="19">
        <v>1.0446323078987499E-2</v>
      </c>
    </row>
    <row r="9999" spans="8:8" ht="15" customHeight="1" x14ac:dyDescent="0.2">
      <c r="H9999" s="19">
        <v>-2.7941538866452599E-2</v>
      </c>
    </row>
    <row r="10000" spans="8:8" ht="15" customHeight="1" x14ac:dyDescent="0.2">
      <c r="H10000" s="19">
        <v>1.68269078805779E-3</v>
      </c>
    </row>
    <row r="10001" spans="8:8" ht="15" customHeight="1" x14ac:dyDescent="0.2">
      <c r="H10001" s="19">
        <v>-4.0497548679147297E-3</v>
      </c>
    </row>
  </sheetData>
  <mergeCells count="2">
    <mergeCell ref="A1:D1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zoomScaleNormal="100" workbookViewId="0">
      <selection sqref="A1:XFD1"/>
    </sheetView>
  </sheetViews>
  <sheetFormatPr baseColWidth="10" defaultColWidth="8.6640625" defaultRowHeight="15" x14ac:dyDescent="0.2"/>
  <cols>
    <col min="1" max="1" width="26" customWidth="1"/>
    <col min="2" max="3" width="18" customWidth="1"/>
  </cols>
  <sheetData>
    <row r="1" spans="1:4" ht="15.75" customHeight="1" x14ac:dyDescent="0.2">
      <c r="A1" s="2"/>
      <c r="B1" s="2"/>
      <c r="C1" s="2"/>
      <c r="D1" s="2"/>
    </row>
    <row r="3" spans="1:4" ht="15" customHeight="1" x14ac:dyDescent="0.2">
      <c r="A3" s="6" t="s">
        <v>1426</v>
      </c>
      <c r="B3" s="6" t="s">
        <v>1427</v>
      </c>
      <c r="C3" s="6" t="s">
        <v>1428</v>
      </c>
    </row>
    <row r="4" spans="1:4" ht="15" customHeight="1" x14ac:dyDescent="0.2">
      <c r="A4" s="5" t="s">
        <v>1429</v>
      </c>
      <c r="B4" s="15">
        <f>'Normal VaR'!E8</f>
        <v>307962.48012902361</v>
      </c>
      <c r="C4" s="15">
        <f>'Normal VaR'!E9</f>
        <v>439609.91908461775</v>
      </c>
    </row>
    <row r="5" spans="1:4" ht="15" customHeight="1" x14ac:dyDescent="0.2">
      <c r="A5" s="5" t="s">
        <v>1430</v>
      </c>
      <c r="B5" s="15">
        <f>'Historical VaR'!D8</f>
        <v>293602.01530870731</v>
      </c>
      <c r="C5" s="15">
        <f>'Historical VaR'!D9</f>
        <v>525173.16253927827</v>
      </c>
    </row>
    <row r="6" spans="1:4" ht="15" customHeight="1" x14ac:dyDescent="0.2">
      <c r="A6" s="5" t="s">
        <v>1431</v>
      </c>
      <c r="B6" s="15">
        <f>'Monte Carlo VaR'!D9</f>
        <v>312173.10372641258</v>
      </c>
      <c r="C6" s="15">
        <f>'Monte Carlo VaR'!D10</f>
        <v>444401.79998510028</v>
      </c>
    </row>
    <row r="8" spans="1:4" ht="15" customHeight="1" x14ac:dyDescent="0.2">
      <c r="A8" s="3" t="s">
        <v>1432</v>
      </c>
    </row>
    <row r="9" spans="1:4" ht="15" customHeight="1" x14ac:dyDescent="0.2">
      <c r="A9" s="6" t="s">
        <v>1426</v>
      </c>
      <c r="B9" s="6" t="s">
        <v>1433</v>
      </c>
      <c r="C9" s="6" t="s">
        <v>1434</v>
      </c>
    </row>
    <row r="10" spans="1:4" ht="15" customHeight="1" x14ac:dyDescent="0.2">
      <c r="A10" s="5" t="s">
        <v>1429</v>
      </c>
      <c r="B10" s="9">
        <f>B4/'MPT Optimisation'!B3</f>
        <v>1.5398124006451181E-2</v>
      </c>
      <c r="C10" s="9">
        <f>C4/'MPT Optimisation'!B3</f>
        <v>2.1980495954230888E-2</v>
      </c>
    </row>
    <row r="11" spans="1:4" ht="15" customHeight="1" x14ac:dyDescent="0.2">
      <c r="A11" s="5" t="s">
        <v>1430</v>
      </c>
      <c r="B11" s="9">
        <f>B5/'MPT Optimisation'!B3</f>
        <v>1.4680100765435366E-2</v>
      </c>
      <c r="C11" s="9">
        <f>C5/'MPT Optimisation'!B3</f>
        <v>2.6258658126963912E-2</v>
      </c>
    </row>
    <row r="12" spans="1:4" ht="15" customHeight="1" x14ac:dyDescent="0.2">
      <c r="A12" s="5" t="s">
        <v>1431</v>
      </c>
      <c r="B12" s="9">
        <f>B6/'MPT Optimisation'!B3</f>
        <v>1.5608655186320628E-2</v>
      </c>
      <c r="C12" s="9">
        <f>C6/'MPT Optimisation'!B3</f>
        <v>2.2220089999255014E-2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"/>
  <sheetViews>
    <sheetView zoomScaleNormal="100" workbookViewId="0">
      <selection activeCell="J13" sqref="J13"/>
    </sheetView>
  </sheetViews>
  <sheetFormatPr baseColWidth="10" defaultColWidth="8.6640625" defaultRowHeight="15" x14ac:dyDescent="0.2"/>
  <cols>
    <col min="1" max="1" width="30" customWidth="1"/>
    <col min="2" max="5" width="16" customWidth="1"/>
  </cols>
  <sheetData>
    <row r="1" spans="1:5" ht="15.75" customHeight="1" x14ac:dyDescent="0.2">
      <c r="A1" s="2"/>
      <c r="B1" s="2"/>
      <c r="C1" s="2"/>
      <c r="D1" s="2"/>
      <c r="E1" s="2"/>
    </row>
    <row r="3" spans="1:5" ht="15" customHeight="1" x14ac:dyDescent="0.2">
      <c r="A3" s="3" t="s">
        <v>1435</v>
      </c>
    </row>
    <row r="4" spans="1:5" ht="15" customHeight="1" x14ac:dyDescent="0.2">
      <c r="A4" s="5" t="s">
        <v>1436</v>
      </c>
      <c r="B4" s="20" t="s">
        <v>1437</v>
      </c>
    </row>
    <row r="5" spans="1:5" ht="15" customHeight="1" x14ac:dyDescent="0.2">
      <c r="A5" s="5" t="s">
        <v>1438</v>
      </c>
      <c r="B5" s="20" t="s">
        <v>1439</v>
      </c>
    </row>
    <row r="6" spans="1:5" ht="15" customHeight="1" x14ac:dyDescent="0.2">
      <c r="A6" s="5" t="s">
        <v>1440</v>
      </c>
      <c r="B6" s="12">
        <v>3.5000000000000003E-2</v>
      </c>
      <c r="D6" s="21"/>
    </row>
    <row r="7" spans="1:5" ht="15" customHeight="1" x14ac:dyDescent="0.2">
      <c r="A7" s="5" t="s">
        <v>1441</v>
      </c>
      <c r="B7" s="22">
        <v>2</v>
      </c>
    </row>
    <row r="8" spans="1:5" ht="15" customHeight="1" x14ac:dyDescent="0.2">
      <c r="A8" s="5" t="s">
        <v>1442</v>
      </c>
      <c r="B8" s="23">
        <v>100</v>
      </c>
    </row>
    <row r="9" spans="1:5" ht="15" customHeight="1" x14ac:dyDescent="0.2">
      <c r="A9" s="5" t="s">
        <v>1443</v>
      </c>
      <c r="B9" s="12">
        <v>4.3999999999999997E-2</v>
      </c>
    </row>
    <row r="10" spans="1:5" ht="15" customHeight="1" x14ac:dyDescent="0.2">
      <c r="A10" s="5" t="s">
        <v>1444</v>
      </c>
      <c r="B10" s="24">
        <v>8.6</v>
      </c>
    </row>
    <row r="12" spans="1:5" ht="15" customHeight="1" x14ac:dyDescent="0.2">
      <c r="A12" s="5" t="s">
        <v>1445</v>
      </c>
      <c r="B12" s="25">
        <f>ROUND(B10*B7,0)</f>
        <v>17</v>
      </c>
    </row>
    <row r="13" spans="1:5" ht="15" customHeight="1" x14ac:dyDescent="0.2">
      <c r="A13" s="5" t="s">
        <v>1446</v>
      </c>
      <c r="B13" s="26">
        <f>B8*B6/B7</f>
        <v>1.7500000000000002</v>
      </c>
    </row>
    <row r="14" spans="1:5" ht="15" customHeight="1" x14ac:dyDescent="0.2">
      <c r="A14" s="5" t="s">
        <v>1447</v>
      </c>
      <c r="B14" s="7">
        <f>B9/B7</f>
        <v>2.1999999999999999E-2</v>
      </c>
    </row>
    <row r="16" spans="1:5" ht="15" customHeight="1" x14ac:dyDescent="0.2">
      <c r="A16" s="3" t="s">
        <v>1448</v>
      </c>
    </row>
    <row r="17" spans="1:5" ht="15" customHeight="1" x14ac:dyDescent="0.2">
      <c r="A17" s="5" t="s">
        <v>1449</v>
      </c>
      <c r="B17" s="10">
        <f>C43</f>
        <v>93.674883315351011</v>
      </c>
      <c r="D17" s="21"/>
    </row>
    <row r="19" spans="1:5" ht="15" customHeight="1" x14ac:dyDescent="0.2">
      <c r="A19" s="3" t="s">
        <v>1450</v>
      </c>
    </row>
    <row r="20" spans="1:5" ht="15" customHeight="1" x14ac:dyDescent="0.2">
      <c r="A20" s="5" t="s">
        <v>1451</v>
      </c>
      <c r="B20" s="27">
        <f>(D43/B7)/B17</f>
        <v>7.3812429638081412</v>
      </c>
    </row>
    <row r="21" spans="1:5" ht="15" customHeight="1" x14ac:dyDescent="0.2">
      <c r="A21" s="5" t="s">
        <v>1452</v>
      </c>
      <c r="B21" s="10">
        <f>B20/(1+B14)</f>
        <v>7.2223512366028775</v>
      </c>
    </row>
    <row r="22" spans="1:5" ht="15" customHeight="1" x14ac:dyDescent="0.2">
      <c r="A22" s="5" t="s">
        <v>1453</v>
      </c>
      <c r="B22" s="27">
        <f>E43/(B17*B7^2*(1+B14)^2)</f>
        <v>60.559105691987938</v>
      </c>
    </row>
    <row r="24" spans="1:5" ht="15" customHeight="1" x14ac:dyDescent="0.2">
      <c r="A24" s="3" t="s">
        <v>1454</v>
      </c>
    </row>
    <row r="25" spans="1:5" ht="15" customHeight="1" x14ac:dyDescent="0.2">
      <c r="A25" s="28" t="s">
        <v>1455</v>
      </c>
      <c r="B25" s="28" t="s">
        <v>1456</v>
      </c>
      <c r="C25" s="28" t="s">
        <v>1457</v>
      </c>
      <c r="D25" s="28" t="s">
        <v>1458</v>
      </c>
      <c r="E25" s="28" t="s">
        <v>1459</v>
      </c>
    </row>
    <row r="26" spans="1:5" ht="15" customHeight="1" x14ac:dyDescent="0.2">
      <c r="A26" s="4">
        <v>1</v>
      </c>
      <c r="B26" s="26">
        <f>B13</f>
        <v>1.7500000000000002</v>
      </c>
      <c r="C26" s="26">
        <f>B26/(1+B14)^A26</f>
        <v>1.7123287671232879</v>
      </c>
      <c r="D26" s="26">
        <f t="shared" ref="D26:D42" si="0">C26*A26</f>
        <v>1.7123287671232879</v>
      </c>
      <c r="E26" s="26">
        <f t="shared" ref="E26:E42" si="1">C26*A26*(A26+1)</f>
        <v>3.4246575342465757</v>
      </c>
    </row>
    <row r="27" spans="1:5" ht="15" customHeight="1" x14ac:dyDescent="0.2">
      <c r="A27" s="4">
        <v>2</v>
      </c>
      <c r="B27" s="26">
        <f>B13</f>
        <v>1.7500000000000002</v>
      </c>
      <c r="C27" s="26">
        <f>B27/(1+B14)^A27</f>
        <v>1.6754684609816908</v>
      </c>
      <c r="D27" s="26">
        <f t="shared" si="0"/>
        <v>3.3509369219633816</v>
      </c>
      <c r="E27" s="26">
        <f t="shared" si="1"/>
        <v>10.052810765890145</v>
      </c>
    </row>
    <row r="28" spans="1:5" ht="15" customHeight="1" x14ac:dyDescent="0.2">
      <c r="A28" s="4">
        <v>3</v>
      </c>
      <c r="B28" s="26">
        <f>B13</f>
        <v>1.7500000000000002</v>
      </c>
      <c r="C28" s="26">
        <f>B28/(1+B14)^A28</f>
        <v>1.6394016252267032</v>
      </c>
      <c r="D28" s="26">
        <f t="shared" si="0"/>
        <v>4.9182048756801091</v>
      </c>
      <c r="E28" s="26">
        <f t="shared" si="1"/>
        <v>19.672819502720436</v>
      </c>
    </row>
    <row r="29" spans="1:5" ht="15" customHeight="1" x14ac:dyDescent="0.2">
      <c r="A29" s="4">
        <v>4</v>
      </c>
      <c r="B29" s="26">
        <f>B13</f>
        <v>1.7500000000000002</v>
      </c>
      <c r="C29" s="26">
        <f>B29/(1+B14)^A29</f>
        <v>1.6041111792824885</v>
      </c>
      <c r="D29" s="26">
        <f t="shared" si="0"/>
        <v>6.4164447171299539</v>
      </c>
      <c r="E29" s="26">
        <f t="shared" si="1"/>
        <v>32.082223585649771</v>
      </c>
    </row>
    <row r="30" spans="1:5" ht="15" customHeight="1" x14ac:dyDescent="0.2">
      <c r="A30" s="4">
        <v>5</v>
      </c>
      <c r="B30" s="26">
        <f>B13</f>
        <v>1.7500000000000002</v>
      </c>
      <c r="C30" s="26">
        <f>B30/(1+B14)^A30</f>
        <v>1.569580410256838</v>
      </c>
      <c r="D30" s="26">
        <f t="shared" si="0"/>
        <v>7.8479020512841906</v>
      </c>
      <c r="E30" s="26">
        <f t="shared" si="1"/>
        <v>47.087412307705144</v>
      </c>
    </row>
    <row r="31" spans="1:5" ht="15" customHeight="1" x14ac:dyDescent="0.2">
      <c r="A31" s="4">
        <v>6</v>
      </c>
      <c r="B31" s="26">
        <f>B13</f>
        <v>1.7500000000000002</v>
      </c>
      <c r="C31" s="26">
        <f>B31/(1+B14)^A31</f>
        <v>1.5357929650262605</v>
      </c>
      <c r="D31" s="26">
        <f t="shared" si="0"/>
        <v>9.214757790157563</v>
      </c>
      <c r="E31" s="26">
        <f t="shared" si="1"/>
        <v>64.503304531102941</v>
      </c>
    </row>
    <row r="32" spans="1:5" ht="15" customHeight="1" x14ac:dyDescent="0.2">
      <c r="A32" s="4">
        <v>7</v>
      </c>
      <c r="B32" s="26">
        <f>B13</f>
        <v>1.7500000000000002</v>
      </c>
      <c r="C32" s="26">
        <f>B32/(1+B14)^A32</f>
        <v>1.5027328424914486</v>
      </c>
      <c r="D32" s="26">
        <f t="shared" si="0"/>
        <v>10.519129897440139</v>
      </c>
      <c r="E32" s="26">
        <f t="shared" si="1"/>
        <v>84.153039179521116</v>
      </c>
    </row>
    <row r="33" spans="1:5" ht="15" customHeight="1" x14ac:dyDescent="0.2">
      <c r="A33" s="4">
        <v>8</v>
      </c>
      <c r="B33" s="26">
        <f>B13</f>
        <v>1.7500000000000002</v>
      </c>
      <c r="C33" s="26">
        <f>B33/(1+B14)^A33</f>
        <v>1.4703843859994601</v>
      </c>
      <c r="D33" s="26">
        <f t="shared" si="0"/>
        <v>11.763075087995681</v>
      </c>
      <c r="E33" s="26">
        <f t="shared" si="1"/>
        <v>105.86767579196112</v>
      </c>
    </row>
    <row r="34" spans="1:5" ht="15" customHeight="1" x14ac:dyDescent="0.2">
      <c r="A34" s="4">
        <v>9</v>
      </c>
      <c r="B34" s="26">
        <f>B13</f>
        <v>1.7500000000000002</v>
      </c>
      <c r="C34" s="26">
        <f>B34/(1+B14)^A34</f>
        <v>1.4387322759290218</v>
      </c>
      <c r="D34" s="26">
        <f t="shared" si="0"/>
        <v>12.948590483361196</v>
      </c>
      <c r="E34" s="26">
        <f t="shared" si="1"/>
        <v>129.48590483361195</v>
      </c>
    </row>
    <row r="35" spans="1:5" ht="15" customHeight="1" x14ac:dyDescent="0.2">
      <c r="A35" s="4">
        <v>10</v>
      </c>
      <c r="B35" s="26">
        <f>B13</f>
        <v>1.7500000000000002</v>
      </c>
      <c r="C35" s="26">
        <f>B35/(1+B14)^A35</f>
        <v>1.4077615224354421</v>
      </c>
      <c r="D35" s="26">
        <f t="shared" si="0"/>
        <v>14.077615224354421</v>
      </c>
      <c r="E35" s="26">
        <f t="shared" si="1"/>
        <v>154.85376746789862</v>
      </c>
    </row>
    <row r="36" spans="1:5" ht="15" customHeight="1" x14ac:dyDescent="0.2">
      <c r="A36" s="4">
        <v>11</v>
      </c>
      <c r="B36" s="26">
        <f>B13</f>
        <v>1.7500000000000002</v>
      </c>
      <c r="C36" s="26">
        <f>B36/(1+B14)^A36</f>
        <v>1.3774574583517043</v>
      </c>
      <c r="D36" s="26">
        <f t="shared" si="0"/>
        <v>15.152032041868747</v>
      </c>
      <c r="E36" s="26">
        <f t="shared" si="1"/>
        <v>181.82438450242495</v>
      </c>
    </row>
    <row r="37" spans="1:5" ht="15" customHeight="1" x14ac:dyDescent="0.2">
      <c r="A37" s="4">
        <v>12</v>
      </c>
      <c r="B37" s="26">
        <f>B13</f>
        <v>1.7500000000000002</v>
      </c>
      <c r="C37" s="26">
        <f>B37/(1+B14)^A37</f>
        <v>1.3478057322423722</v>
      </c>
      <c r="D37" s="26">
        <f t="shared" si="0"/>
        <v>16.173668786908465</v>
      </c>
      <c r="E37" s="26">
        <f t="shared" si="1"/>
        <v>210.25769422981006</v>
      </c>
    </row>
    <row r="38" spans="1:5" ht="15" customHeight="1" x14ac:dyDescent="0.2">
      <c r="A38" s="4">
        <v>13</v>
      </c>
      <c r="B38" s="26">
        <f>B13</f>
        <v>1.7500000000000002</v>
      </c>
      <c r="C38" s="26">
        <f>B38/(1+B14)^A38</f>
        <v>1.3187923016070178</v>
      </c>
      <c r="D38" s="26">
        <f t="shared" si="0"/>
        <v>17.144299920891232</v>
      </c>
      <c r="E38" s="26">
        <f t="shared" si="1"/>
        <v>240.02019889247725</v>
      </c>
    </row>
    <row r="39" spans="1:5" ht="15" customHeight="1" x14ac:dyDescent="0.2">
      <c r="A39" s="4">
        <v>14</v>
      </c>
      <c r="B39" s="26">
        <f>B13</f>
        <v>1.7500000000000002</v>
      </c>
      <c r="C39" s="26">
        <f>B39/(1+B14)^A39</f>
        <v>1.2904034262299588</v>
      </c>
      <c r="D39" s="26">
        <f t="shared" si="0"/>
        <v>18.065647967219423</v>
      </c>
      <c r="E39" s="26">
        <f t="shared" si="1"/>
        <v>270.98471950829133</v>
      </c>
    </row>
    <row r="40" spans="1:5" ht="15" customHeight="1" x14ac:dyDescent="0.2">
      <c r="A40" s="4">
        <v>15</v>
      </c>
      <c r="B40" s="26">
        <f>B13</f>
        <v>1.7500000000000002</v>
      </c>
      <c r="C40" s="26">
        <f>B40/(1+B14)^A40</f>
        <v>1.2626256616731495</v>
      </c>
      <c r="D40" s="26">
        <f t="shared" si="0"/>
        <v>18.939384925097244</v>
      </c>
      <c r="E40" s="26">
        <f t="shared" si="1"/>
        <v>303.0301588015559</v>
      </c>
    </row>
    <row r="41" spans="1:5" ht="15" customHeight="1" x14ac:dyDescent="0.2">
      <c r="A41" s="4">
        <v>16</v>
      </c>
      <c r="B41" s="26">
        <f>B13</f>
        <v>1.7500000000000002</v>
      </c>
      <c r="C41" s="26">
        <f>B41/(1+B14)^A41</f>
        <v>1.2354458529091481</v>
      </c>
      <c r="D41" s="26">
        <f t="shared" si="0"/>
        <v>19.76713364654637</v>
      </c>
      <c r="E41" s="26">
        <f t="shared" si="1"/>
        <v>336.04127199128828</v>
      </c>
    </row>
    <row r="42" spans="1:5" ht="15" customHeight="1" x14ac:dyDescent="0.2">
      <c r="A42" s="4">
        <v>17</v>
      </c>
      <c r="B42" s="26">
        <f>B13+B8</f>
        <v>101.75</v>
      </c>
      <c r="C42" s="26">
        <f>B42/(1+B14)^A42</f>
        <v>70.28605844758502</v>
      </c>
      <c r="D42" s="26">
        <f t="shared" si="0"/>
        <v>1194.8629936089453</v>
      </c>
      <c r="E42" s="26">
        <f t="shared" si="1"/>
        <v>21507.533884961016</v>
      </c>
    </row>
    <row r="43" spans="1:5" ht="15" customHeight="1" x14ac:dyDescent="0.2">
      <c r="A43" s="5" t="s">
        <v>1460</v>
      </c>
      <c r="C43" s="29">
        <f>SUM(C26:C42)</f>
        <v>93.674883315351011</v>
      </c>
      <c r="D43" s="29">
        <f>SUM(D26:D42)</f>
        <v>1382.8741467139666</v>
      </c>
      <c r="E43" s="29">
        <f>SUM(E26:E42)</f>
        <v>23700.875928387173</v>
      </c>
    </row>
    <row r="45" spans="1:5" ht="15" customHeight="1" x14ac:dyDescent="0.2">
      <c r="A45" s="3" t="s">
        <v>1461</v>
      </c>
    </row>
    <row r="46" spans="1:5" ht="15" customHeight="1" x14ac:dyDescent="0.2">
      <c r="A46" s="5" t="s">
        <v>1462</v>
      </c>
      <c r="B46" s="12">
        <v>-2.5000000000000001E-3</v>
      </c>
    </row>
    <row r="47" spans="1:5" ht="15" customHeight="1" x14ac:dyDescent="0.2">
      <c r="A47" s="5" t="s">
        <v>1463</v>
      </c>
      <c r="B47" s="9">
        <f>-B21*B46</f>
        <v>1.8055878091507195E-2</v>
      </c>
    </row>
    <row r="48" spans="1:5" ht="15" customHeight="1" x14ac:dyDescent="0.2">
      <c r="A48" s="5" t="s">
        <v>1464</v>
      </c>
      <c r="B48" s="9">
        <f>-B21*B46+0.5*B22*B46^2</f>
        <v>1.8245125296794656E-2</v>
      </c>
    </row>
    <row r="49" spans="1:5" ht="15" customHeight="1" x14ac:dyDescent="0.2">
      <c r="A49" s="5" t="s">
        <v>1465</v>
      </c>
      <c r="B49" s="10">
        <f>B17*(1+B48)</f>
        <v>95.383993298602206</v>
      </c>
    </row>
    <row r="50" spans="1:5" ht="15" customHeight="1" x14ac:dyDescent="0.2">
      <c r="A50" s="5" t="s">
        <v>1466</v>
      </c>
      <c r="B50" s="10">
        <f>B49-B17</f>
        <v>1.7091099832511958</v>
      </c>
    </row>
    <row r="52" spans="1:5" ht="30" customHeight="1" x14ac:dyDescent="0.2">
      <c r="A52" s="1"/>
      <c r="B52" s="1"/>
      <c r="C52" s="1"/>
      <c r="D52" s="1"/>
      <c r="E52" s="1"/>
    </row>
  </sheetData>
  <mergeCells count="2">
    <mergeCell ref="A1:E1"/>
    <mergeCell ref="A52:E5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Price Data</vt:lpstr>
      <vt:lpstr>Returns  Stats</vt:lpstr>
      <vt:lpstr>MPT Optimisation</vt:lpstr>
      <vt:lpstr>Portfolio Returns</vt:lpstr>
      <vt:lpstr>Normal VaR</vt:lpstr>
      <vt:lpstr>Historical VaR</vt:lpstr>
      <vt:lpstr>Monte Carlo VaR</vt:lpstr>
      <vt:lpstr>VaR Comparison</vt:lpstr>
      <vt:lpstr>Bond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</cp:lastModifiedBy>
  <cp:revision>5</cp:revision>
  <dcterms:created xsi:type="dcterms:W3CDTF">2026-07-03T06:55:26Z</dcterms:created>
  <dcterms:modified xsi:type="dcterms:W3CDTF">2026-07-03T07:21:59Z</dcterms:modified>
  <dc:language>en-US</dc:language>
</cp:coreProperties>
</file>